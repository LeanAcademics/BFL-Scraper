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leanstein/Desktop/BA Working Folder/Quantitative Work/"/>
    </mc:Choice>
  </mc:AlternateContent>
  <xr:revisionPtr revIDLastSave="0" documentId="13_ncr:1_{06EE4C18-3843-E24A-AA83-25DDC5EF374F}" xr6:coauthVersionLast="47" xr6:coauthVersionMax="47" xr10:uidLastSave="{00000000-0000-0000-0000-000000000000}"/>
  <bookViews>
    <workbookView xWindow="-25480" yWindow="-1960" windowWidth="25480" windowHeight="21600" activeTab="3" xr2:uid="{00000000-000D-0000-FFFF-FFFF00000000}"/>
  </bookViews>
  <sheets>
    <sheet name="Mastersheet" sheetId="6" r:id="rId1"/>
    <sheet name="Records" sheetId="1" r:id="rId2"/>
    <sheet name="L1_acts" sheetId="2" r:id="rId3"/>
    <sheet name="L2_preconditions" sheetId="3" r:id="rId4"/>
    <sheet name="README" sheetId="4" r:id="rId5"/>
  </sheets>
  <definedNames>
    <definedName name="_xlnm._FilterDatabase" localSheetId="2" hidden="1">L1_acts!$A$1:$K$502</definedName>
    <definedName name="_xlnm._FilterDatabase" localSheetId="3" hidden="1">L2_preconditions!$A$1:$M$462</definedName>
    <definedName name="_xlnm._FilterDatabase" localSheetId="0" hidden="1">Mastersheet!$A$1:$W$538</definedName>
    <definedName name="_xlnm._FilterDatabase" localSheetId="4" hidden="1">README!$A$1:$B$12</definedName>
    <definedName name="_xlnm._FilterDatabase" localSheetId="1" hidden="1">Records!$A$1:$Y$538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8" i="6" l="1"/>
  <c r="B537" i="6"/>
  <c r="B536" i="6"/>
  <c r="B535" i="6"/>
  <c r="B534" i="6"/>
  <c r="B533" i="6"/>
  <c r="B532" i="6"/>
  <c r="B531" i="6"/>
  <c r="B530" i="6"/>
  <c r="B529" i="6"/>
  <c r="B528" i="6"/>
  <c r="B527" i="6"/>
  <c r="B526" i="6"/>
  <c r="B525" i="6"/>
  <c r="B524" i="6"/>
  <c r="B523" i="6"/>
  <c r="B522" i="6"/>
  <c r="B521" i="6"/>
  <c r="B520" i="6"/>
  <c r="B519" i="6"/>
  <c r="B518" i="6"/>
  <c r="B517" i="6"/>
  <c r="B516" i="6"/>
  <c r="B515" i="6"/>
  <c r="B514" i="6"/>
  <c r="B513" i="6"/>
  <c r="B512" i="6"/>
  <c r="B511" i="6"/>
  <c r="B510" i="6"/>
  <c r="B509" i="6"/>
  <c r="B508" i="6"/>
  <c r="B507" i="6"/>
  <c r="B506" i="6"/>
  <c r="B505" i="6"/>
  <c r="B504" i="6"/>
  <c r="B503" i="6"/>
  <c r="B502" i="6"/>
  <c r="B501" i="6"/>
  <c r="B500" i="6"/>
  <c r="B499" i="6"/>
  <c r="B498" i="6"/>
  <c r="B497" i="6"/>
  <c r="B496" i="6"/>
  <c r="B495" i="6"/>
  <c r="B494" i="6"/>
  <c r="B493" i="6"/>
  <c r="B492" i="6"/>
  <c r="B491" i="6"/>
  <c r="B490" i="6"/>
  <c r="B489" i="6"/>
  <c r="B488" i="6"/>
  <c r="B487" i="6"/>
  <c r="B486" i="6"/>
  <c r="B485" i="6"/>
  <c r="B484" i="6"/>
  <c r="B483" i="6"/>
  <c r="B482" i="6"/>
  <c r="B481" i="6"/>
  <c r="B480" i="6"/>
  <c r="B479" i="6"/>
  <c r="B478" i="6"/>
  <c r="B477" i="6"/>
  <c r="B476" i="6"/>
  <c r="B475" i="6"/>
  <c r="B474" i="6"/>
  <c r="B473" i="6"/>
  <c r="B472" i="6"/>
  <c r="B471" i="6"/>
  <c r="B470" i="6"/>
  <c r="B469" i="6"/>
  <c r="B468" i="6"/>
  <c r="B467" i="6"/>
  <c r="B466" i="6"/>
  <c r="B465" i="6"/>
  <c r="B464" i="6"/>
  <c r="B463" i="6"/>
  <c r="B462" i="6"/>
  <c r="B461" i="6"/>
  <c r="B460" i="6"/>
  <c r="B459" i="6"/>
  <c r="B458" i="6"/>
  <c r="B457" i="6"/>
  <c r="B456" i="6"/>
  <c r="B455" i="6"/>
  <c r="B454" i="6"/>
  <c r="B453" i="6"/>
  <c r="B452" i="6"/>
  <c r="B451" i="6"/>
  <c r="B450" i="6"/>
  <c r="B449" i="6"/>
  <c r="B448" i="6"/>
  <c r="B447" i="6"/>
  <c r="B446" i="6"/>
  <c r="B445" i="6"/>
  <c r="B444" i="6"/>
  <c r="B443" i="6"/>
  <c r="B442" i="6"/>
  <c r="B441" i="6"/>
  <c r="B440" i="6"/>
  <c r="B439" i="6"/>
  <c r="B438" i="6"/>
  <c r="B437" i="6"/>
  <c r="B436" i="6"/>
  <c r="B435" i="6"/>
  <c r="B434" i="6"/>
  <c r="B433" i="6"/>
  <c r="B432" i="6"/>
  <c r="B431" i="6"/>
  <c r="B430" i="6"/>
  <c r="B429" i="6"/>
  <c r="B428" i="6"/>
  <c r="B427" i="6"/>
  <c r="B426" i="6"/>
  <c r="B425" i="6"/>
  <c r="B424" i="6"/>
  <c r="B423" i="6"/>
  <c r="B422" i="6"/>
  <c r="B421" i="6"/>
  <c r="B420" i="6"/>
  <c r="B419" i="6"/>
  <c r="B418" i="6"/>
  <c r="B417" i="6"/>
  <c r="B416" i="6"/>
  <c r="B415" i="6"/>
  <c r="B414"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2" i="6"/>
  <c r="B63" i="3"/>
  <c r="B47" i="3"/>
  <c r="B41" i="3"/>
  <c r="B59" i="3"/>
  <c r="B61" i="3"/>
  <c r="B67" i="3"/>
  <c r="B38" i="3"/>
  <c r="B49" i="3"/>
  <c r="B37" i="3"/>
  <c r="B157" i="3"/>
  <c r="B39" i="3"/>
  <c r="B40" i="3"/>
  <c r="B82" i="3"/>
  <c r="B42" i="3"/>
  <c r="B43" i="3"/>
  <c r="B45" i="3"/>
  <c r="B410" i="3"/>
  <c r="B428" i="3"/>
  <c r="B422" i="3"/>
  <c r="B161" i="3"/>
  <c r="B35" i="3"/>
  <c r="B68" i="3"/>
  <c r="B70" i="3"/>
  <c r="B142" i="3"/>
  <c r="B143" i="3"/>
  <c r="B144" i="3"/>
  <c r="B145" i="3"/>
  <c r="B141" i="3"/>
  <c r="B160" i="3"/>
  <c r="B364" i="3"/>
  <c r="B362" i="3"/>
  <c r="B50" i="3"/>
  <c r="B51" i="3"/>
  <c r="B54" i="3"/>
  <c r="B55" i="3"/>
  <c r="B56" i="3"/>
  <c r="B62" i="3"/>
  <c r="B66" i="3"/>
  <c r="B46" i="3"/>
  <c r="B48" i="3"/>
  <c r="B53" i="3"/>
  <c r="B57" i="3"/>
  <c r="B58" i="3"/>
  <c r="B64" i="3"/>
  <c r="B213" i="3"/>
  <c r="B152" i="3"/>
  <c r="B446" i="3"/>
  <c r="B83" i="3"/>
  <c r="B85" i="3"/>
  <c r="B60" i="3"/>
  <c r="B84" i="3"/>
  <c r="B65" i="3"/>
  <c r="B215" i="3"/>
  <c r="B149" i="3"/>
  <c r="B153" i="3"/>
  <c r="B147" i="3"/>
  <c r="B148" i="3"/>
  <c r="B150" i="3"/>
  <c r="B154" i="3"/>
  <c r="B155" i="3"/>
  <c r="B156" i="3"/>
  <c r="B444" i="3"/>
  <c r="B151" i="3"/>
  <c r="B158" i="3"/>
  <c r="B159" i="3"/>
  <c r="B36" i="3"/>
  <c r="B52" i="3"/>
  <c r="B146" i="3"/>
  <c r="B460" i="3"/>
  <c r="B461" i="3"/>
  <c r="B462" i="3"/>
  <c r="B401" i="3"/>
  <c r="B393" i="3"/>
  <c r="B381" i="3"/>
  <c r="B382" i="3"/>
  <c r="B383" i="3"/>
  <c r="B384" i="3"/>
  <c r="B385" i="3"/>
  <c r="B387" i="3"/>
  <c r="B388" i="3"/>
  <c r="B389" i="3"/>
  <c r="B391" i="3"/>
  <c r="B392" i="3"/>
  <c r="B394" i="3"/>
  <c r="B396" i="3"/>
  <c r="B397" i="3"/>
  <c r="B399" i="3"/>
  <c r="B400" i="3"/>
  <c r="B395" i="3"/>
  <c r="B386" i="3"/>
  <c r="B390" i="3"/>
  <c r="B398" i="3"/>
  <c r="B402" i="3"/>
  <c r="B414" i="3"/>
  <c r="B426" i="3"/>
  <c r="B429" i="3"/>
  <c r="B419" i="3"/>
  <c r="B433" i="3"/>
  <c r="B411" i="3"/>
  <c r="B431" i="3"/>
  <c r="B407" i="3"/>
  <c r="B408" i="3"/>
  <c r="B409" i="3"/>
  <c r="B412" i="3"/>
  <c r="B413" i="3"/>
  <c r="B415" i="3"/>
  <c r="B417" i="3"/>
  <c r="B425" i="3"/>
  <c r="B430" i="3"/>
  <c r="B416" i="3"/>
  <c r="B418" i="3"/>
  <c r="B420" i="3"/>
  <c r="B421" i="3"/>
  <c r="B423" i="3"/>
  <c r="B424" i="3"/>
  <c r="B427" i="3"/>
  <c r="B432" i="3"/>
  <c r="B405" i="3"/>
  <c r="B403" i="3"/>
  <c r="B404" i="3"/>
  <c r="B406" i="3"/>
  <c r="B190" i="3"/>
  <c r="B434" i="3"/>
  <c r="B435" i="3"/>
  <c r="B437" i="3"/>
  <c r="B438" i="3"/>
  <c r="B439" i="3"/>
  <c r="B440" i="3"/>
  <c r="B441" i="3"/>
  <c r="B442" i="3"/>
  <c r="B443" i="3"/>
  <c r="B436" i="3"/>
  <c r="B445" i="3"/>
  <c r="B452" i="3"/>
  <c r="B454" i="3"/>
  <c r="B448" i="3"/>
  <c r="B449" i="3"/>
  <c r="B450" i="3"/>
  <c r="B451" i="3"/>
  <c r="B453" i="3"/>
  <c r="B455" i="3"/>
  <c r="B456" i="3"/>
  <c r="B457" i="3"/>
  <c r="B458" i="3"/>
  <c r="B459" i="3"/>
  <c r="B447" i="3"/>
  <c r="B99" i="3"/>
  <c r="B100" i="3"/>
  <c r="B101" i="3"/>
  <c r="B102" i="3"/>
  <c r="B103" i="3"/>
  <c r="B104" i="3"/>
  <c r="B105" i="3"/>
  <c r="B106" i="3"/>
  <c r="B107" i="3"/>
  <c r="B108" i="3"/>
  <c r="B112" i="3"/>
  <c r="B114" i="3"/>
  <c r="B116" i="3"/>
  <c r="B117" i="3"/>
  <c r="B118" i="3"/>
  <c r="B120" i="3"/>
  <c r="B123" i="3"/>
  <c r="B124" i="3"/>
  <c r="B125" i="3"/>
  <c r="B126" i="3"/>
  <c r="B127" i="3"/>
  <c r="B128" i="3"/>
  <c r="B129" i="3"/>
  <c r="B130" i="3"/>
  <c r="B131" i="3"/>
  <c r="B132" i="3"/>
  <c r="B133" i="3"/>
  <c r="B134" i="3"/>
  <c r="B135" i="3"/>
  <c r="B136" i="3"/>
  <c r="B137" i="3"/>
  <c r="B138" i="3"/>
  <c r="B139" i="3"/>
  <c r="B140" i="3"/>
  <c r="B376" i="3"/>
  <c r="B162" i="3"/>
  <c r="B163" i="3"/>
  <c r="B166" i="3"/>
  <c r="B167" i="3"/>
  <c r="B168" i="3"/>
  <c r="B170" i="3"/>
  <c r="B171" i="3"/>
  <c r="B172" i="3"/>
  <c r="B175" i="3"/>
  <c r="B176" i="3"/>
  <c r="B177" i="3"/>
  <c r="B178" i="3"/>
  <c r="B180" i="3"/>
  <c r="B183" i="3"/>
  <c r="B185" i="3"/>
  <c r="B186" i="3"/>
  <c r="B187" i="3"/>
  <c r="B188" i="3"/>
  <c r="B189" i="3"/>
  <c r="B195" i="3"/>
  <c r="B196" i="3"/>
  <c r="B198" i="3"/>
  <c r="B199" i="3"/>
  <c r="B200" i="3"/>
  <c r="B201" i="3"/>
  <c r="B202" i="3"/>
  <c r="B205" i="3"/>
  <c r="B209" i="3"/>
  <c r="B210" i="3"/>
  <c r="B372" i="3"/>
  <c r="B373" i="3"/>
  <c r="B374" i="3"/>
  <c r="B375" i="3"/>
  <c r="B179" i="3"/>
  <c r="B181" i="3"/>
  <c r="B182" i="3"/>
  <c r="B206" i="3"/>
  <c r="B169" i="3"/>
  <c r="B203" i="3"/>
  <c r="B207" i="3"/>
  <c r="B184" i="3"/>
  <c r="B204" i="3"/>
  <c r="B208" i="3"/>
  <c r="B173" i="3"/>
  <c r="B191" i="3"/>
  <c r="B192" i="3"/>
  <c r="B193" i="3"/>
  <c r="B194" i="3"/>
  <c r="B174" i="3"/>
  <c r="B164" i="3"/>
  <c r="B211" i="3"/>
  <c r="B165" i="3"/>
  <c r="B197" i="3"/>
  <c r="B370" i="3"/>
  <c r="B109" i="3"/>
  <c r="B110" i="3"/>
  <c r="B371" i="3"/>
  <c r="B111" i="3"/>
  <c r="B113" i="3"/>
  <c r="B115" i="3"/>
  <c r="B119" i="3"/>
  <c r="B121" i="3"/>
  <c r="B122" i="3"/>
  <c r="B358" i="3"/>
  <c r="B216" i="3"/>
  <c r="B238" i="3"/>
  <c r="B239" i="3"/>
  <c r="B240" i="3"/>
  <c r="B217" i="3"/>
  <c r="B241" i="3"/>
  <c r="B242" i="3"/>
  <c r="B243" i="3"/>
  <c r="B218" i="3"/>
  <c r="B323" i="3"/>
  <c r="B244" i="3"/>
  <c r="B219" i="3"/>
  <c r="B220" i="3"/>
  <c r="B245" i="3"/>
  <c r="B246" i="3"/>
  <c r="B247" i="3"/>
  <c r="B248" i="3"/>
  <c r="B249" i="3"/>
  <c r="B250" i="3"/>
  <c r="B251" i="3"/>
  <c r="B252" i="3"/>
  <c r="B253" i="3"/>
  <c r="B254" i="3"/>
  <c r="B338" i="3"/>
  <c r="B255" i="3"/>
  <c r="B324" i="3"/>
  <c r="B339" i="3"/>
  <c r="B256" i="3"/>
  <c r="B257" i="3"/>
  <c r="B320" i="3"/>
  <c r="B258" i="3"/>
  <c r="B259" i="3"/>
  <c r="B260" i="3"/>
  <c r="B261" i="3"/>
  <c r="B262" i="3"/>
  <c r="B263" i="3"/>
  <c r="B264" i="3"/>
  <c r="B265" i="3"/>
  <c r="B266" i="3"/>
  <c r="B267" i="3"/>
  <c r="B359" i="3"/>
  <c r="B340" i="3"/>
  <c r="B221" i="3"/>
  <c r="B360" i="3"/>
  <c r="B361" i="3"/>
  <c r="B268" i="3"/>
  <c r="B269" i="3"/>
  <c r="B341" i="3"/>
  <c r="B270" i="3"/>
  <c r="B222" i="3"/>
  <c r="B327" i="3"/>
  <c r="B271" i="3"/>
  <c r="B272" i="3"/>
  <c r="B342" i="3"/>
  <c r="B328" i="3"/>
  <c r="B346" i="3"/>
  <c r="B273" i="3"/>
  <c r="B274" i="3"/>
  <c r="B223" i="3"/>
  <c r="B343" i="3"/>
  <c r="B275" i="3"/>
  <c r="B276" i="3"/>
  <c r="B277" i="3"/>
  <c r="B331" i="3"/>
  <c r="B278" i="3"/>
  <c r="B279" i="3"/>
  <c r="B280" i="3"/>
  <c r="B332" i="3"/>
  <c r="B349" i="3"/>
  <c r="B329" i="3"/>
  <c r="B281" i="3"/>
  <c r="B356" i="3"/>
  <c r="B282" i="3"/>
  <c r="B283" i="3"/>
  <c r="B284" i="3"/>
  <c r="B285" i="3"/>
  <c r="B286" i="3"/>
  <c r="B287" i="3"/>
  <c r="B288" i="3"/>
  <c r="B363" i="3"/>
  <c r="B289" i="3"/>
  <c r="B344" i="3"/>
  <c r="B290" i="3"/>
  <c r="B291" i="3"/>
  <c r="B350" i="3"/>
  <c r="B321" i="3"/>
  <c r="B333" i="3"/>
  <c r="B351" i="3"/>
  <c r="B292" i="3"/>
  <c r="B293" i="3"/>
  <c r="B294" i="3"/>
  <c r="B295" i="3"/>
  <c r="B296" i="3"/>
  <c r="B297" i="3"/>
  <c r="B334" i="3"/>
  <c r="B298" i="3"/>
  <c r="B347" i="3"/>
  <c r="B299" i="3"/>
  <c r="B300" i="3"/>
  <c r="B345" i="3"/>
  <c r="B301" i="3"/>
  <c r="B302" i="3"/>
  <c r="B303" i="3"/>
  <c r="B304" i="3"/>
  <c r="B325" i="3"/>
  <c r="B305" i="3"/>
  <c r="B365" i="3"/>
  <c r="B306" i="3"/>
  <c r="B366" i="3"/>
  <c r="B307" i="3"/>
  <c r="B308" i="3"/>
  <c r="B357" i="3"/>
  <c r="B309" i="3"/>
  <c r="B310" i="3"/>
  <c r="B311" i="3"/>
  <c r="B312" i="3"/>
  <c r="B313" i="3"/>
  <c r="B314" i="3"/>
  <c r="B315" i="3"/>
  <c r="B316" i="3"/>
  <c r="B322" i="3"/>
  <c r="B367" i="3"/>
  <c r="B368" i="3"/>
  <c r="B335" i="3"/>
  <c r="B336" i="3"/>
  <c r="B352" i="3"/>
  <c r="B353" i="3"/>
  <c r="B369" i="3"/>
  <c r="B224" i="3"/>
  <c r="B317" i="3"/>
  <c r="B318" i="3"/>
  <c r="B319" i="3"/>
  <c r="B348" i="3"/>
  <c r="B326" i="3"/>
  <c r="B337" i="3"/>
  <c r="B354" i="3"/>
  <c r="B355" i="3"/>
  <c r="B330" i="3"/>
  <c r="B225" i="3"/>
  <c r="B226" i="3"/>
  <c r="B227" i="3"/>
  <c r="B228" i="3"/>
  <c r="B229" i="3"/>
  <c r="B230" i="3"/>
  <c r="B231" i="3"/>
  <c r="B232" i="3"/>
  <c r="B233" i="3"/>
  <c r="B234" i="3"/>
  <c r="B235" i="3"/>
  <c r="B236" i="3"/>
  <c r="B237" i="3"/>
  <c r="B27" i="3"/>
  <c r="B32" i="3"/>
  <c r="B10" i="3"/>
  <c r="B30" i="3"/>
  <c r="B4" i="3"/>
  <c r="B19" i="3"/>
  <c r="B5" i="3"/>
  <c r="B3" i="3"/>
  <c r="B20" i="3"/>
  <c r="B21" i="3"/>
  <c r="B12" i="3"/>
  <c r="B6" i="3"/>
  <c r="B8" i="3"/>
  <c r="B14" i="3"/>
  <c r="B2" i="3"/>
  <c r="B23" i="3"/>
  <c r="B13" i="3"/>
  <c r="B29" i="3"/>
  <c r="B33" i="3"/>
  <c r="B31" i="3"/>
  <c r="B15" i="3"/>
  <c r="B34" i="3"/>
  <c r="B25" i="3"/>
  <c r="B9" i="3"/>
  <c r="B22" i="3"/>
  <c r="B7" i="3"/>
  <c r="B16" i="3"/>
  <c r="B11" i="3"/>
  <c r="B17" i="3"/>
  <c r="B28" i="3"/>
  <c r="B26" i="3"/>
  <c r="B24" i="3"/>
  <c r="B18" i="3"/>
  <c r="B76" i="3"/>
  <c r="B74" i="3"/>
  <c r="B77" i="3"/>
  <c r="B80" i="3"/>
  <c r="B75" i="3"/>
  <c r="B78" i="3"/>
  <c r="B72" i="3"/>
  <c r="B73" i="3"/>
  <c r="B81" i="3"/>
  <c r="B71" i="3"/>
  <c r="B79" i="3"/>
  <c r="B97" i="3"/>
  <c r="B87" i="3"/>
  <c r="B91" i="3"/>
  <c r="B93" i="3"/>
  <c r="B92" i="3"/>
  <c r="B89" i="3"/>
  <c r="B98" i="3"/>
  <c r="B88" i="3"/>
  <c r="B86" i="3"/>
  <c r="B96" i="3"/>
  <c r="B94" i="3"/>
  <c r="B90" i="3"/>
  <c r="B95" i="3"/>
  <c r="B69" i="3"/>
  <c r="B378" i="3"/>
  <c r="B377" i="3"/>
  <c r="B379" i="3"/>
  <c r="B380" i="3"/>
  <c r="B212" i="3"/>
  <c r="B44" i="3"/>
  <c r="B214" i="3"/>
  <c r="B475" i="2"/>
  <c r="B429" i="2"/>
  <c r="B453" i="2"/>
  <c r="B22" i="2"/>
  <c r="B16" i="2"/>
  <c r="B12" i="2"/>
  <c r="B21" i="2"/>
  <c r="B14" i="2"/>
  <c r="B10" i="2"/>
  <c r="B7" i="2"/>
  <c r="B11" i="2"/>
  <c r="B8" i="2"/>
  <c r="B23" i="2"/>
  <c r="B4" i="2"/>
  <c r="B6" i="2"/>
  <c r="B24" i="2"/>
  <c r="B13" i="2"/>
  <c r="B9" i="2"/>
  <c r="B20" i="2"/>
  <c r="B19" i="2"/>
  <c r="B17" i="2"/>
  <c r="B5" i="2"/>
  <c r="B25" i="2"/>
  <c r="B15" i="2"/>
  <c r="B18" i="2"/>
  <c r="B35" i="2"/>
  <c r="B37" i="2"/>
  <c r="B41" i="2"/>
  <c r="B38" i="2"/>
  <c r="B34" i="2"/>
  <c r="B44" i="2"/>
  <c r="B26" i="2"/>
  <c r="B42" i="2"/>
  <c r="B40" i="2"/>
  <c r="B31" i="2"/>
  <c r="B29" i="2"/>
  <c r="B28" i="2"/>
  <c r="B45" i="2"/>
  <c r="B32" i="2"/>
  <c r="B36" i="2"/>
  <c r="B43" i="2"/>
  <c r="B27" i="2"/>
  <c r="B33" i="2"/>
  <c r="B39" i="2"/>
  <c r="B30" i="2"/>
  <c r="B57" i="2"/>
  <c r="B59" i="2"/>
  <c r="B56" i="2"/>
  <c r="B69" i="2"/>
  <c r="B71" i="2"/>
  <c r="B111" i="2"/>
  <c r="B125" i="2"/>
  <c r="B90" i="2"/>
  <c r="B54" i="2"/>
  <c r="B61" i="2"/>
  <c r="B91" i="2"/>
  <c r="B102" i="2"/>
  <c r="B116" i="2"/>
  <c r="B95" i="2"/>
  <c r="B126" i="2"/>
  <c r="B103" i="2"/>
  <c r="B121" i="2"/>
  <c r="B60" i="2"/>
  <c r="B92" i="2"/>
  <c r="B64" i="2"/>
  <c r="B106" i="2"/>
  <c r="B109" i="2"/>
  <c r="B113" i="2"/>
  <c r="B105" i="2"/>
  <c r="B118" i="2"/>
  <c r="B112" i="2"/>
  <c r="B94" i="2"/>
  <c r="B70" i="2"/>
  <c r="B74" i="2"/>
  <c r="B99" i="2"/>
  <c r="B104" i="2"/>
  <c r="B78" i="2"/>
  <c r="B96" i="2"/>
  <c r="B119" i="2"/>
  <c r="B123" i="2"/>
  <c r="B77" i="2"/>
  <c r="B100" i="2"/>
  <c r="B51" i="2"/>
  <c r="B107" i="2"/>
  <c r="B117" i="2"/>
  <c r="B82" i="2"/>
  <c r="B115" i="2"/>
  <c r="B73" i="2"/>
  <c r="B65" i="2"/>
  <c r="B47" i="2"/>
  <c r="B108" i="2"/>
  <c r="B81" i="2"/>
  <c r="B87" i="2"/>
  <c r="B110" i="2"/>
  <c r="B50" i="2"/>
  <c r="B124" i="2"/>
  <c r="B46" i="2"/>
  <c r="B93" i="2"/>
  <c r="B101" i="2"/>
  <c r="B120" i="2"/>
  <c r="B84" i="2"/>
  <c r="B114" i="2"/>
  <c r="B85" i="2"/>
  <c r="B89" i="2"/>
  <c r="B53" i="2"/>
  <c r="B67" i="2"/>
  <c r="B80" i="2"/>
  <c r="B52" i="2"/>
  <c r="B62" i="2"/>
  <c r="B66" i="2"/>
  <c r="B49" i="2"/>
  <c r="B86" i="2"/>
  <c r="B58" i="2"/>
  <c r="B63" i="2"/>
  <c r="B76" i="2"/>
  <c r="B79" i="2"/>
  <c r="B122" i="2"/>
  <c r="B55" i="2"/>
  <c r="B88" i="2"/>
  <c r="B75" i="2"/>
  <c r="B48" i="2"/>
  <c r="B83" i="2"/>
  <c r="B97" i="2"/>
  <c r="B68" i="2"/>
  <c r="B98" i="2"/>
  <c r="B72" i="2"/>
  <c r="B135" i="2"/>
  <c r="B134" i="2"/>
  <c r="B132" i="2"/>
  <c r="B131" i="2"/>
  <c r="B138" i="2"/>
  <c r="B144" i="2"/>
  <c r="B129" i="2"/>
  <c r="B139" i="2"/>
  <c r="B136" i="2"/>
  <c r="B141" i="2"/>
  <c r="B137" i="2"/>
  <c r="B140" i="2"/>
  <c r="B142" i="2"/>
  <c r="B128" i="2"/>
  <c r="B130" i="2"/>
  <c r="B143" i="2"/>
  <c r="B127" i="2"/>
  <c r="B133" i="2"/>
  <c r="B158" i="2"/>
  <c r="B170" i="2"/>
  <c r="B145" i="2"/>
  <c r="B197" i="2"/>
  <c r="B188" i="2"/>
  <c r="B180" i="2"/>
  <c r="B184" i="2"/>
  <c r="B199" i="2"/>
  <c r="B182" i="2"/>
  <c r="B159" i="2"/>
  <c r="B169" i="2"/>
  <c r="B183" i="2"/>
  <c r="B181" i="2"/>
  <c r="B208" i="2"/>
  <c r="B155" i="2"/>
  <c r="B206" i="2"/>
  <c r="B207" i="2"/>
  <c r="B196" i="2"/>
  <c r="B161" i="2"/>
  <c r="B192" i="2"/>
  <c r="B174" i="2"/>
  <c r="B171" i="2"/>
  <c r="B179" i="2"/>
  <c r="B153" i="2"/>
  <c r="B156" i="2"/>
  <c r="B299" i="2"/>
  <c r="B164" i="2"/>
  <c r="B205" i="2"/>
  <c r="B148" i="2"/>
  <c r="B160" i="2"/>
  <c r="B162" i="2"/>
  <c r="B146" i="2"/>
  <c r="B200" i="2"/>
  <c r="B186" i="2"/>
  <c r="B187" i="2"/>
  <c r="B190" i="2"/>
  <c r="B193" i="2"/>
  <c r="B147" i="2"/>
  <c r="B149" i="2"/>
  <c r="B165" i="2"/>
  <c r="B172" i="2"/>
  <c r="B157" i="2"/>
  <c r="B173" i="2"/>
  <c r="B176" i="2"/>
  <c r="B167" i="2"/>
  <c r="B154" i="2"/>
  <c r="B203" i="2"/>
  <c r="B178" i="2"/>
  <c r="B191" i="2"/>
  <c r="B151" i="2"/>
  <c r="B195" i="2"/>
  <c r="B204" i="2"/>
  <c r="B163" i="2"/>
  <c r="B185" i="2"/>
  <c r="B177" i="2"/>
  <c r="B202" i="2"/>
  <c r="B175" i="2"/>
  <c r="B166" i="2"/>
  <c r="B150" i="2"/>
  <c r="B194" i="2"/>
  <c r="B189" i="2"/>
  <c r="B201" i="2"/>
  <c r="B152" i="2"/>
  <c r="B198" i="2"/>
  <c r="B209" i="2"/>
  <c r="B168" i="2"/>
  <c r="B284" i="2"/>
  <c r="B274" i="2"/>
  <c r="B282" i="2"/>
  <c r="B254" i="2"/>
  <c r="B255" i="2"/>
  <c r="B214" i="2"/>
  <c r="B283" i="2"/>
  <c r="B258" i="2"/>
  <c r="B253" i="2"/>
  <c r="B252" i="2"/>
  <c r="B262" i="2"/>
  <c r="B240" i="2"/>
  <c r="B276" i="2"/>
  <c r="B235" i="2"/>
  <c r="B286" i="2"/>
  <c r="B215" i="2"/>
  <c r="B218" i="2"/>
  <c r="B268" i="2"/>
  <c r="B289" i="2"/>
  <c r="B275" i="2"/>
  <c r="B298" i="2"/>
  <c r="B247" i="2"/>
  <c r="B211" i="2"/>
  <c r="B293" i="2"/>
  <c r="B249" i="2"/>
  <c r="B264" i="2"/>
  <c r="B266" i="2"/>
  <c r="B273" i="2"/>
  <c r="B246" i="2"/>
  <c r="B251" i="2"/>
  <c r="B250" i="2"/>
  <c r="B259" i="2"/>
  <c r="B212" i="2"/>
  <c r="B238" i="2"/>
  <c r="B272" i="2"/>
  <c r="B297" i="2"/>
  <c r="B277" i="2"/>
  <c r="B222" i="2"/>
  <c r="B241" i="2"/>
  <c r="B295" i="2"/>
  <c r="B223" i="2"/>
  <c r="B220" i="2"/>
  <c r="B217" i="2"/>
  <c r="B231" i="2"/>
  <c r="B237" i="2"/>
  <c r="B224" i="2"/>
  <c r="B226" i="2"/>
  <c r="B210" i="2"/>
  <c r="B265" i="2"/>
  <c r="B248" i="2"/>
  <c r="B263" i="2"/>
  <c r="B257" i="2"/>
  <c r="B279" i="2"/>
  <c r="B278" i="2"/>
  <c r="B267" i="2"/>
  <c r="B244" i="2"/>
  <c r="B216" i="2"/>
  <c r="B261" i="2"/>
  <c r="B287" i="2"/>
  <c r="B234" i="2"/>
  <c r="B291" i="2"/>
  <c r="B296" i="2"/>
  <c r="B270" i="2"/>
  <c r="B271" i="2"/>
  <c r="B290" i="2"/>
  <c r="B294" i="2"/>
  <c r="B242" i="2"/>
  <c r="B245" i="2"/>
  <c r="B230" i="2"/>
  <c r="B229" i="2"/>
  <c r="B260" i="2"/>
  <c r="B281" i="2"/>
  <c r="B288" i="2"/>
  <c r="B243" i="2"/>
  <c r="B269" i="2"/>
  <c r="B233" i="2"/>
  <c r="B280" i="2"/>
  <c r="B228" i="2"/>
  <c r="B292" i="2"/>
  <c r="B256" i="2"/>
  <c r="B236" i="2"/>
  <c r="B221" i="2"/>
  <c r="B227" i="2"/>
  <c r="B225" i="2"/>
  <c r="B285" i="2"/>
  <c r="B213" i="2"/>
  <c r="B219" i="2"/>
  <c r="B239" i="2"/>
  <c r="B232" i="2"/>
  <c r="B317" i="2"/>
  <c r="B313" i="2"/>
  <c r="B320" i="2"/>
  <c r="B302" i="2"/>
  <c r="B309" i="2"/>
  <c r="B312" i="2"/>
  <c r="B321" i="2"/>
  <c r="B311" i="2"/>
  <c r="B307" i="2"/>
  <c r="B305" i="2"/>
  <c r="B319" i="2"/>
  <c r="B322" i="2"/>
  <c r="B306" i="2"/>
  <c r="B308" i="2"/>
  <c r="B315" i="2"/>
  <c r="B300" i="2"/>
  <c r="B303" i="2"/>
  <c r="B318" i="2"/>
  <c r="B304" i="2"/>
  <c r="B301" i="2"/>
  <c r="B310" i="2"/>
  <c r="B316" i="2"/>
  <c r="B314" i="2"/>
  <c r="B338" i="2"/>
  <c r="B327" i="2"/>
  <c r="B334" i="2"/>
  <c r="B335" i="2"/>
  <c r="B328" i="2"/>
  <c r="B330" i="2"/>
  <c r="B332" i="2"/>
  <c r="B336" i="2"/>
  <c r="B342" i="2"/>
  <c r="B344" i="2"/>
  <c r="B345" i="2"/>
  <c r="B346" i="2"/>
  <c r="B323" i="2"/>
  <c r="B325" i="2"/>
  <c r="B324" i="2"/>
  <c r="B326" i="2"/>
  <c r="B329" i="2"/>
  <c r="B333" i="2"/>
  <c r="B331" i="2"/>
  <c r="B339" i="2"/>
  <c r="B340" i="2"/>
  <c r="B343" i="2"/>
  <c r="B341" i="2"/>
  <c r="B337" i="2"/>
  <c r="B390" i="2"/>
  <c r="B396" i="2"/>
  <c r="B427" i="2"/>
  <c r="B428" i="2"/>
  <c r="B354" i="2"/>
  <c r="B360" i="2"/>
  <c r="B424" i="2"/>
  <c r="B412" i="2"/>
  <c r="B352" i="2"/>
  <c r="B402" i="2"/>
  <c r="B364" i="2"/>
  <c r="B378" i="2"/>
  <c r="B363" i="2"/>
  <c r="B358" i="2"/>
  <c r="B388" i="2"/>
  <c r="B348" i="2"/>
  <c r="B422" i="2"/>
  <c r="B397" i="2"/>
  <c r="B356" i="2"/>
  <c r="B382" i="2"/>
  <c r="B376" i="2"/>
  <c r="B384" i="2"/>
  <c r="B355" i="2"/>
  <c r="B425" i="2"/>
  <c r="B379" i="2"/>
  <c r="B359" i="2"/>
  <c r="B414" i="2"/>
  <c r="B366" i="2"/>
  <c r="B409" i="2"/>
  <c r="B369" i="2"/>
  <c r="B368" i="2"/>
  <c r="B374" i="2"/>
  <c r="B375" i="2"/>
  <c r="B383" i="2"/>
  <c r="B387" i="2"/>
  <c r="B399" i="2"/>
  <c r="B407" i="2"/>
  <c r="B408" i="2"/>
  <c r="B357" i="2"/>
  <c r="B365" i="2"/>
  <c r="B415" i="2"/>
  <c r="B398" i="2"/>
  <c r="B394" i="2"/>
  <c r="B395" i="2"/>
  <c r="B418" i="2"/>
  <c r="B367" i="2"/>
  <c r="B385" i="2"/>
  <c r="B371" i="2"/>
  <c r="B372" i="2"/>
  <c r="B347" i="2"/>
  <c r="B421" i="2"/>
  <c r="B417" i="2"/>
  <c r="B381" i="2"/>
  <c r="B400" i="2"/>
  <c r="B401" i="2"/>
  <c r="B380" i="2"/>
  <c r="B426" i="2"/>
  <c r="B410" i="2"/>
  <c r="B411" i="2"/>
  <c r="B413" i="2"/>
  <c r="B351" i="2"/>
  <c r="B403" i="2"/>
  <c r="B370" i="2"/>
  <c r="B350" i="2"/>
  <c r="B361" i="2"/>
  <c r="B373" i="2"/>
  <c r="B349" i="2"/>
  <c r="B416" i="2"/>
  <c r="B393" i="2"/>
  <c r="B423" i="2"/>
  <c r="B405" i="2"/>
  <c r="B377" i="2"/>
  <c r="B391" i="2"/>
  <c r="B420" i="2"/>
  <c r="B386" i="2"/>
  <c r="B406" i="2"/>
  <c r="B404" i="2"/>
  <c r="B419" i="2"/>
  <c r="B362" i="2"/>
  <c r="B353" i="2"/>
  <c r="B389" i="2"/>
  <c r="B392" i="2"/>
  <c r="B445" i="2"/>
  <c r="B431" i="2"/>
  <c r="B437" i="2"/>
  <c r="B442" i="2"/>
  <c r="B430" i="2"/>
  <c r="B432" i="2"/>
  <c r="B433" i="2"/>
  <c r="B434" i="2"/>
  <c r="B447" i="2"/>
  <c r="B439" i="2"/>
  <c r="B435" i="2"/>
  <c r="B446" i="2"/>
  <c r="B436" i="2"/>
  <c r="B443" i="2"/>
  <c r="B440" i="2"/>
  <c r="B444" i="2"/>
  <c r="B438" i="2"/>
  <c r="B441" i="2"/>
  <c r="B448" i="2"/>
  <c r="B449" i="2"/>
  <c r="B450" i="2"/>
  <c r="B452" i="2"/>
  <c r="B451" i="2"/>
  <c r="B459" i="2"/>
  <c r="B456" i="2"/>
  <c r="B463" i="2"/>
  <c r="B466" i="2"/>
  <c r="B473" i="2"/>
  <c r="B474" i="2"/>
  <c r="B472" i="2"/>
  <c r="B471" i="2"/>
  <c r="B470" i="2"/>
  <c r="B460" i="2"/>
  <c r="B462" i="2"/>
  <c r="B454" i="2"/>
  <c r="B468" i="2"/>
  <c r="B458" i="2"/>
  <c r="B464" i="2"/>
  <c r="B469" i="2"/>
  <c r="B467" i="2"/>
  <c r="B457" i="2"/>
  <c r="B465" i="2"/>
  <c r="B455" i="2"/>
  <c r="B461" i="2"/>
  <c r="B477" i="2"/>
  <c r="B482" i="2"/>
  <c r="B498" i="2"/>
  <c r="B481" i="2"/>
  <c r="B493" i="2"/>
  <c r="B500" i="2"/>
  <c r="B484" i="2"/>
  <c r="B496" i="2"/>
  <c r="B495" i="2"/>
  <c r="B478" i="2"/>
  <c r="B501" i="2"/>
  <c r="B486" i="2"/>
  <c r="B483" i="2"/>
  <c r="B476" i="2"/>
  <c r="B487" i="2"/>
  <c r="B480" i="2"/>
  <c r="B485" i="2"/>
  <c r="B488" i="2"/>
  <c r="B490" i="2"/>
  <c r="B489" i="2"/>
  <c r="B479" i="2"/>
  <c r="B497" i="2"/>
  <c r="B499" i="2"/>
  <c r="B492" i="2"/>
  <c r="B494" i="2"/>
  <c r="B491" i="2"/>
  <c r="B502" i="2"/>
  <c r="B2" i="2"/>
  <c r="B3" i="2"/>
  <c r="B2" i="1"/>
  <c r="B9" i="1"/>
  <c r="B69" i="1"/>
  <c r="B70" i="1"/>
  <c r="B467" i="1"/>
  <c r="B71" i="1"/>
  <c r="B72" i="1"/>
  <c r="B73" i="1"/>
  <c r="B74" i="1"/>
  <c r="B75" i="1"/>
  <c r="B446" i="1"/>
  <c r="B76" i="1"/>
  <c r="B10" i="1"/>
  <c r="B447" i="1"/>
  <c r="B77" i="1"/>
  <c r="B78" i="1"/>
  <c r="B233" i="1"/>
  <c r="B448" i="1"/>
  <c r="B79" i="1"/>
  <c r="B234" i="1"/>
  <c r="B80" i="1"/>
  <c r="B81" i="1"/>
  <c r="B82" i="1"/>
  <c r="B11" i="1"/>
  <c r="B468" i="1"/>
  <c r="B83" i="1"/>
  <c r="B84" i="1"/>
  <c r="B235" i="1"/>
  <c r="B236" i="1"/>
  <c r="B237" i="1"/>
  <c r="B486" i="1"/>
  <c r="B238" i="1"/>
  <c r="B239" i="1"/>
  <c r="B449" i="1"/>
  <c r="B12" i="1"/>
  <c r="B450" i="1"/>
  <c r="B85" i="1"/>
  <c r="B487" i="1"/>
  <c r="B240" i="1"/>
  <c r="B488" i="1"/>
  <c r="B86" i="1"/>
  <c r="B241" i="1"/>
  <c r="B178" i="1"/>
  <c r="B242" i="1"/>
  <c r="B243" i="1"/>
  <c r="B13" i="1"/>
  <c r="B87" i="1"/>
  <c r="B88" i="1"/>
  <c r="B179" i="1"/>
  <c r="B89" i="1"/>
  <c r="B489" i="1"/>
  <c r="B90" i="1"/>
  <c r="B244" i="1"/>
  <c r="B490" i="1"/>
  <c r="B245" i="1"/>
  <c r="B91" i="1"/>
  <c r="B14" i="1"/>
  <c r="B246" i="1"/>
  <c r="B92" i="1"/>
  <c r="B93" i="1"/>
  <c r="B94" i="1"/>
  <c r="B95" i="1"/>
  <c r="B96" i="1"/>
  <c r="B97" i="1"/>
  <c r="B247" i="1"/>
  <c r="B98" i="1"/>
  <c r="B469" i="1"/>
  <c r="B15" i="1"/>
  <c r="B248" i="1"/>
  <c r="B249" i="1"/>
  <c r="B99" i="1"/>
  <c r="B250" i="1"/>
  <c r="B100" i="1"/>
  <c r="B251" i="1"/>
  <c r="B101" i="1"/>
  <c r="B491" i="1"/>
  <c r="B180" i="1"/>
  <c r="B470" i="1"/>
  <c r="B16" i="1"/>
  <c r="B538" i="1"/>
  <c r="B181" i="1"/>
  <c r="B252" i="1"/>
  <c r="B492" i="1"/>
  <c r="B102" i="1"/>
  <c r="B253" i="1"/>
  <c r="B493" i="1"/>
  <c r="B182" i="1"/>
  <c r="B254" i="1"/>
  <c r="B255" i="1"/>
  <c r="B17" i="1"/>
  <c r="B103" i="1"/>
  <c r="B104" i="1"/>
  <c r="B183" i="1"/>
  <c r="B105" i="1"/>
  <c r="B494" i="1"/>
  <c r="B106" i="1"/>
  <c r="B256" i="1"/>
  <c r="B257" i="1"/>
  <c r="B258" i="1"/>
  <c r="B495" i="1"/>
  <c r="B18" i="1"/>
  <c r="B259" i="1"/>
  <c r="B260" i="1"/>
  <c r="B184" i="1"/>
  <c r="B261" i="1"/>
  <c r="B262" i="1"/>
  <c r="B263" i="1"/>
  <c r="B264" i="1"/>
  <c r="B265" i="1"/>
  <c r="B266" i="1"/>
  <c r="B107" i="1"/>
  <c r="B426" i="1"/>
  <c r="B19" i="1"/>
  <c r="B267" i="1"/>
  <c r="B268" i="1"/>
  <c r="B496" i="1"/>
  <c r="B269" i="1"/>
  <c r="B270" i="1"/>
  <c r="B271" i="1"/>
  <c r="B108" i="1"/>
  <c r="B109" i="1"/>
  <c r="B272" i="1"/>
  <c r="B273" i="1"/>
  <c r="B20" i="1"/>
  <c r="B274" i="1"/>
  <c r="B275" i="1"/>
  <c r="B497" i="1"/>
  <c r="B276" i="1"/>
  <c r="B498" i="1"/>
  <c r="B277" i="1"/>
  <c r="B278" i="1"/>
  <c r="B279" i="1"/>
  <c r="B280" i="1"/>
  <c r="B281" i="1"/>
  <c r="B428" i="1"/>
  <c r="B282" i="1"/>
  <c r="B283" i="1"/>
  <c r="B284" i="1"/>
  <c r="B110" i="1"/>
  <c r="B499" i="1"/>
  <c r="B111" i="1"/>
  <c r="B285" i="1"/>
  <c r="B500" i="1"/>
  <c r="B112" i="1"/>
  <c r="B113" i="1"/>
  <c r="B21" i="1"/>
  <c r="B286" i="1"/>
  <c r="B114" i="1"/>
  <c r="B115" i="1"/>
  <c r="B116" i="1"/>
  <c r="B185" i="1"/>
  <c r="B287" i="1"/>
  <c r="B186" i="1"/>
  <c r="B288" i="1"/>
  <c r="B117" i="1"/>
  <c r="B289" i="1"/>
  <c r="B22" i="1"/>
  <c r="B290" i="1"/>
  <c r="B451" i="1"/>
  <c r="B291" i="1"/>
  <c r="B292" i="1"/>
  <c r="B471" i="1"/>
  <c r="B293" i="1"/>
  <c r="B294" i="1"/>
  <c r="B295" i="1"/>
  <c r="B296" i="1"/>
  <c r="B187" i="1"/>
  <c r="B429" i="1"/>
  <c r="B501" i="1"/>
  <c r="B118" i="1"/>
  <c r="B119" i="1"/>
  <c r="B188" i="1"/>
  <c r="B120" i="1"/>
  <c r="B189" i="1"/>
  <c r="B297" i="1"/>
  <c r="B298" i="1"/>
  <c r="B502" i="1"/>
  <c r="B299" i="1"/>
  <c r="B23" i="1"/>
  <c r="B300" i="1"/>
  <c r="B503" i="1"/>
  <c r="B504" i="1"/>
  <c r="B301" i="1"/>
  <c r="B302" i="1"/>
  <c r="B121" i="1"/>
  <c r="B303" i="1"/>
  <c r="B304" i="1"/>
  <c r="B472" i="1"/>
  <c r="B305" i="1"/>
  <c r="B24" i="1"/>
  <c r="B306" i="1"/>
  <c r="B307" i="1"/>
  <c r="B308" i="1"/>
  <c r="B309" i="1"/>
  <c r="B505" i="1"/>
  <c r="B310" i="1"/>
  <c r="B311" i="1"/>
  <c r="B506" i="1"/>
  <c r="B122" i="1"/>
  <c r="B312" i="1"/>
  <c r="B25" i="1"/>
  <c r="B313" i="1"/>
  <c r="B123" i="1"/>
  <c r="B507" i="1"/>
  <c r="B190" i="1"/>
  <c r="B124" i="1"/>
  <c r="B314" i="1"/>
  <c r="B508" i="1"/>
  <c r="B315" i="1"/>
  <c r="B316" i="1"/>
  <c r="B317" i="1"/>
  <c r="B430" i="1"/>
  <c r="B318" i="1"/>
  <c r="B319" i="1"/>
  <c r="B125" i="1"/>
  <c r="B320" i="1"/>
  <c r="B191" i="1"/>
  <c r="B321" i="1"/>
  <c r="B192" i="1"/>
  <c r="B193" i="1"/>
  <c r="B322" i="1"/>
  <c r="B194" i="1"/>
  <c r="B3" i="1"/>
  <c r="B26" i="1"/>
  <c r="B195" i="1"/>
  <c r="B323" i="1"/>
  <c r="B196" i="1"/>
  <c r="B509" i="1"/>
  <c r="B324" i="1"/>
  <c r="B126" i="1"/>
  <c r="B325" i="1"/>
  <c r="B326" i="1"/>
  <c r="B327" i="1"/>
  <c r="B452" i="1"/>
  <c r="B431" i="1"/>
  <c r="B328" i="1"/>
  <c r="B510" i="1"/>
  <c r="B329" i="1"/>
  <c r="B330" i="1"/>
  <c r="B511" i="1"/>
  <c r="B512" i="1"/>
  <c r="B331" i="1"/>
  <c r="B453" i="1"/>
  <c r="B332" i="1"/>
  <c r="B127" i="1"/>
  <c r="B27" i="1"/>
  <c r="B333" i="1"/>
  <c r="B334" i="1"/>
  <c r="B335" i="1"/>
  <c r="B336" i="1"/>
  <c r="B197" i="1"/>
  <c r="B128" i="1"/>
  <c r="B198" i="1"/>
  <c r="B513" i="1"/>
  <c r="B337" i="1"/>
  <c r="B514" i="1"/>
  <c r="B432" i="1"/>
  <c r="B338" i="1"/>
  <c r="B339" i="1"/>
  <c r="B340" i="1"/>
  <c r="B341" i="1"/>
  <c r="B342" i="1"/>
  <c r="B129" i="1"/>
  <c r="B130" i="1"/>
  <c r="B199" i="1"/>
  <c r="B343" i="1"/>
  <c r="B200" i="1"/>
  <c r="B28" i="1"/>
  <c r="B201" i="1"/>
  <c r="B344" i="1"/>
  <c r="B202" i="1"/>
  <c r="B345" i="1"/>
  <c r="B346" i="1"/>
  <c r="B131" i="1"/>
  <c r="B132" i="1"/>
  <c r="B473" i="1"/>
  <c r="B347" i="1"/>
  <c r="B348" i="1"/>
  <c r="B29" i="1"/>
  <c r="B515" i="1"/>
  <c r="B349" i="1"/>
  <c r="B203" i="1"/>
  <c r="B516" i="1"/>
  <c r="B204" i="1"/>
  <c r="B350" i="1"/>
  <c r="B205" i="1"/>
  <c r="B351" i="1"/>
  <c r="B352" i="1"/>
  <c r="B454" i="1"/>
  <c r="B30" i="1"/>
  <c r="B133" i="1"/>
  <c r="B353" i="1"/>
  <c r="B134" i="1"/>
  <c r="B517" i="1"/>
  <c r="B206" i="1"/>
  <c r="B354" i="1"/>
  <c r="B518" i="1"/>
  <c r="B355" i="1"/>
  <c r="B356" i="1"/>
  <c r="B519" i="1"/>
  <c r="B433" i="1"/>
  <c r="B474" i="1"/>
  <c r="B207" i="1"/>
  <c r="B208" i="1"/>
  <c r="B135" i="1"/>
  <c r="B136" i="1"/>
  <c r="B137" i="1"/>
  <c r="B357" i="1"/>
  <c r="B138" i="1"/>
  <c r="B209" i="1"/>
  <c r="B475" i="1"/>
  <c r="B434" i="1"/>
  <c r="B139" i="1"/>
  <c r="B140" i="1"/>
  <c r="B358" i="1"/>
  <c r="B141" i="1"/>
  <c r="B359" i="1"/>
  <c r="B360" i="1"/>
  <c r="B361" i="1"/>
  <c r="B142" i="1"/>
  <c r="B210" i="1"/>
  <c r="B362" i="1"/>
  <c r="B435" i="1"/>
  <c r="B363" i="1"/>
  <c r="B224" i="1"/>
  <c r="B364" i="1"/>
  <c r="B365" i="1"/>
  <c r="B366" i="1"/>
  <c r="B143" i="1"/>
  <c r="B211" i="1"/>
  <c r="B367" i="1"/>
  <c r="B455" i="1"/>
  <c r="B144" i="1"/>
  <c r="B4" i="1"/>
  <c r="B31" i="1"/>
  <c r="B145" i="1"/>
  <c r="B368" i="1"/>
  <c r="B146" i="1"/>
  <c r="B147" i="1"/>
  <c r="B148" i="1"/>
  <c r="B369" i="1"/>
  <c r="B370" i="1"/>
  <c r="B149" i="1"/>
  <c r="B371" i="1"/>
  <c r="B476" i="1"/>
  <c r="B32" i="1"/>
  <c r="B372" i="1"/>
  <c r="B520" i="1"/>
  <c r="B150" i="1"/>
  <c r="B373" i="1"/>
  <c r="B212" i="1"/>
  <c r="B213" i="1"/>
  <c r="B477" i="1"/>
  <c r="B481" i="1"/>
  <c r="B151" i="1"/>
  <c r="B456" i="1"/>
  <c r="B33" i="1"/>
  <c r="B374" i="1"/>
  <c r="B152" i="1"/>
  <c r="B214" i="1"/>
  <c r="B375" i="1"/>
  <c r="B376" i="1"/>
  <c r="B225" i="1"/>
  <c r="B482" i="1"/>
  <c r="B457" i="1"/>
  <c r="B153" i="1"/>
  <c r="B377" i="1"/>
  <c r="B34" i="1"/>
  <c r="B154" i="1"/>
  <c r="B378" i="1"/>
  <c r="B215" i="1"/>
  <c r="B216" i="1"/>
  <c r="B521" i="1"/>
  <c r="B379" i="1"/>
  <c r="B155" i="1"/>
  <c r="B380" i="1"/>
  <c r="B381" i="1"/>
  <c r="B382" i="1"/>
  <c r="B35" i="1"/>
  <c r="B156" i="1"/>
  <c r="B383" i="1"/>
  <c r="B157" i="1"/>
  <c r="B158" i="1"/>
  <c r="B522" i="1"/>
  <c r="B523" i="1"/>
  <c r="B458" i="1"/>
  <c r="B384" i="1"/>
  <c r="B226" i="1"/>
  <c r="B159" i="1"/>
  <c r="B36" i="1"/>
  <c r="B160" i="1"/>
  <c r="B385" i="1"/>
  <c r="B386" i="1"/>
  <c r="B387" i="1"/>
  <c r="B227" i="1"/>
  <c r="B524" i="1"/>
  <c r="B388" i="1"/>
  <c r="B217" i="1"/>
  <c r="B389" i="1"/>
  <c r="B218" i="1"/>
  <c r="B436" i="1"/>
  <c r="B459" i="1"/>
  <c r="B161" i="1"/>
  <c r="B525" i="1"/>
  <c r="B390" i="1"/>
  <c r="B526" i="1"/>
  <c r="B219" i="1"/>
  <c r="B460" i="1"/>
  <c r="B391" i="1"/>
  <c r="B392" i="1"/>
  <c r="B461" i="1"/>
  <c r="B37" i="1"/>
  <c r="B393" i="1"/>
  <c r="B162" i="1"/>
  <c r="B163" i="1"/>
  <c r="B462" i="1"/>
  <c r="B394" i="1"/>
  <c r="B463" i="1"/>
  <c r="B164" i="1"/>
  <c r="B395" i="1"/>
  <c r="B396" i="1"/>
  <c r="B397" i="1"/>
  <c r="B38" i="1"/>
  <c r="B165" i="1"/>
  <c r="B527" i="1"/>
  <c r="B220" i="1"/>
  <c r="B398" i="1"/>
  <c r="B166" i="1"/>
  <c r="B399" i="1"/>
  <c r="B400" i="1"/>
  <c r="B464" i="1"/>
  <c r="B478" i="1"/>
  <c r="B401" i="1"/>
  <c r="B39" i="1"/>
  <c r="B402" i="1"/>
  <c r="B528" i="1"/>
  <c r="B529" i="1"/>
  <c r="B479" i="1"/>
  <c r="B167" i="1"/>
  <c r="B403" i="1"/>
  <c r="B404" i="1"/>
  <c r="B405" i="1"/>
  <c r="B530" i="1"/>
  <c r="B221" i="1"/>
  <c r="B5" i="1"/>
  <c r="B40" i="1"/>
  <c r="B531" i="1"/>
  <c r="B406" i="1"/>
  <c r="B407" i="1"/>
  <c r="B465" i="1"/>
  <c r="B408" i="1"/>
  <c r="B409" i="1"/>
  <c r="B168" i="1"/>
  <c r="B410" i="1"/>
  <c r="B480" i="1"/>
  <c r="B532" i="1"/>
  <c r="B41" i="1"/>
  <c r="B411" i="1"/>
  <c r="B412" i="1"/>
  <c r="B169" i="1"/>
  <c r="B170" i="1"/>
  <c r="B533" i="1"/>
  <c r="B413" i="1"/>
  <c r="B534" i="1"/>
  <c r="B414" i="1"/>
  <c r="B535" i="1"/>
  <c r="B415" i="1"/>
  <c r="B42" i="1"/>
  <c r="B171" i="1"/>
  <c r="B416" i="1"/>
  <c r="B417" i="1"/>
  <c r="B418" i="1"/>
  <c r="B419" i="1"/>
  <c r="B222" i="1"/>
  <c r="B420" i="1"/>
  <c r="B536" i="1"/>
  <c r="B421" i="1"/>
  <c r="B172" i="1"/>
  <c r="B43" i="1"/>
  <c r="B422" i="1"/>
  <c r="B173" i="1"/>
  <c r="B423" i="1"/>
  <c r="B223" i="1"/>
  <c r="B174" i="1"/>
  <c r="B537" i="1"/>
  <c r="B424" i="1"/>
  <c r="B425" i="1"/>
  <c r="B44" i="1"/>
  <c r="B45" i="1"/>
  <c r="B46" i="1"/>
  <c r="B47" i="1"/>
  <c r="B48" i="1"/>
  <c r="B437" i="1"/>
  <c r="B6" i="1"/>
  <c r="B49" i="1"/>
  <c r="B50" i="1"/>
  <c r="B51" i="1"/>
  <c r="B52" i="1"/>
  <c r="B53" i="1"/>
  <c r="B54" i="1"/>
  <c r="B55" i="1"/>
  <c r="B56" i="1"/>
  <c r="B438" i="1"/>
  <c r="B57" i="1"/>
  <c r="B7" i="1"/>
  <c r="B228" i="1"/>
  <c r="B229" i="1"/>
  <c r="B483" i="1"/>
  <c r="B439" i="1"/>
  <c r="B58" i="1"/>
  <c r="B59" i="1"/>
  <c r="B440" i="1"/>
  <c r="B441" i="1"/>
  <c r="B230" i="1"/>
  <c r="B60" i="1"/>
  <c r="B8" i="1"/>
  <c r="B61" i="1"/>
  <c r="B62" i="1"/>
  <c r="B63" i="1"/>
  <c r="B484" i="1"/>
  <c r="B231" i="1"/>
  <c r="B485" i="1"/>
  <c r="B175" i="1"/>
  <c r="B64" i="1"/>
  <c r="B65" i="1"/>
  <c r="B66" i="1"/>
  <c r="B427" i="1"/>
  <c r="B232" i="1"/>
  <c r="B442" i="1"/>
  <c r="B176" i="1"/>
  <c r="B443" i="1"/>
  <c r="B466" i="1"/>
  <c r="B67" i="1"/>
  <c r="B444" i="1"/>
  <c r="B68" i="1"/>
  <c r="B445" i="1"/>
  <c r="B177" i="1"/>
</calcChain>
</file>

<file path=xl/sharedStrings.xml><?xml version="1.0" encoding="utf-8"?>
<sst xmlns="http://schemas.openxmlformats.org/spreadsheetml/2006/main" count="24758" uniqueCount="4159">
  <si>
    <t>record_id</t>
  </si>
  <si>
    <t>date</t>
  </si>
  <si>
    <t>age</t>
  </si>
  <si>
    <t>nationality</t>
  </si>
  <si>
    <t>location</t>
  </si>
  <si>
    <t>object_type</t>
  </si>
  <si>
    <t>discipline</t>
  </si>
  <si>
    <t>suit_raw</t>
  </si>
  <si>
    <t>base_seasons</t>
  </si>
  <si>
    <t>base_jumps</t>
  </si>
  <si>
    <t>ws_base_jumps</t>
  </si>
  <si>
    <t>skydives</t>
  </si>
  <si>
    <t>ws_skydives</t>
  </si>
  <si>
    <t>L0_classification</t>
  </si>
  <si>
    <t>L0_label</t>
  </si>
  <si>
    <t>L0_description</t>
  </si>
  <si>
    <t>L1_act_count</t>
  </si>
  <si>
    <t>L1_categories</t>
  </si>
  <si>
    <t>L2_precondition_count</t>
  </si>
  <si>
    <t>L2_categories</t>
  </si>
  <si>
    <t>has_error</t>
  </si>
  <si>
    <t>cause_of_death</t>
  </si>
  <si>
    <t>possible_factors</t>
  </si>
  <si>
    <t>weather</t>
  </si>
  <si>
    <t>accident</t>
  </si>
  <si>
    <t>BFL1</t>
  </si>
  <si>
    <t>1981-04-11</t>
  </si>
  <si>
    <t>United States of America</t>
  </si>
  <si>
    <t>Suffolk, Virginia, United States of America</t>
  </si>
  <si>
    <t>A</t>
  </si>
  <si>
    <t>slick</t>
  </si>
  <si>
    <t>Slick (Slick)</t>
  </si>
  <si>
    <t>001HE</t>
  </si>
  <si>
    <t>Jump in strong winds</t>
  </si>
  <si>
    <t>The narrative explicitly states strong winds were present and blew the jumper into a guy wire. Jumping an antenna in strong wind conditions is a decision error — the domain reference states that wind evaluation is mandatory for antennas, few objects are good in winds over 10 mph, and none are good over 20 mph. The jumper's decision to jump in strong winds directly led to the fatal object strike.</t>
  </si>
  <si>
    <t>101D</t>
  </si>
  <si>
    <t>Object strike under canopy</t>
  </si>
  <si>
    <t>['Crosswinds on exit', 'Strong winds']</t>
  </si>
  <si>
    <t>['Medium winds', 'Strong winds', 'Sunny']</t>
  </si>
  <si>
    <t>William is doing a 5-second delay from a 1000-foot antenna tower. He is wearing a harness with only a round reserve canopy and an empty main container. After a good opening strong winds blew him into one of the tower's guy wires whereupon the canopy collapsed at 300-feet. The canopy did not re-inflate prior to impact. This is the first fatality in the modern age of BASE jumping.</t>
  </si>
  <si>
    <t>BFL2</t>
  </si>
  <si>
    <t>1981-10-10</t>
  </si>
  <si>
    <t>Colorado, United States of America</t>
  </si>
  <si>
    <t>E</t>
  </si>
  <si>
    <t>003II</t>
  </si>
  <si>
    <t>Insufficient information</t>
  </si>
  <si>
    <t>The narrative states only that the jumper hit the wall after opening and came to rest in an inaccessible position. There is no information about experience level, equipment details, exit quality, body position, off-heading occurrence, packing method, or site conditions beyond 'light and variable' winds. The cause of the object strike cannot be determined from the available information, and there is no positive evidence of a non-human cause either.</t>
  </si>
  <si>
    <t>['Proximity flying']</t>
  </si>
  <si>
    <t>['Winds light and variable']</t>
  </si>
  <si>
    <t>Larry hit the wall after opening and it's reported by others on the load that he came to rest in an inaccessible position.
If you have a information or a picture for this jumper, please contact us.</t>
  </si>
  <si>
    <t>BFL3</t>
  </si>
  <si>
    <t>1982-06-02</t>
  </si>
  <si>
    <t>United Kingdom of Great Britain and Northern Ireland</t>
  </si>
  <si>
    <t>London, United Kingdom of Great Britain and Northern Ireland</t>
  </si>
  <si>
    <t>B</t>
  </si>
  <si>
    <t>Pull-up cord left in closing loop</t>
  </si>
  <si>
    <t>The narrative explicitly states a pull-up cord was left in the closing loop of the container, which is a rigging/packing error that caused a total malfunction on a static line jump from 330 feet. This is a human error in equipment preparation that directly caused the fatality.</t>
  </si>
  <si>
    <t>102S</t>
  </si>
  <si>
    <t>202P</t>
  </si>
  <si>
    <t>Malfunction, Misrigging</t>
  </si>
  <si>
    <t>['Gear failure', 'Pull up cord left attached']</t>
  </si>
  <si>
    <t>['Sunny', 'Winds light and variable']</t>
  </si>
  <si>
    <t>This is the first death of a BASE number holder. Frank had a total malfunction while static lining from 330-feet. A pull-up cord is later found left in the closing loop of his container. Frank, who for the times is an experienced BASE jumper, made everyone realize even the experts required a pin check prior to launch.
If you have any new information please contact us.</t>
  </si>
  <si>
    <t>BFL4</t>
  </si>
  <si>
    <t>1982-08-04</t>
  </si>
  <si>
    <t>California, United States of America</t>
  </si>
  <si>
    <t>Jump in gusty winds</t>
  </si>
  <si>
    <t>The jumper conducted a short-delay cliff jump in gusty mid-day conditions with crosswinds, resulting in an off-heading opening and fatal object strike. The decision to jump in strong, gusty wind conditions is a human error, as the domain reference establishes that few objects are good in winds over 10 mph and wind at opening altitude usually affects openings negatively.</t>
  </si>
  <si>
    <t>204E</t>
  </si>
  <si>
    <t>['180 Offheading', 'Crosswinds on exit', 'Strong winds']</t>
  </si>
  <si>
    <t>['Medium winds', 'Strong winds', 'Sunny', 'Winds light and variable']</t>
  </si>
  <si>
    <t>This is the first Yosemite BASE fatality and the second death of a BASE number holder. The jump is a short delay in gusty mid-day conditions and an off heading opening put Jimmy into the wall.
He is an Internal Revenue Service Agent, He is the first person to BASE jump from a moving vehicle when he launched from a pick-up truck crossing the Pine Valley Bridge using a round parachute (Piglet) in San Diego, California. This jump can be seen in some of Carl Boenish's early films.
Comments from Jimmy's Daughter:Here are some photos of my dad, I will let you choose which one you would like to use.Photo 1 and 4 are on top of El Captain in Yosemite, He does have an El Cap number but I don't have that infophoto 2 is at The Royal Gorge Bridge, 1,000 feet bridge in Coloradophoto 3 is the Vincent Thomas bridge in San Pedro, Ca.
He accomplished 2 chute less and many other amazing jumps before his untimely death.
He was featured on an NBC special called "Daredevils". Which aired Nov 21, 1980The Vincent Thomas Bridge jump, this bridge is about 185 feet of clearance to the water below. This jump wasHis first chute less jump were he and Bill Parson jumped 1500 feet apart and meet up in mid air, my dad then linked himself with risers (straps) on his arms and used snapped rings to attach to Bill's legs, once linked Bill dropped an extension lowering my dad 20 feet to make a safe landing.In Oct 1980 he jumped out of a plane and got back into the same plane without using his chute. After he exited the plane, it descended nose first at 125 mph with a chute slowing it down, my dad then maneuvered himself to the plane, climbed back in and he and the pilot landed safely.
He was also featured on "That's Incredible" twiceFirst, he jumped off a ramp being towed at 75 mph across The Pine Valley Creek Bridge near San Diego, Ca the bridge is 450 feet to the valley belowSecond, was his 2nd chute less jump where he jump from a plane and a bakery bucket was dropped out of a second plane, he then meet up with the bucket in mid air and linked himself with risers, he released the chute from the bucket and deployed it, landing safely.
He was also on the game show To Tell The truth as the featured contestant. This aired Nov 20, 1980
Sorry it took so long to get this to you, I was having computer problemsThank you so much for all you have done,Rachel Tyler Duke</t>
  </si>
  <si>
    <t>BFL5</t>
  </si>
  <si>
    <t>1983-03-07</t>
  </si>
  <si>
    <t>Finland</t>
  </si>
  <si>
    <t>Stockholm, Sweden</t>
  </si>
  <si>
    <t>Improper static line rigging</t>
  </si>
  <si>
    <t>The jumper used a single loose knot to connect the static line break cord to the parachute, whereas other jumpers used double knots. This inadequate knot caused the connection to break prematurely, preventing the static line from extracting the canopy. Combined with using a slow-opening system from a 170m object, the canopy had insufficient altitude to inflate after the rigging failure converted the jump to an unplanned freefall.</t>
  </si>
  <si>
    <t>['Gear failure']</t>
  </si>
  <si>
    <t>Pauli, along with several other jumpers, had been jumping the day prior and landing into very deep snow. The jumpers shook the dry snow out of the canopies prior to packing, but evidently Pauli didn't remove it all. What's left melts inside the packed rig while it sat in a warm room. The jumpers deposit the rigs into the trunk of an old Saab and drive to Stockholm. The temperatures are well below freezing. On deployment Pauli's canopy went to line stretch but is basically a solid block of ice that never inflates.
Update: Pauli did not have his own parachute gear at that time.He had to borrow one. Unfortunately he borrowed a slow opening Unit system. Because the tower was only 170m a static line jump was planned. The jumpers had to use power scissors to get to the roof.
At that time parachute needed a distance of 150m to fully deploy (Static line much less).Jari Mynttinen who later died on Troll Wall was the first to go over.
His jump went perfect. Because, it was a static line jump. They used a rope/thread (normal) to connect static line and and the parachute. Pauli has used loose single knot to connect to the parachute. Others had made douple knots.
At the moment Pauli made the leap, the static line got loose from the parachute.
The connection rope was broken too soon. The static line did not pull/help the pilot chute out of the bag.The jump became a normal freefall at that very moment.Since he was using Unit, a slow opening system even on a regular jump, the parachute had no time to open. One second more and he most likely had survived.</t>
  </si>
  <si>
    <t>BFL6</t>
  </si>
  <si>
    <t>1983-10-01</t>
  </si>
  <si>
    <t>West Virginia, United States of America</t>
  </si>
  <si>
    <t>S</t>
  </si>
  <si>
    <t>Reserve deployment and water egress errors</t>
  </si>
  <si>
    <t>The jumper deployed his reserve too quickly during a slow main opening, resulting in two canopies out and a water landing. After landing in the river and signaling he was okay, he made no attempt to get out of his gear, allowing the reserve canopy to catch the swift current and pull him under. The premature reserve deployment and failure to disconnect from gear in moving water represent identifiable human errors contributing to the fatal drowning.</t>
  </si>
  <si>
    <t>Drowning</t>
  </si>
  <si>
    <t>['Moving water']</t>
  </si>
  <si>
    <t>This is the first Bridge Day fatality. Michael had a slow main opening and deployed his reserve too quickly. With two canopies out he landed in the river and signaled he is all right. He made no attempt to get out of his gear and his reserve canopy caught the swift current and pulled him under the surface. There is only one rescue boat that year, and was busy pulling another jumper from the water.
Since this fatality Bridge Day Jump-masters don't release jumpers until the boats are free and standing by.
If you have a picture for this jumper, please contact us</t>
  </si>
  <si>
    <t>BFL7</t>
  </si>
  <si>
    <t>1984-07-07</t>
  </si>
  <si>
    <t>Andalsnes, Norway</t>
  </si>
  <si>
    <t>New exit point, inadequate separation</t>
  </si>
  <si>
    <t>Carl Boenish chose to jump from a new, unfamiliar launch point rather than the one used all week. This resulted in insufficient separation from the cliff, and after a 180° off-heading opening, his canopy's known severe forward surge drove him into the wall before he could correct. The decision to jump from an unevaluated exit point and the use of an unmodified canopy with a known surge problem constitute identifiable human errors.</t>
  </si>
  <si>
    <t>101D, 102S</t>
  </si>
  <si>
    <t>['180 Offheading', 'Clipped ledge after exiting', 'Not enough separation from object']</t>
  </si>
  <si>
    <t>In 1978 Carl Boenish organized the first expeditions to Yosemite National Park's El Capitan were using ram-air canopies and the ability to track ushered in the modern era of the sport he later named BASE jumping. Through his wonderful films and boundless enthusiasm he showed the world that fixed object jumping is a repeatable act available for any reasonably experienced parachutist. He published the world's first BASE information with BASE Magazine and also began issuing (in 1981) the sequential BASE Number Award (BASE #### ) we still use today. Carl Boenish, and his wife Jean, are in Norway jumping for the cameras of an American TV show called, That's Incredible. After the shoot is finished Carl decides to make one more jump. He jumps from a new launch point, not the one they had been using all week, and the result is his not clearing an outcropping in freefall. Carl Boenish is the first Trollveggen area fatality.
The following is newer (2002) information reported by a local Norwegian BASE jumper. I knew a man who went up to Stabben with Mr. Boenish the day of his fatality. He is a very skilled climber, and knew every rock up there. He helped Mr. Boenish to the top of Stabben (it's a little difficult to get up there) and found himself a good spot to photograph the jump. After Carl's fatality, he threw the camera down the cliff and later said, I didn't want anyone to see pictures of that jump. He then went down and contacted police. This same climber is later killed in an avalanche not far from the Troll Wall in the early 1990s. When Carl Boenish becomes involved in fixed object jumping he's already considered the premier skydiving photographer of his day. He photographed the early days of RW in Southern California, filmed the aerial portions of the MGM movie, The Gypsy Moths, and left us what still are some of the most breathtaking skydiving movies (he called them Film Poems) ever made. With a friendly and inquisitive personality, including an infectious goof ball laugh that heard once is never forgotten, Carl is loved and respected throughout the skydiving world. Now, however, as fixed object jumping begins to make headlines, usually for spectacular mishaps, Carl begins hearing, You are hurting skydiving, from his longtime friends. Carl lost many friends, Jean Boenish later said, because of fixed object jumping, and he never got over that. In 1987 (three years after his death) the skydiving community posthumously forgave Carl Boenish and bestowed their highest honor on him, the USPA Achievement award.
Updated 27th Oct 2024
"Hi JD Walker here, I knew Carl intimately, staying with him, jumping several objects with him, and wanted to correct the record on this accounting of losing him.
The accident gear was a Hanbury Velcro rig, with a hand held 52" Handbury PC, and a 26" chest mounted lopo hand deployed reserve. The canopy was a new ParaFlite "Goliath", 375' 7 cell, UNMODIFED ( he wouldn't let me do a deep brake setting or more modern tail pouch before the trip). Having jumped it myself and seeing Carl use it many times, his canopy had a severe surge upon slider up or down opening - in part responsible for his wall strike and eventual death.
After he died, Jean (his wife, BASE #3) asked me to examine his parachute and sent it to me. I was one of the earliest guys building single container BASE rigs, and am a rigger. It was obvious that the canopy had struck the wall fully inflated, under flight from its damage - there were several broken "A" lines, and multiple snag tears in the nose. The tail of the canopy was virtually undamaged. The climber who filmed it shared  with his local climber friends this story to confirm what happened. After a short delay, Carl pitched his PC &amp; suffered a clean 180 and flew into the wall before he could turn. Carl did not die of impact, he died of a severe chest compression from striking a rock outcropping in the chest. Jean has told me the same conclusion. I had the parachute for 40 years, repairing it enough to jump all 4 objects with my friend Jon Bowlin (BFL in Grand Canyon 1993, that I was involved in) in Carl's memory, in late 1984. To honor my/our friend, on the 40th Anniversary of losing him , despite being now legally blind, I jumped that parachute from the Perrine bridge June 7th, 2024 with a lot of planning and help from my close BASE friends. The parachute is now in the custody of the young man I believe will safeguard it until there is a BASE museum and donate it to that cause when the time occurs in the future (probably in Twin Falls). Carl is sacred man to us early BASE jumpers and its important to us all the record is correct, could please adjust the listing to reflect what happened? Thank you so much, JD - Grand Canyon #1, Arizona BASE #1, BASE arrest #1, Naked BASE #3</t>
  </si>
  <si>
    <t>BFL8</t>
  </si>
  <si>
    <t>1985-08-18</t>
  </si>
  <si>
    <t>Sweden</t>
  </si>
  <si>
    <t>Romsdalen, Norway</t>
  </si>
  <si>
    <t>Unstable exit loss of control</t>
  </si>
  <si>
    <t>The jumper exited head first, went into a spin, lost control, and struck the cliff face at subterminal altitude without deploying a canopy. The head-first exit leading to an unrecoverable spin represents a human error in exit technique, resulting in impact with the object.</t>
  </si>
  <si>
    <t>Impact subterminal (near exit)</t>
  </si>
  <si>
    <t>['Unstable exit']</t>
  </si>
  <si>
    <t>Jorgen jumped head first from Bruraskaret, went into a spin, lost control and hit the cliff face. This is the second Trollveggen area fatality.
If you have a information or a picture for this jumper, please contact us</t>
  </si>
  <si>
    <t>BFL9</t>
  </si>
  <si>
    <t>1985-08-24</t>
  </si>
  <si>
    <t>The narrative states only that the jumper 'lost control' and hit the cliff face, with 'unstable exit' listed as a possible factor. There is no information about the jumper's experience level, equipment details, or specific circumstances that would allow clear identification of a human error pathway versus other causes. The subterminal impact near the exit suggests a very rapid sequence of events, but the minimal narrative does not provide sufficient detail to determine whether this resulted from a specific human error or from factors outside the jumper's control.</t>
  </si>
  <si>
    <t>Jari jumped, lost control, and hit the cliff face.The third fatal Trollveggen accident.</t>
  </si>
  <si>
    <t>BFL10</t>
  </si>
  <si>
    <t>1986-04-26</t>
  </si>
  <si>
    <t>New Zealand</t>
  </si>
  <si>
    <t>New South Wales, Australia</t>
  </si>
  <si>
    <t>Unstable exit and entanglement</t>
  </si>
  <si>
    <t>The narrative describes an unstable exit leading to the jumper catching her feet in lines during deployment, resulting in an off-heading opening and fatal object strike. An unstable exit from a technically difficult object with resulting line entanglement and inability to correct heading represents identifiable human error in exit execution and/or object selection.</t>
  </si>
  <si>
    <t>['180 Offheading', 'Unstable exit']</t>
  </si>
  <si>
    <t>Marilyn's last jump is from a technically difficult waterfall. Apparently she went off unstable, caught her feet in her lines during deployment, had an off heading opening, and then experienced a wall strike. She was very much loved and respected by the community of jumpers in Brisbane and elsewhere.</t>
  </si>
  <si>
    <t>BFL11</t>
  </si>
  <si>
    <t>1986-06-20</t>
  </si>
  <si>
    <t>Australia</t>
  </si>
  <si>
    <t>Unstable exit and deployment</t>
  </si>
  <si>
    <t>The jumper launched head down, lost control, and deployed unstable from a cliff on only his first BASE jump. This represents a human error pathway: a poor exit leading to unstable deployment and subsequent object strike. Despite 2700 skydives, the jumper had no BASE experience to manage the critical exit and deployment sequence at a terminal cliff object.</t>
  </si>
  <si>
    <t>203T</t>
  </si>
  <si>
    <t>Ray (Australian) is an experienced skydiver (2,700 jumps) making his first BASE jump. He launched head down, lost control, deployed unstable and hit the wall. This is Trollveggen's fourth BASE fatality.</t>
  </si>
  <si>
    <t>BFL12</t>
  </si>
  <si>
    <t>1986-10-13</t>
  </si>
  <si>
    <t>Canada</t>
  </si>
  <si>
    <t>Inappropriate equipment selection</t>
  </si>
  <si>
    <t>The jumper used skydiving gear rather than BASE-specific equipment for a BASE jump. The domain reference establishes that BASE canopies are specifically designed for heading performance, and that skydiving gear (sail slider, skydiving container) is not appropriate for BASE applications. The use of skydiving gear with a sail slider is explicitly contraindicated in the domain reference, as sail sliders grossly reduce heading performance. This equipment choice directly contributed to the slow opening and 180-degree off-heading that resulted in landing in rapids and drowning.</t>
  </si>
  <si>
    <t>103II</t>
  </si>
  <si>
    <t>['180 Offheading', 'Moving water', 'Skydive gear used']</t>
  </si>
  <si>
    <t>This is the second New River Gorge Bridge fatality, however, this did not occur during a Bridge Day. Rick is jumping skydiving gear, sail slider up, with a BASE pilot chute. He is low man on a two way and had a slow opening and a 180. After a very short canopy ride he landed in the rapids (the Zipper) directly below the bridge and is drowned.
If you have a picture of this jumper please contact us</t>
  </si>
  <si>
    <t>BFL13</t>
  </si>
  <si>
    <t>1986-11-16</t>
  </si>
  <si>
    <t>Texas, United States of America</t>
  </si>
  <si>
    <t>Skydive gear used for BASE</t>
  </si>
  <si>
    <t>The jumper used skydiving equipment for a BASE jump from a 500-foot antenna, resulting in a total malfunction (impact with nothing out). The domain reference establishes that BASE jumping requires dedicated equipment with appropriately sized pilot chutes; using skydiving gear with an inadequate pilot chute for a short-delay BASE jump constitutes a human error in equipment selection and rigging.</t>
  </si>
  <si>
    <t>Skydive Gear Used</t>
  </si>
  <si>
    <t>['Gear failure', 'Incorrect rigging setup']</t>
  </si>
  <si>
    <t>Jeb jumped from a free standing 500-foot antenna tower with skydiving gear and five or six previous BASE jumps. He impacted with nothing out. This jump cemented the cause for dedicated BASE jumping equipment in the BASE community.After this fatality the need for correct pilot chute sizes came into effect.</t>
  </si>
  <si>
    <t>BFL14</t>
  </si>
  <si>
    <t>1987-05-16</t>
  </si>
  <si>
    <t>Bristol, United Kingdom of Great Britain and Northern Ireland</t>
  </si>
  <si>
    <t>Static line rigging failure</t>
  </si>
  <si>
    <t>The static line parted prior to extracting the canopy, resulting in a total malfunction. The cause of death is listed as malfunction/misrigging, and this was the jumper's first solo pack job with only 4 BASE jumps. The static line failure indicates a rigging error in the deployment system setup, constituting human error in equipment preparation.</t>
  </si>
  <si>
    <t>202P, 203T</t>
  </si>
  <si>
    <t>Mike packed his parachute at the bottom of Clifton Gorge in Bristol. It was Mike's first solo pack job, and he was checked by an experienced BASE jumper, as he packed. Mike had 200 jumps with three previous BASE jumps. The static line parted prior to extracting the canopy.
Another report from this same site included the following warning: Cheddar Gorge is an experienced BASE jumper's site as you need quick reactions for the canopy control side. You need to open, look down, and know instantly how you are going to approach the landing area. There have been at least five lucky escapes from this site.
If you have a picture of this jumper please contact us</t>
  </si>
  <si>
    <t>BFL15</t>
  </si>
  <si>
    <t>1987-08-23</t>
  </si>
  <si>
    <t>Italy</t>
  </si>
  <si>
    <t>Dolomites, Italy</t>
  </si>
  <si>
    <t>Rigging and equipment errors</t>
  </si>
  <si>
    <t>The jumper used skydiving gear for a BASE jump, tied the slider down (incorrect rigging for a 6-second delay from a cliff), and had only one prior BASE jump which was itself unstable. These equipment selection and rigging decisions, combined with minimal experience, constitute clear human errors that led to the off-heading opening, line twists, and fatal object strike.</t>
  </si>
  <si>
    <t>['Incorrect rigging setup', 'Line twists', 'Skydive gear used', 'Unstable exit']</t>
  </si>
  <si>
    <t>(Note: This fatality has just come to light in March of 2006) This jumper had one previous BASE jump, an unstable head down launch from the same site, with the same gear, a week prior to his fatality. His second, and last BASE jump, is in clear WX conditions and light winds. Antonio is wearing a skydiving rig with a Pegasus canopy and a large hand held pilot chute. However, he elected to tie his slider down for a planned six-second delay. The canopy opened with a half line twist and hit the wall whereupon it began a series of wall strikes and collapses. (This report was supplied by friends of Antonio who wanted to make sure he was remembered. Antonio left a wife behind.)</t>
  </si>
  <si>
    <t>BFL16</t>
  </si>
  <si>
    <t>1987-10-01</t>
  </si>
  <si>
    <t>The jumper used a skydiving pilot chute and skydiving bridle for a BASE jump despite being advised by Bridge Day Jumpmasters that this was not the correct setup. The skydiving PC failed to inflate properly (appeared inverted), which is consistent with an undersized/inappropriate PC unable to function at sub-terminal BASE airspeeds. Using skydiving deployment equipment for a BASE jump constitutes a clear equipment selection error.</t>
  </si>
  <si>
    <t>['Extracted Pilot Chute too late', 'Incorrect rigging setup']</t>
  </si>
  <si>
    <t>This is the third New River Gorge Bridge fatality and the second to occur during a Bridge Day.
Steve is making his 3rd jump of the day using a skydiving pilot chute and skydiving bridle. When told by the Bridge Day Jumpmasters this isn't the hot set up Steve replied, It's always worked before. He then launched cleanly for the planned 3-second delay. He released the hand held pilot and the bridle fully extended. However the pilot chute did not inflate (in the video it appears inverted mesh side out.)
To his credit Steve pulled his reserve ripcord handle in the bottom of his fifth second of freefall. but only received line stretch prior to impact. This jump began the process whereby larger BASE pilot chutes and longer BASE bridles became mandatory at Bridge Day.
If you have a picture of this jumper please contact us</t>
  </si>
  <si>
    <t>BFL17</t>
  </si>
  <si>
    <t>1988-01-01</t>
  </si>
  <si>
    <t>South Carolina, United States of America</t>
  </si>
  <si>
    <t>High wind jump decision</t>
  </si>
  <si>
    <t>The narrative reports medium to strong winds at the time of the jump, and the jumper struck a seawall on final approach under canopy. The domain reference establishes that few objects are good in winds over 10 mph and none over 20 mph, and that wind conditions must be evaluated before jumping. The decision to jump in strong winds is a human error, as these conditions were observable and forecastable, and the resulting inability to reach a safe landing area is a foreseeable consequence of jumping in excessive wind.</t>
  </si>
  <si>
    <t>Landing, Approach</t>
  </si>
  <si>
    <t>['Proximity flying', 'Strong winds']</t>
  </si>
  <si>
    <t>Marlen hit a seawall on final approach under canopy. High winds are reported in the area at the time. Marlen is not wearing a helmet. If you have a picture of this jumper please contact us</t>
  </si>
  <si>
    <t>BFL18</t>
  </si>
  <si>
    <t>1988-10-23</t>
  </si>
  <si>
    <t>Over-delay leading to low pull</t>
  </si>
  <si>
    <t>The narrative explicitly states the jumper 'over-delayed' and extracted the pilot chute too late, resulting in impact at line stretch. This is a human error in deployment timing.</t>
  </si>
  <si>
    <t>Low pull</t>
  </si>
  <si>
    <t>['Extracted Pilot Chute too late']</t>
  </si>
  <si>
    <t>Mitch over-delayed and impacted the talus just as he is getting line stretch. This is the second Yosemite Valley fatality with both being off Half Dome.</t>
  </si>
  <si>
    <t>BFL19</t>
  </si>
  <si>
    <t>1989-02-17</t>
  </si>
  <si>
    <t>France</t>
  </si>
  <si>
    <t>Venezuela, Venezuela (Bolivarian Republic of)</t>
  </si>
  <si>
    <t>The jumper used skydiving gear (a skydiving reserve canopy, the Vega 180, packed in a deployment bag) for a BASE jump from a cliff. The cause of death is explicitly listed as 'Skydive Gear Used,' and the domain reference establishes that BASE-specific equipment is required for BASE jumping due to critical differences in heading performance, opening characteristics, and deployment configuration. Using a skydiving reserve canopy for a cliff jump represents a human error in equipment selection that contributed to the 180° off-heading, line twists, wall strike, and fatal outcome.</t>
  </si>
  <si>
    <t>['180 Offheading', 'Line twists']</t>
  </si>
  <si>
    <t>['Sunny']</t>
  </si>
  <si>
    <t>This report is from a witness. I was there at Salto Angel, and I can say nobody saw the entire jump. Considering the trauma Jean-Marc experienced (he died from wounds in his legs and the loss of a lot of blood) I can tell you he hit the wall, for sure.
Jean-Marc is jumping a very small canopy, a skydiving reserve canopy with a attachment point, called the Vega 180. The canopy is packed in a deployment bag. Speculation is he had severe line twists after opening, hit the wall, and then experienced a hard out of control landing in the trees.
Previous to Jean-Marc's leap another jumper, named Catherine, had jumped and also hit the wall. The helicopter (there to ferry jumpers up to the top) mistook Jean-Marc's waves for help as a sign he was all right and went off to rescue Catherine. When it returned Jean-Marc is dead. Jean-Marc was a modern day adventurer who excelled at many disciplines.
In 1988, he is the first to Parapente (Paraglide) from the summit of Mt. Everest.</t>
  </si>
  <si>
    <t>BFL20</t>
  </si>
  <si>
    <t>1989-10-15</t>
  </si>
  <si>
    <t>Premature PC inflation from improper technique</t>
  </si>
  <si>
    <t>The jumper exposed too much of the pilot chute (top plus several inches of mesh) while hand-held, causing it to partially inflate before release. This tipped him backwards and torqued him, producing line twists he could not clear before striking the wall. The improper PC hold technique resulted from a misunderstanding of advice about PC exposure, constituting a human error in deployment execution.</t>
  </si>
  <si>
    <t>['Line twists']</t>
  </si>
  <si>
    <t>David went off hand-held with a large pilot chute. The top of the pilot chute and several inches of mesh were exposed. The pilot chute partially inflated before he released it. This tipped him backwards and torqued him as the canopy opened, giving him multiple line twists. He tried to untwist and almost succeeded, but hit the wall not very far above the bottom. He suffered moderate orthopedic injuries to his lower legs and a gash on his forehead, but what killed him was his camera. David was a professional photographer and stowed his camera inside his jumpsuit with the lens against his body. When he hit the wall, the lens ruptured one or more of his internal organs and he bled to death internally before that injury was noticed or diagnosed. Later investigation revealed that Dave had corresponded with a highly experienced jumper, and had misunderstood that jumper's suggestion about holding a pilot chute with the top outside the hand-hold for faster inflation. Instead of exposing only the top of the PC, he also exposed mesh, which caused it to inflate before he pitched. He was unable to clear the resulting line twists before hitting the wall, in part because the Royal Gorge is only about 150 wide at the point of impact. The Royal Gorge Bridge is first jumped by Don Boyles, using gut gear, in 1975.
If you have a picture of this jumper please contact us</t>
  </si>
  <si>
    <t>BFL21</t>
  </si>
  <si>
    <t>1989-12-17</t>
  </si>
  <si>
    <t>Off-heading with line twists into building</t>
  </si>
  <si>
    <t>The jumper experienced a 180° off-heading opening with line twists from a PCA deployment on a building, resulting in object strike. The narrative identifies contributing factors including line twists preventing heading correction, a toggle that released during cable strike (due to a non-standard tape wrap modification), and the absence of a helmet. The combination of inadequate toggle securing method and lack of protective equipment reflects human error in equipment configuration and preparation.</t>
  </si>
  <si>
    <t>[]</t>
  </si>
  <si>
    <t>Dick is an experienced skydiver (6000+ jumps) and a respected early freefall photographer in Southern California. He took up BASE jumping late in life after making one legal El Capitan jump back in the early days. He is the oldest person to receive a BASE number (at the time) and had 26 BASE jumps when he is killed.
Dick's last jump is via buddy assist (someone holding his pilot chute) that resulted in line twists. Dick first struck a steel cable hanging by the side of the building before suffering a very hard building strike. In looking at the gear later it appeared one toggle, which Dick had wrapped in tape to form big open loops, had released in the initial strike with the cable adding to the speed of the second impact.
Dick isn't wearing a helmet. This fatality brought to light the need for BASE body armor, i.e. helmets, and pads and the necessity for a secure toggle system. Dick's fatality is also the first one on BASE specific gear. Dick is wearing a Velcro closed BASE rig and all previous BASE fatalities have been on skydiving rigs, either pure or modified for BASE.</t>
  </si>
  <si>
    <t>BFL22</t>
  </si>
  <si>
    <t>1990-01-01</t>
  </si>
  <si>
    <t>Germany, Germany</t>
  </si>
  <si>
    <t>The narrative reports associates' belief that the bridle became lodged under the container corner causing a PC in tow, but the account is speculative ('associates believe'), key details are uncertain (nationality, exact span, experience level), and there is insufficient information to determine whether this resulted from a human error (e.g., improper bridle routing by the jumper) or an equipment design deficiency independent of user error. The entry itself notes this event prompted manufacturers to address bridle routing, suggesting a possible design-level issue, but the evidence is too ambiguous to classify definitively as either human error or other cause.</t>
  </si>
  <si>
    <t>PC in tow or PC-Bridle entanglement</t>
  </si>
  <si>
    <t>['Gear failure', 'Pilot Chute Entanglement - PC in tow']</t>
  </si>
  <si>
    <t>Mr. Heron's associates believe part of his bridle became lodged under the lower right hand corner of his BASE rig and the result is a pilot chute in tow. This fatality caused BASE gear manufactures to better address the problem of bridle routing during hand held pilot chute jumps. If you have a picture of this jumper, his Nationality and what Span the jump was from, Please get in contact us.If you have a picture of this jumper please contact us
WE ARE LOOKING FOR ANYONE WHO KNEW THIS JUMPER WE ARE UNSURE OF HIS NATIONALITY!!!</t>
  </si>
  <si>
    <t>BFL23</t>
  </si>
  <si>
    <t>1990-06-10</t>
  </si>
  <si>
    <t>Pennsylvania, United States of America</t>
  </si>
  <si>
    <t>Inappropriate gear and rigging</t>
  </si>
  <si>
    <t>The jumper used a skydiving container (Wonderhog) for a BASE jump rather than a purpose-built BASE container. The narrative indicates the main closing pin was likely over-tensioned by tightening the belly band after the final gear check, and this combined with an early/weak pilot chute throw at low airspeed resulted in a pilot chute in tow total malfunction. Using skydiving equipment with a curved pin system not designed for BASE deployment conditions constitutes a clear human error in equipment selection and rigging.</t>
  </si>
  <si>
    <t>Robert is jumping a skydiving rig (Wonderhog) with a belly band and an empty reserve container. His curved pin is primed half way and he's using a 52-inch BASE pilot chute. After landing, a previous jumper said he watched Robert go somewhat head down and throw his pilot chute early. Robert then towed his inflated pilot chute to impact. The speculation is he tightened his belly band down (after a final gear check by the jumper who went first) and this put too much tension on the main closing pin. Combined with an early pilot chute throw and the associated lack of snatch force this may have caused the pilot chute in tow. The irony here, according to the first jumper, is they had both recently discussed purchasing Velcro closed BASE containers but the cost was an issue. If you have a picture of this jumper please contact us</t>
  </si>
  <si>
    <t>BFL24</t>
  </si>
  <si>
    <t>1992-05-20</t>
  </si>
  <si>
    <t>Head-down exit caused 180 off-heading</t>
  </si>
  <si>
    <t>The jumper exited very head-down, causing the canopy to deploy between his legs and open 180 degrees off-heading, resulting in a surge into the building. He had been repeatedly advised to correct his head-down exits after three prior jumps with the same problem. Additionally, he jumped a building described as being for more experienced jumpers, went without his mentor, used a borrowed skydiving rig with a modified canopy, and carried a prop (box of chocolates) — all indicating multiple human errors in exit technique, progression decisions, and equipment selection.</t>
  </si>
  <si>
    <t>['180 Offheading', 'Gear failure', 'Not enough forward seperation on exit']</t>
  </si>
  <si>
    <t>Darren is doing a direct bag jump and the bag holder dropped the bag. The resulting 180 deployment put Darren into the building. He is jumping a sponsored canopy and carrying a box of Milk Tray chocolates in an attempt to emulate an advert running at the time where a mysterious bloke did extreme things to deliver the chocolates.
UPDATE FROM BASE#229 BELOW The jump was from a hotel in London (300'). Darren He went without his mentor and took along with him some DZ friends to watch. Method of deployment was Pilot Chute Assist. Using a modified Pursuit 230 in a sky diving rig which had been loaned to him. He exited very head down with the canopy deploying between his legs and opening 180 and surging into the building front. The canopy surged and stalled repeatedly, from studying the video post jump Darren was probably unconscious or killed on the first impact and was declared dead on the scene. He had been advised a number of times to sort his exits out as his previous 3 jumps were all head down . Jumping this Hotel was for the more experienced.He was 25 years old
Video of the jump:http://www.youtube.com/watch?v=veeGqZ8jYF0</t>
  </si>
  <si>
    <t>BFL25</t>
  </si>
  <si>
    <t>1993-01-01</t>
  </si>
  <si>
    <t>Germany</t>
  </si>
  <si>
    <t>The narrative provides a secondhand account suggesting line twists combined with turbulent anabatic/waterfall-generated airflow caused repeated object strikes. However, the line twists are speculative ('the jumper's evaluation was'), there is no direct observation confirming line twists occurred, and the actual cause of the canopy repeatedly flying into the cliff is unclear. It cannot be determined whether this was an unforeseeable environmental event (002OC) or a human error in site/conditions assessment (001HE), as the severity of the turbulent conditions relative to what could reasonably have been anticipated is unknown.</t>
  </si>
  <si>
    <t>['Anabatic air flow', 'Line twists']</t>
  </si>
  <si>
    <t>['Medium winds', 'Sunny', 'Winds light and variable']</t>
  </si>
  <si>
    <t>This entry is from information reported by the jumper exiting before her.
He makes note that upon opening he felt extremely turbulent air conditions generated by the waterfall.
In his words you feel some thing is going to kill you and you must fight; the turbulent air was sucking him and he fought until he moved sufficiently away from the cliff where air became stable again. Marita was an experienced skydiver with much more than 3000 skydive and had jumped El Capitan before.
She had a good exit and as the helicopter pilot and guy on top of the cliff said on-heading. So they wondered why she was flying into the tube. She flew through the hole part of the tube, and when arriving at the other side of the cliff, they thought OK, now she gets out of it, but no. The parachute made a left turn at the corner of the cliff and flew up against the wall, this happened altogether three times. At the end the chute collapsed and she slid down until final impact.
The jumpers evaluation was: Marita had a line-twist and when the wind from the left is strong enough it turns your on-heading- chute left into the cliff round (tube).
When you come out on the other side you get the same effect there, the wind goes against the wall,ie makes a round left. When you are still working with the twist you have no chance, it turns you against the wall.</t>
  </si>
  <si>
    <t>BFL26</t>
  </si>
  <si>
    <t>1993-05-09</t>
  </si>
  <si>
    <t>Premature deployment from equipment mismatch</t>
  </si>
  <si>
    <t>The fatality resulted from a premature deployment caused by the pilot chute sliding from its BOC pouch during freefall. The jumper was using a brand-new container system with a BOC configuration he had never used before, and the pouch was reportedly too large for the pilot chute, allowing fabric pulled out during pin checks to catch air. Using an unfamiliar container system without verifying proper PC/pouch fit constitutes a human error in equipment setup and pre-jump verification.</t>
  </si>
  <si>
    <t>Canopy collision</t>
  </si>
  <si>
    <t>['Canopy Entanglement', 'Gear failure', 'Not enough separation from object']</t>
  </si>
  <si>
    <t>Jonathan entangled with another jumper's canopy after a premature opening during a 2-way. It's reported his new ZP pilot chute slid from its pouch. This is the first time Jonathan used the setup and the report indicated the pouch may have been too big for the pilot chute.
If you have a picture of this jumper please contact us
Update 11th Feb 2023
Description: It happened on mother's day, 1993. We were jumping a site I found in the mid-80's, an overhanging, 1700' wall, that required a helicopter to access - it was on a true pinnacle in a bend of the Little Colorado, just before it dumps into the Colorado. We made many, many trips there.Jon had just gotten re-married, and came out after a commercial TV shoot, as I had an extra day with guides, permits, and helicopter, that I couldn't get refunded, so I called a lot of friends who came out.Jon had a brand-new Vision Systems rig, single canopy system. It had a BOC on it, that Jon had never used that style before. He had a 38" PC with an 8' bridle as supplied with the rig.
Jon also had, brand new, pink PD 230, never jumped unmodified canopy. I am/was a rigger who built &amp; modified gear, and we discussed doing the typical mods for that timeframe on it - those being moving the inner steering lines in a half cell, a deep brake setting ( or 2 ), a tail pouch with locking stow, and releasable toggle keepers ( some folks wanted that for slider down jumps), among other things.However, it was brand new, he just got it like a few days before; we discussed if it was Ok to use on this huge wall, without mods, and as one could get terminal, and track, we decided it was OK to jump that day.Plan was myself taking a 6 sec delay, Jon at least an 8. As we did pin checks, Jon pulled a small amount of fabric out of the pouch, to have plenty to grab on to, and we exited. The accident jump was video filmed from the ground, and still photos from the top. Upon my deploying, Jons PC, unbeknownst to him grabbed enough air to accidentally deploy, he was in a dead track, it opened 90 degrees to the right, violently surged, as all skydive canopies do, and ran into me. A cell wrapped over my head, and I was blind, and choking. I was wrapped completely,
My canopy was mostly open; and Jon was hanging beneath me, swinging back &amp; forth (seen on video). the canopy slowed turned, eventually ran into the wall, whereupon it split, nose to tail in the centre, and we started a violent "helicoptering", striking the wall repeatedly. It was by any definition, a freak accident - eliminate any of the things that went wrong - the premature deployment, the off heading, a fraction of a second higher, or lower, or even myself on the bottom ( for that height, I had a highly modified Racer, with a mesh slider, square reserve that would open in about 80-90'), and the incident would have been a fun bar story, instead a horrific tragedy.
By the video we estimated we impacted at 55-60 MPH. Jon Died an hour later of a torn Aorta, I was conscious I am told, but don't remember it after hitting the ground.The rescue took 8 hours, as were on top of a 400-450' 45-degree talus of very jagged nasty volcanic rocks and I had to be "basketed" down.I was in hospital for weeks, coma, and spent quite a while in a wheelchair, and a walker.I didn't work for a year.
https://drive.google.com/file/d/12H_rtseDw91gMR4dJuzCjUb2O5lVS-_M/view</t>
  </si>
  <si>
    <t>BFL27</t>
  </si>
  <si>
    <t>1993-05-21</t>
  </si>
  <si>
    <t>Off-heading with inadequate response</t>
  </si>
  <si>
    <t>The jumper experienced a 180° off-heading opening and failed to adequately respond with heading correction, resulting in object strike under canopy. The possible factors explicitly identify insufficient forward separation on exit and the 180° off-heading. The failure to correct heading after an off-heading opening near a cliff wall constitutes identifiable human error in the deployment and canopy control sequence.</t>
  </si>
  <si>
    <t>201C2, 201C3</t>
  </si>
  <si>
    <t>['180 Offheading', 'Not enough forward seperation on exit']</t>
  </si>
  <si>
    <t>['Sunset', 'Winds light and variable']</t>
  </si>
  <si>
    <t>The third Australian BASE fatality. Joe is so nervous about the jump that friends later remarked about it. Apparently he had an off heading opening and failed to adequately respond. He hit the wall several times and lay injured at the bottom. It is reported with some speculation that if someone on the load had some basic first aid skills, Joe might have survived.
- Updated report by First Responder on Scene.After Joe hit the ground, Peter B, a jumper with First Aid Certificate and experience attending to parachuting accidents was with Joe within 10 seconds. About 20 minutes after the accident Joe stopped breathing. At that point Peter moved Joe's body into a recovery position and Joe began breathing again. It became obvious to him that broken ribs had punctured Joe's lungs. He also had at least one broken leg and numerous facial and head lacerations (his helmet was torn off during the accident). 10 minutes later Joe stopped breathing again and CPR was ineffective. Joe never regained consciousness throughout these efforts. Rescue Services arrived an hour later and the helicopter an hour after that when it was too dark to winch out of the 900ft gorge.
Reportedly, an off the record comment was made by medical staff that he would have died even if the helicopter had been there within 5 minutes.
If you have a picture, or more details of this jumper, please contact us.</t>
  </si>
  <si>
    <t>BFL28</t>
  </si>
  <si>
    <t>1993-09-25</t>
  </si>
  <si>
    <t>Altitude awareness loss and insufficient training</t>
  </si>
  <si>
    <t>The jumper held a head-high attitude for too long, lost altitude awareness, and impacted the wall in terminal freefall without deploying. The narrative explicitly identifies altitude awareness failure and insufficient training/experience as contributing factors, and notes the jumper was given a jump beyond her abilities.</t>
  </si>
  <si>
    <t>201C1, 203T</t>
  </si>
  <si>
    <t>Impact in terminal freefall</t>
  </si>
  <si>
    <t>['Altitude awareness', 'No or little training']</t>
  </si>
  <si>
    <t>Susan is the first El Capitan fatality and Yosemite's third BASE fatality overall. She held a head high attitude for too long, lost altitude awareness, and backed into the wall in her 15th second of freefall. This jump began the process of insisting people who begin BASE jumping have at least 150 previous parachutes jumps. There is also a side issue involving people without much experience being handed BASE jumps beyond their abilities. Load organizer Keith Jones is arrested by the Park Service (after staying behind to lead recovery efforts) and charged with manslaughter. The charges are later reduced to aerial delivery.
If you have a picture, or more details of this jumper, please contact us.</t>
  </si>
  <si>
    <t>BFL29</t>
  </si>
  <si>
    <t>1993-11-15</t>
  </si>
  <si>
    <t>The narrative provides conflicting accounts of the fatality. It is unclear whether the jumper fell before setting up for the jump (a pre-jump slip/fall from the building without the rig on) or attempted a jump with a tied-shut rig. Key evidence conflicts: one account says the rig was found on the body tied shut, another says the rig was found at the top of the building. The narrative itself states 'It's inconclusive today whether Jason fell with his rig on and tied shut or without it on.' Without resolving this fundamental ambiguity, neither a specific human error pathway nor a non-human cause can be reliably determined.</t>
  </si>
  <si>
    <t>['Fell before setting up', 'Gear failure', 'Skydive gear used', 'Unstable exit']</t>
  </si>
  <si>
    <t>I'm getting conflicting reports regarding this fatality. However, the bottom line is Jason had BASE jumped this building several times before and is found dead in the street below it. No witness or state of the gear reports exist. To be fair to history Jason was a bit of a showboat who liked publicity, and this caused him friction with other BASE jumpers.
2009-01-30An updated has been received from a friend of Jason's:
It is true that he was found dead at the bottom of Blues Point Tower in Sydney and that he appeared to be with no one else. There were witnesses who lived in the building who heard him as he fell past.
I was one of the people who inspected his rig at the police station after his death. The police told us that the rig was exactly as they had found it, and it was still tied closed with a chord.
At the time, Jason use to pack his gear, and then tie it closed to stop any premature opening while carrying it to the launch site.
We were also told that one of his shoes had come off and was still on top of the building when he died. On further investigation, it became obvious that he fell from the building prior to setting up for his jump.
Like any of the people who have been killed in the sport, it is a shame and I believe avoidable.
Since this jump there have been more deaths attributed to people forgetting to take off something they've used to tie around they're pilot chute. I personally don't understand the need for this and even less understand why this mistake continues to happen. An email received in 2009 suggest that witnesses interviewed in a 1995 documentary mention that the rig was found at the top of the building and the slip must have occurred while just checking out the exit point. It's inconclusive today whether Jason fell with his rig on and tied shut or without it on.</t>
  </si>
  <si>
    <t>BFL30</t>
  </si>
  <si>
    <t>1994-04-03</t>
  </si>
  <si>
    <t>Mississippi, United States of America</t>
  </si>
  <si>
    <t>The jumper used skydiving equipment for a BASE jump from an antenna, which is explicitly identified as the cause of death. The skydive gear sniveled to impact - skydiving equipment is not configured for the rapid deployments required in BASE jumping. There is no evidence of BASE training or experience, indicating fundamental decision errors in attempting a BASE jump without proper equipment or preparation.</t>
  </si>
  <si>
    <t>['No or little training', 'Skydive gear used']</t>
  </si>
  <si>
    <t>Andre is an expired USPA A license holder and an Army officer. There are three observers on the load, one is a buddy of his and the other two are girlfriends. Andre's skydiving gear sniveled to impact. There is nothing to suggest any previous BASE experience or training.
If you have a picture, or more details of this jumper, please contact us.</t>
  </si>
  <si>
    <t>BFL31</t>
  </si>
  <si>
    <t>1994-04-15</t>
  </si>
  <si>
    <t>Switzerland</t>
  </si>
  <si>
    <t>Lauterbrunnen, Switzerland</t>
  </si>
  <si>
    <t>The narrative describes a spinning main canopy malfunction followed by a cutaway and reserve deployment with line twists, but provides no information about the jumper's experience level, packing practices, body position, or the specific cause of the initial malfunction. Without details on what caused the spinning main or whether any human error contributed to the malfunction sequence, neither 001HE nor 002OC can be adequately supported.</t>
  </si>
  <si>
    <t>Xaver cutaway a spinning main canopy malfunction using a two canopy BASE container (Sorcerer). The reserve opened with line twists that did not clear prior to impact.
Xaver is well known, even legendary, in the climbing community for his big wall solo accents.
If you have a picture, or more details of this jumper, please contact us.</t>
  </si>
  <si>
    <t>BFL32</t>
  </si>
  <si>
    <t>1994-09-15</t>
  </si>
  <si>
    <t>Arizona, United States of America</t>
  </si>
  <si>
    <t>Inexperienced jumper, inadequate equipment and technique</t>
  </si>
  <si>
    <t>The jumper was an experienced skydiver but had no BASE jumping experience, making his first BASE jump after joining a trip as ground crew. He used an unmodified square canopy without deep brake settings on a sheer cliff that required freefall and ideally a round canopy. The combination of jumping without proper BASE training/experience, using inappropriate equipment configuration for the object, and the resulting 180° off-heading with line twists leading to object strike constitutes clear human error.</t>
  </si>
  <si>
    <t>202P1, 203T</t>
  </si>
  <si>
    <t>This is an experienced skydiver who went along on a week long BASE trip as ground crew. Later in the week he expressed an interest in making a BASE jump himself. His jump resulted in a wall strike. He is pulled from the water and later he died. This jump resulted in manslaughter charges and law suits between jumpers and Park Service officials. The jumper's contention is Lake Powell is legal for sea-plane landings so should be legal for parachute landings as well.
Update: On the afternoon of September 15th, rangers received a cellular phone request for medical assistance for a person with life-threatening injuries who'd fallen from a cliff near the mouth of the Escalante arm of Lake Powell. Upon arrival, they found that Paul Thompson, 51, of Dixon, California, had already expired. Thompson was part of a group of seven BASE jumpers who'd made several parachute jumps from the cliff face just south of the Escalante confluence. Witnesses said that his chute deployed upon jumping, but that Thompson got twisted around and struck the cliff face several times because of the parachute's pendulum effect.
Update 9th Feb 2023Paul was jumping an unmodified square, no deep brake settings or other mods. The wall is basically sheer, and is best done with a freefall, and a round canopy.
If you have a picture of this jumper please contact us.</t>
  </si>
  <si>
    <t>BFL33</t>
  </si>
  <si>
    <t>1995-10-01</t>
  </si>
  <si>
    <t>Niagra Falls, Canada</t>
  </si>
  <si>
    <t>The narrative indicates a rocket/parachute system attached to a life jacket failed to deploy during a jet ski stunt over Niagara Falls, with 'Gear failure' listed as a possible factor. However, there is insufficient information to determine whether the deployment failure resulted from human error (improper rigging, packing, or equipment selection) or from an equipment malfunction independent of human error. The jumper's experience level, equipment details, and specific failure mechanism are not reported.</t>
  </si>
  <si>
    <t>Information source: http://www.reservationsystems.com/ni...overacker.html
Robert Overacker DAREDEVIL FIFTEEN
In July of 1992 Bob Overacker, a California native who had lived in New Jersey as a young man came to Niagara Falls hoping to drive a jet ski over the falls. His idea was to gain enough speed at the brink to project his jet ski far enough away from the grasp of the churning rapids. He would then release a parachute that he had attached to his life jacket and slowly drift to the rapids below.
When a stunter makes a decision to perform something of this magnitude he usually puts a lot of careful thought and planning into it. Robert Overacker was no different. He had made many calculations and planned his strategy well. However there was one issue he failed to take into consideration.
The Niagara Parks Commission will not agree to such stunts and anyone caught doing so is promptly arrested. Robert Overacker knew about this and he thought that by attempting his ride early in the morning he would avoid the throngs of spectators and thus possible arrest by the Parks Police.
However the one thing that Robert did not take into account was that much of the water is diverted to hydroelectric plants through the night, making navigation difficult due to exposed rocks. Frustrated, Overacker decided to abandon his attempt.for the time being.
In September 1995 Robert Overacker once again returned from California to Niagara Falls with a trailer containing his Kawasaki. On the side of his jet ski were the words save the homeless, a cause that Overacker was dedicating his trip to. On October 1st with the help of some friends, Overackers jet ski was towed to the upper Niagara River near Dufferin Islands.
His friends, including a half brother had positioned themselves at a strategic point where they would be able to videotape the whole event. Robert Overacker was last seen saluting the spectators as his jet ski careened over the brink. Moments later he was spotted in the churning rapids below.
At first it seemed that he had survived the plunge, but the rapids have a strange way of flailing a corpses arms around, often giving the appearance of a person swimming. Robert Overacker was later retrieved from the water, taken to Niagara General Hospital where he was pronounced dead.</t>
  </si>
  <si>
    <t>BFL34</t>
  </si>
  <si>
    <t>1995-12-20</t>
  </si>
  <si>
    <t>Static line misrigging</t>
  </si>
  <si>
    <t>The jumper stowed the pilot chute in the BOC pouch during a static line jump, contrary to accepted practice which states the PC must never be stowed during static line jumps. This incorrect rigging caused the break cord to part prematurely at a right angle before extracting the canopy, resulting in a total malfunction.</t>
  </si>
  <si>
    <t>['Gear failure', 'Incorrect rigging setup', 'Pilot Chute Entanglement - PC in tow']</t>
  </si>
  <si>
    <t>Theresa is doing a static line jump from a low cliff. At the last moment, instead of leaving the tied off pilot chute on the ground next to her launch point, she decided to place the pilot chute into the BOC pouch of her BASE container. When the static line became taught, it applied forces to the pilot chute at a right angle and the break cord prematurely parted before extracting the pilot chute and bridle from the pouch.
Theresa is a live wire to all who knew her. She is a local radio personality under the name of Gina Davis and is responsible for the first ever corporately sponsored BASE jumps she organized for one of Magic Mountain's opening days in California. Theresa and I are room-mates and she is missed by all who knew her.
If you have a picture, or more details of this jumper, please contact us.</t>
  </si>
  <si>
    <t>BFL35</t>
  </si>
  <si>
    <t>1996-01-01</t>
  </si>
  <si>
    <t>Canopy control error in tight landing</t>
  </si>
  <si>
    <t>The jumper flew himself into a corner in the canyon landing area and performed a panic hook turn into the canyon wall. With only 30 skydives, the jumper was severely under the accepted minimum of 200+ skydives before beginning BASE, indicating grossly inadequate canopy piloting skills for the tight landing area. The fatal outcome resulted from identifiable human errors in canopy control and decision-making.</t>
  </si>
  <si>
    <t>201C2, 203T</t>
  </si>
  <si>
    <t>Don had 30 skydives and an unknown amount of BASE jumps when he had another person pack his parachute for this jump.
The report included the line, Don is an idiot when it came to assessing risks.
On a previous occasion he decided to teach a climbing buddy of his to BASE jump. He correctly figured some skydiving experience would be helpful so he forged a logbook to make his buddy look USPA B license qualified. The report stated, Don took this two-way out of a plane that almost killed them both. He later took this same friend off a tower.
Don flew himself into a corner, after this bridge jump, and panic hooked himself into the canyon wall. He died from severe head trauma. This and the only previous fatality from this bridge both involve canopy control problems in the tight landing area.</t>
  </si>
  <si>
    <t>BFL36</t>
  </si>
  <si>
    <t>1996-08-16</t>
  </si>
  <si>
    <t>Lysefjorden, Norway</t>
  </si>
  <si>
    <t>Insufficient separation from object</t>
  </si>
  <si>
    <t>The jumper prioritized closing the gap with his filming partner rather than maintaining adequate forward separation from the cliff wall. This decision resulted in insufficient object separation at deployment time, leaving him only ~2 seconds from impact when he pitched, leading to a fatal wall strike during deployment. The narrative explicitly identifies focusing on filming and not enough separation from the object as contributing factors.</t>
  </si>
  <si>
    <t>201C</t>
  </si>
  <si>
    <t>['Extracted Pilot Chute too late', 'Focusing on filming', 'Not enough separation from object']</t>
  </si>
  <si>
    <t>: Sébastien was on a 2-way where he was supposed to track on his back fro the first 10-12 seconds filming the second jumper who would be tracking right above him. The plan was for Sébastien to flip to his belly at that point and track to the left while the jumper above him would head to the right. After the exit, there was more gap between the jumpers than they would have liked for the video so they concentrated on closing it up instead of maxing their forward movement. When it was was time for Sébastien to flip over, and the 2 way to separate, it became apparent that they had not tracked far enough from the wall and were approaching the talus. Reportedly they were 2 seconds to impact. Sébastien immediately pitched and hit the wall during deployment. The second jumper tracked for his life and was able to out track the slope of the talus regaining some altitude and pitched. He opened off heading in line twists from the track and was able to clear them and avoid a wall strike. This jumper had been experimenting with early designs of track pants and wingsuits and before jumping decided to use a new set of pants that was given to him to try out. The use of these track pants most likely contributed to him being able to save his life</t>
  </si>
  <si>
    <t>BFL37</t>
  </si>
  <si>
    <t>1996-10-21</t>
  </si>
  <si>
    <t>The narrative provides conflicting witness accounts - some describe an unstable exit and deployment leading to wall strike, while others speculate the harness was connected backwards. A rigger's investigation was prevented by Park Service officials, so the actual cause was never determined. There is insufficient information to definitively identify a human error pathway or confirm a non-human cause.</t>
  </si>
  <si>
    <t>This is the second El Capitan fatality and Yosemite's fourth BASE fatality overall.
He is nicknamed after the cartoon character Maggilla Gorilla and is one of those warm and fuzzy people who are a joy to be around.
I knew him from working at his DZ for a time in Buckeye, Arizona. One night he asked if I'd like to see a video of his one and only BASE jump. The jump is from El Capitan, and from looking at the video, and from what he told me later, the jump spooked him so bad he swore, he'd stick to the DZ and never go BASE jumping again! So it is with some surprise, I learned a few months later, he did indeed return to El Capitan for another jump.
Witness accounts differ with some saying he did a short, out of control delay, deployed unstable, and hit the wall.
Others thought his parachute is hooked up to his harness backwards. A timely rigger's investigation into the state of the gear is prevented by Park Service officials.
If you have a picture, or more details of this jumper, please contact us.</t>
  </si>
  <si>
    <t>BFL38</t>
  </si>
  <si>
    <t>1996-10-28</t>
  </si>
  <si>
    <t>Magland, France</t>
  </si>
  <si>
    <t>The canopy deployed successfully ('perfectly deployed'), yet the jumper died from object strike under canopy. The narrative provides no information about what caused the object strike — whether it was an off-heading opening, navigational error in night conditions, canopy control failure, or another factor. While several speculative possibilities exist (night visibility, unfamiliar canopy characteristics, equipment choice), the narrative does not contain sufficient detail to clearly identify a human error pathway or to positively establish a non-human cause.</t>
  </si>
  <si>
    <t>['Night time', 'Winds light and variable']</t>
  </si>
  <si>
    <t>BASE 429. Alex had 30 BASE jumps and is a very experienced skydiver. This jump took place from a launch point well known to him, at night, with no wind and under a full moon.
Witness reports state he did a short delay considering the altitude available and then lost sight of him. Alex is found dead hours later by a rescue team. The rig is reported to be packed slider up (single canopy container, but an old skydiving canopy more or less adapted for BASE). The report went on to say the canopy seems to have been perfectly deployed.
If you have a picture, or more details of this jumper, please contact us.</t>
  </si>
  <si>
    <t>BFL39</t>
  </si>
  <si>
    <t>1996-12-25</t>
  </si>
  <si>
    <t>Fox Glacier, New Zealand</t>
  </si>
  <si>
    <t>The narrative reports a 180 off-heading opening from a 300-metre cliff resulting in object strike. However, there is insufficient information about the jumper's experience level, equipment configuration details, packing practices, site evaluation, or specific conditions to determine whether a human error pathway caused the off-heading, or whether this resulted from factors outside reasonable control. The companion also experienced an off-heading on the same jump, which could suggest environmental or site factors, but this is speculative. Neither 001HE nor 002OC can be adequately supported.</t>
  </si>
  <si>
    <t>['180 Offheading']</t>
  </si>
  <si>
    <t>Gary is a popular Southern California camera jumper who went to work in New Zealand for a season to film skydiving tandems. During a BASE jump Gary hit a wall under canopy and fell the rest of the way.
I worked at a DZ with Gary in California and he was a great fellow and a heads up jumper. Gary's family is actively trying to track down more information on Gary's fatality. They are especially looking to contact his girlfriend who witnessed the jump. Anyone with information can e-mail here.
UPDATE DELIVERED ON 13-DEC-2009 Gary Ervin Dawson, 29, of Los Angeles was killed while jumping from a Cone Rock at Fox Glacier on the West Coast.
Mr Dawson and a companion were base jumping from the 300 metre rock.
His companion John Berry jumped first and got into difficulty when his parachute opened unevenly, and turned him toward the rock face. He was stranded on a ledge about halfway down. Mr Dawson jumped next, and his parachute also deployed unevenly, and he snagged on the same ledge that Mr Berry caught, then plunged to his death at the base of the rock. Mr Dawson had been in New Zealand for two years, and both he and Mr Berry are regarded as experts by the base jumping community
If you have a picture, or more details of this jumper, please contact us.</t>
  </si>
  <si>
    <t>BFL40</t>
  </si>
  <si>
    <t>1997-07-29</t>
  </si>
  <si>
    <t>Late deployment after unstable exit</t>
  </si>
  <si>
    <t>The jumper had an unstable exit and took 12 seconds to recover stability before deploying, resulting in impact at 12.7 seconds. Deploying too late after failing to prioritize pulling over stability recovery is a clear human error. Additionally, the jumper reportedly refused offered instruction prior to the jump.</t>
  </si>
  <si>
    <t>['Extracted Pilot Chute too late', 'Unstable exit']</t>
  </si>
  <si>
    <t>This jump began with an unstable launch and it took the jumper 12 seconds to recover stability and deploy her main pilot chute.However, impact occurred at 12.7 seconds.It is reported this jumper is offered instruction prior to the jump and that she refused it.no matter what, you need to pull. Know your limits !!!*
If you have a picture, or more details of this jumper, please contact us.</t>
  </si>
  <si>
    <t>BFL41</t>
  </si>
  <si>
    <t>1997-08-04</t>
  </si>
  <si>
    <t>Denmark</t>
  </si>
  <si>
    <t>Insufficient separation and canopy response</t>
  </si>
  <si>
    <t>The jumper struck the cliff under canopy after opening near an underhung wall section with insufficient forward separation. The narrative identifies multiple human error pathways: the jumper had been repeatedly advised to apply deeper brake settings to a non-BASE-specific canopy to reduce surge/drive, and had been repeatedly told to be more responsive during the opening sequence. The possible factors include insufficient forward separation on exit and possible line twists. Whether the primary cause was inadequate exit separation from a wall that becomes underhung, failure to configure appropriate brake settings on a non-BASE canopy, or delayed canopy input, human error contributed to the fatal outcome.</t>
  </si>
  <si>
    <t>['Line twists', 'Not enough forward seperation on exit']</t>
  </si>
  <si>
    <t>ORIGINAL ENTRY FROM BASE194Petersen died from exposure after spending several hours/the night on the wall where he struck the cliff and became trapped. He had been repeatedly told, by other jumpers, to be more responsive during the canopy opening sequence. He had also been repeatedly advised to apply deeper brake settings to his non-BASE specific canopy in order to avoid its excessive surge and drive. Eyewitnesses claim he had ample room and time to employ commonly practiced evasive maneuvers but he allowed his canopy to fly into the cliff. There is also an inference that the Police/National Parks authorities would not initiate their own rescue effort or let several reasonably equipped jumpers abseil to Peter and extricate him from the cliff. Authorities say it's because the rescue is too dangerous, jumpers say they are motivated by other reasons. END ORIGINAL
UPDATEThis update comes from a jumper on the load: Torben was under canopy for only a very short time when he hit the wall and he did not have a chance to turn away from the cliff face. This is due to the fact that after about 4 seconds the wall becomes underhung and you open directly beside the wall - hence I doubt if the gear was a huge factor in his death. I along with another person on the jump believe he may have had line twists too. END UPDATE
The update still reinforces quick decision making and immediate canopy input is a required skill. Dare I say it may even be more important than 'hucking a gainer'.
If you have a picture, or more details of this jumper, please contact us.</t>
  </si>
  <si>
    <t>BFL42</t>
  </si>
  <si>
    <t>1997-12-02</t>
  </si>
  <si>
    <t>Skydive gear without training</t>
  </si>
  <si>
    <t>The jumper used a skydiving rig not modified for BASE jumping, which included a bungee-controlled collapsible pilot chute unsuitable for low-airspeed BASE deployments. He had no prior BASE training or experience. These equipment selection and preparation errors directly caused the fatal total malfunction.</t>
  </si>
  <si>
    <t>201C3, 203T</t>
  </si>
  <si>
    <t>['Gear failure', 'No or little training', 'Skydive gear used']</t>
  </si>
  <si>
    <t>['Sunset']</t>
  </si>
  <si>
    <t>Christopher is dead when his feet leave the tower is what other jumpers said after this fatality. Using a skydiving rig not modified for BASE, and without any prior BASE training or experience, he climbed 364-feet up a 450-foot tower and jumped only to find his bungee controlled collapsible pilot chute didn't work well at slow airspeeds.
A passer-by found Kennedy's body near the tower the next morning. He had pulled his reserve handle at some point prior to impact. Alcohol may have been a contributing factor in this fatality.
If you have a picture, or more details of this jumper, please contact us.</t>
  </si>
  <si>
    <t>BFL43</t>
  </si>
  <si>
    <t>1998-05-14</t>
  </si>
  <si>
    <t>Late deployment from over-delay</t>
  </si>
  <si>
    <t>The narrative and structured fields indicate the jumper extracted the pilot chute too late (over-delay) from a 1249-foot antenna, resulting in a fatally low pull. Delaying deployment beyond the altitude required for safe canopy inflation is a human error in judgment or execution.</t>
  </si>
  <si>
    <t>Bob is alone when he jumped from this 1249' foot broadcast tower. He is found dead underneath his parachute the next afternoon by two of his friends.The suspect cause here is an over- delay.</t>
  </si>
  <si>
    <t>BFL44</t>
  </si>
  <si>
    <t>1999-07-07</t>
  </si>
  <si>
    <t>Norway</t>
  </si>
  <si>
    <t>Jump into obscured conditions</t>
  </si>
  <si>
    <t>The jumper jumped into a fog bank (low-level clouds), which resulted in loss of spatial orientation under canopy and fatal object strike. Jumping into conditions with obscured visibility is a decision within the jumper's control; low-level clouds were observable before exit, making the decision to jump into them a human error rather than an unforeseeable event.</t>
  </si>
  <si>
    <t>['Low level clouds', 'Sunny', 'Winds light and variable']</t>
  </si>
  <si>
    <t>Thor is reported to have jumped into a fog bank and may have lost his bearings once under canopy and hit the wall.
Thor is a popular BASE jumper and is one of six known people to jump from the World Trade Center Towers in New York City.(The other five are Owen Quinn, Van Refuse, Nick Feteris and John Vincent. The sixth is a jumper who chooses to remain anonymous).</t>
  </si>
  <si>
    <t>BFL45</t>
  </si>
  <si>
    <t>1999-08-04</t>
  </si>
  <si>
    <t>Unstable exit leading to object strike</t>
  </si>
  <si>
    <t>The narrative explicitly describes an unstable head-down launch followed by insufficient separation from the object, resulting in the jumper striking the wall at eight seconds. The unstable exit is a human performance failure that directly led to inadequate object separation and fatal impact.</t>
  </si>
  <si>
    <t>['Clipped ledge after exiting', 'Not enough separation from object', 'Unstable exit']</t>
  </si>
  <si>
    <t>Daniel (Australian) had an unstable head down launch. He then tried out tracking the ledge and hit the wall at eight seconds. His canopy deployed, it hit the wall, and deflated. Daniel tumbled down and came to rest under the ice at the top of the talus.
It took 45-days to recover Daniel's body.
This is Trollveggen's fifth BASE fatality.</t>
  </si>
  <si>
    <t>BFL46</t>
  </si>
  <si>
    <t>1999-08-08</t>
  </si>
  <si>
    <t>Oregon, United States of America</t>
  </si>
  <si>
    <t>The narrative provides minimal technical detail about the jump. The 'Possible Factors' field lists extracted pilot chute too late and insufficient forward separation, but these are speculative attributions without supporting evidence in the narrative. There is no information about the jumper's experience level, equipment configuration details, the specific exit point characteristics, or what occurred during freefall and deployment. The cause of death (object strike under canopy) is established, but the chain of events leading to it cannot be reliably determined from the available information.</t>
  </si>
  <si>
    <t>['Extracted Pilot Chute too late', 'Not enough forward seperation on exit']</t>
  </si>
  <si>
    <t>Joshua is BASE jumping alone when friends reported him overdue to return. They found his car at Crown Point and called in search &amp; rescue teams. Searchers found his body about 450 feet from the top. He appears to have died after hitting the wall under canopy.
In 2006 I received this report from Josh's wife: How dare Slim Simpson (NOW DEAD), Nik Harshorne (NOW DEAD), and Jason Zaslaw say that they reported Josh being overdue... I, Marie McVay was the one reported him over due! I had a 7 month old daughter at the time of his death... I was on the phone with him when he died. His phone was on in his fanny pack that was on his waist. I heard him scream, HELP ME! and heard him go through the tree branches, which strucked from his right side of his body throughtout his left side of his neck.
Please change your comment how he died!!! It was not true!!! This upset me greatly. I hate your additive sport, which caused Josh to die! If it wasn't for this sport he would still be alive!!!If you have a picture of this jumper please contact us</t>
  </si>
  <si>
    <t>BFL47</t>
  </si>
  <si>
    <t>1999-08-15</t>
  </si>
  <si>
    <t>Russian Federation</t>
  </si>
  <si>
    <t>Insufficient separation and late deployment</t>
  </si>
  <si>
    <t>The narrative and possible factors indicate the jumper clipped a ledge after exiting, did not achieve enough forward separation, and extracted the pilot chute too late. These factors point to human errors in exit technique and deployment timing that resulted in insufficient object separation, leading to fatal wall impact. The jumper also was not wearing a helmet, though the primary cause was impact in terminal freefall.</t>
  </si>
  <si>
    <t>['Clipped ledge after exiting', 'Extracted Pilot Chute too late', 'Not enough forward seperation on exit']</t>
  </si>
  <si>
    <t>It's reported this jumper made no control inputs after canopy deployment and hit the wall coming to rest on a ledge. He appears to have died from severe head injuries in the initial impact with the wall. He is not wearing a helmet.
If you have a picture of this jumper please contact us</t>
  </si>
  <si>
    <t>BFL48</t>
  </si>
  <si>
    <t>1999-10-22</t>
  </si>
  <si>
    <t>Wrong PC location reached</t>
  </si>
  <si>
    <t>The jumper used a system with a leg-mounted pilot chute pouch but instinctively reached for the BOC location she was accustomed to. After failing to locate the pilot chute handle, she ran out of time to deploy, resulting in impact without canopy extraction. This represents a human error in both the decision to jump an unfamiliar deployment system and the failure to execute the correct deployment procedure.</t>
  </si>
  <si>
    <t>201C, 202P</t>
  </si>
  <si>
    <t>Unable to pull</t>
  </si>
  <si>
    <t>['Unable to locate pilot chute']</t>
  </si>
  <si>
    <t>['Hot with thermals producing', 'Sunny', 'Winds light and variable']</t>
  </si>
  <si>
    <t>This is El Capitan's 3rd BASE fatality and Yosemite's 5th BASE fatality overall. This occurred during a planned protest jump in front of Park Rangers and the media. By prior arrangement Park Service officials agreed not to prevent the jumps but insisted jumpers would be arrested upon landing and their gear would be confiscated. This caused some jumpers to switch to their B gear.
Jan jumped a system with an older style leg mounted pilot chute pouch when she is used to jumping a pilot chute stowed in a BOC pouch. After a normal delay she instinctively reached for the bottom of the container and after failing to find the pilot chute handle ran out of time before figuring things out. I helped spread Jan's ashes over Lake Elsinore and over 400 jumpers and friends attended her memorial.
She's missed by all who knew her.</t>
  </si>
  <si>
    <t>BFL49</t>
  </si>
  <si>
    <t>2000-02-09</t>
  </si>
  <si>
    <t>Twin Falls, Idaho, United States of America</t>
  </si>
  <si>
    <t>Jumped despite multiple warnings</t>
  </si>
  <si>
    <t>The jumper's companions explicitly warned him that conditions were unsafe: too dark, wrong wind, and water too high. Despite these warnings, the jumper elected to jump, landed in moving water he could not escape, and drowned. The decision to jump in clearly identified adverse conditions constitutes human error.</t>
  </si>
  <si>
    <t>['Night time', 'Strong winds']</t>
  </si>
  <si>
    <t>Friends said it is too dark, the wind isn't right, and the water is too high. However, Roger elected to jump. He launched from the west side of the bridge and opened normally. It isn't immediately clear what happened, but shortly after landing in the water Roger and his gear disappeared below the surface. His body is found a month later by passing boaters. Roger is the first Twin Falls area BASE fatality.
If you have a picture of this jumper please contact us
Updated information 26th October 2023
Roger was packed slider-up after jumping the Perrine slider-up all weekend.  Unknown if it was an intentional decision to stay packed slider-up for the Hansen, which is a lower bridge than the Perrine, standing at 350 ft.
Roger opened for a soft landing in knee-deep moving water, unable to make glide to the landing zone, unable to fight the river current.  Unknown if his Perigee P-4 was equipped with a cutaway handle, or if he tried to use the cutaway, but he was found a month later with his rig around his knees.</t>
  </si>
  <si>
    <t>BFL50</t>
  </si>
  <si>
    <t>2000-04-16</t>
  </si>
  <si>
    <t>Inappropriate Equipment Selection</t>
  </si>
  <si>
    <t>The jumper used a skydiving rig (Racer container with deployment bag, 30-inch F111 pilot chute, and 4-foot bridle) rather than proper BASE equipment. The domain reference establishes that BASE jumping requires specific equipment configurations—longer bridles (~9 feet), appropriately sized pilot chutes, and BASE-specific containers. The short bridle and small pilot chute were insufficient to extract the canopy from the deployment bag at sub-terminal/low airspeeds, resulting in a closed-container or near-closed-container impact with the canopy only at line stretch and slider still at the top of the lines. These were human errors in equipment selection and rigging.</t>
  </si>
  <si>
    <t>Trevor is a much loved and respected skydiver and the first Australian BASE jumper to die jumping in his home country. He is the first to jump the cable car in the Blue Mountains. Trevor is found dead at the LZ with his canopy at line stretch and its slider at the top of the lines. Jumpers report that while Trevor had been around the sport for a long time he is caught in a time warp as far as BASE equipment is concerned. Trevor was jumping a Fury 220, with a sail slider packed into a deployment bag.
His older style Racer container had a pull out 30-inch F-111 pilot chute and a short 4-foot bridle.</t>
  </si>
  <si>
    <t>BFL51</t>
  </si>
  <si>
    <t>2000-05-07</t>
  </si>
  <si>
    <t>Arco, Italy</t>
  </si>
  <si>
    <t>Over-delay filming back-to-earth</t>
  </si>
  <si>
    <t>The jumper over-delayed while flying in a back-to-earth position filming other jumpers, resulting in a low pull and ground impact during canopy opening. The back-to-earth position is a known cause of altitude awareness loss, and focusing on filming other jumpers rather than monitoring altitude constitutes human error. The domain reference explicitly identifies loss of altitude awareness as a serious failure mode for back-to-earth exits and identifies video as a psychological distraction and risk factor.</t>
  </si>
  <si>
    <t>['Extracted Pilot Chute too late', 'Focusing on filming']</t>
  </si>
  <si>
    <t>Andrea over delayed in a back to earth position while filming two (2) other jumpers. He impacted the talus as his canopy is opening.
He's the second BASE fatality involving flying back to earth with camera.</t>
  </si>
  <si>
    <t>BFL52</t>
  </si>
  <si>
    <t>2000-06-10</t>
  </si>
  <si>
    <t>Inexperienced jumper tracking/deployment errors</t>
  </si>
  <si>
    <t>The jumper had only 8 BASE jumps and the video shows trouble with directional control and tracking, resulting in a 180-degree off-heading opening that caused fatal object strike. With only 8 BASE jumps, the jumper lacked the experience and skill to manage tracking and deployment at a slider-up cliff object, representing inadequate progression. The poor tracking and resulting off-heading deployment constitute identifiable human error.</t>
  </si>
  <si>
    <t>This is Terry's 8th BASE jump. A videotape shows him having trouble with directional control and tracking. He deploys with a 180 whereupon he hits the wall very hard. Terry comes to rest on a narrow ledge and later probably sees a rescue helicopter approach and then turn back because of fog developing in the immediate area. The full extent of Terry's injuries are unknown at this time but speculation suggests both his legs are broken. At this point, but unknown to Terry, a foot launched rescue effort is advancing on his position. When they arrived, 10 hours later, Terry is gone from the ledge.
No one knows if Terry tried to self rescue himself by jumping from the ledge using his reserve canopy (this is done with success by another jumper several years earlier) or if sometime during the night he simply fell.
Friends say he probably thought rescue was not in the immediate future. And the 52 year old former SAS is the type to take matters into his own hands. Terry is also a movie actor and stuntman.
Some of the movies Terry worked on are Moonraker, Octopussy, A View To A Kill, Robin Hood: Prince of Thieves and Titanic where he played the doomed ship's chief engineer. The following is 2005 information: There is a short film, now making the rounds called Last Stunt concerning Terry's accident that was made in 2002. The film is touring with the Banf Film festival and was recently screened in California. Here's the text of the promo from the film. British stuntman Terry Forrestal arrives in Kjerag in Lysefjorden, one of Norway's greatest fjords. He is going to relax - away from his hectic film work - by BASE jumping from the top of the 1000-metre-high mountain. But one of the jumps goes wrong and a difficult rescue begins. In the film, Terry's sister accuses Norway of bad rescue planning and of running death tourism. This is the story of Terry's last stunt, the promo concludes.</t>
  </si>
  <si>
    <t>BFL53</t>
  </si>
  <si>
    <t>2000-08-05</t>
  </si>
  <si>
    <t>Unstable exit, no recovery</t>
  </si>
  <si>
    <t>The jumper launched unstable and never recovered, impacting in terminal freefall. The narrative explicitly states the jumper refused offered instruction prior to the jump. The unstable exit without recovery and refusal of instruction constitute clear human errors contributing to the fatal outcome.</t>
  </si>
  <si>
    <t>This jumper launched unstable and remained so all the way to impact. It is reported this jumper is offered instruction prior to the jump and that he refused it.
This fatality and Stina_Ulla_Ostberg Ostberg's fatality (July 29, 1997) are eerily similar down to the same impact point.</t>
  </si>
  <si>
    <t>BFL54</t>
  </si>
  <si>
    <t>2000-11-02</t>
  </si>
  <si>
    <t>Spain</t>
  </si>
  <si>
    <t>Jumped in adverse weather</t>
  </si>
  <si>
    <t>The narrative explicitly describes poor conditions: rain, strong gusty crosswinds, and katabatic airflow. The group recognized conditions were 'pretty bad' and 'not good' but decided to jump anyway. Jorge deployed higher than the others, placing himself outside the wind shadow and in the turbulent zone near the wall, resulting in canopy collapse and fatal object strike. The decision to jump in clearly adverse conditions and the deployment altitude choice constitute identifiable human errors.</t>
  </si>
  <si>
    <t>['Crosswinds on exit', 'Katabatic air flow', 'Strong winds']</t>
  </si>
  <si>
    <t>['Medium winds', 'Rain']</t>
  </si>
  <si>
    <t>Jorge is an experienced skydiver and had made a couple of previous cliff BASE jumps from Kjerag. Here's the story from someone on the load.
We are a pretty big group at the launch point, and I'd just met Jorge and his friends that day and this is the first jump we planned on doing together. The conditions are pretty bad. It is raining and the wind is strong and gusty. We stayed in the cave near the launch for a pretty long time and waited. When we had about 30 minutes to an hour of daylight left we went down to the launch point to make a decision. The conditions are better, but not good. I think if anybody had said, let's go down, everybody would have gone. But we decided to jump.
The wind is coming from the right, so we agreed on going low enough to be in the wind shadow of the wall, below the turbulence, but high enough to deal with any heading problems. Jorge jumped last and deployed his canopy higher than all the others. After opening he flew parallel to the wall until he impacted in the big corner. His canopy collapsed and he slid down several hundred meters on the almost vertical wall dragging the canopy behind him.</t>
  </si>
  <si>
    <t>BFL55</t>
  </si>
  <si>
    <t>2000-11-20</t>
  </si>
  <si>
    <t>Verdon Gorge, France</t>
  </si>
  <si>
    <t>Untrained jumper fatal impact</t>
  </si>
  <si>
    <t>The jumper had no previous BASE jumps, no training, no mentor, and no experienced jumper present. He selected an under-hung (positive slope) exit point, executed an unstable exit that put him on his back, and struck the cliff in freefall. The complete absence of training, progression, and mentorship constitutes clear human error.</t>
  </si>
  <si>
    <t>['No or little training', 'Not enough forward seperation on exit', 'Unstable exit']</t>
  </si>
  <si>
    <t>Reports describe Fred, from Nice, France, as having no previous BASE jumps, no training, no experienced jumper with him, etc. He purchased BASE gear, picked an under-hung location to launch from (not one of Verdon's regular launch points), pivoted off the launch, went on his back, and struck the cliff in freefall. This fatality caused BASE gear manufacturers to start better screening their customers prior to the sale of BASE equipment.</t>
  </si>
  <si>
    <t>BFL56</t>
  </si>
  <si>
    <t>2000-12-29</t>
  </si>
  <si>
    <t>Misrigging after slider conversion</t>
  </si>
  <si>
    <t>The jumper converted from slider-down to slider-up configuration but neglected to route the steering lines back through the slider grommets. This misrigging caused the canopy to open in a turn, resulting in object strike and fatal injuries. The rigging error is a clear human error.</t>
  </si>
  <si>
    <t>['180 Offheading', 'Incorrect rigging setup']</t>
  </si>
  <si>
    <t>Michael had packed for a slider down jump. At the last minute he decided to go slider up. He opened his already packed rig, stretched out the lines and pulled the slider up. However, he neglected to put the steering lines back through the slider grommets. The canopy opened in a turn and hit the wall hard before being fully inflated. He died a short time later from internal injuries.</t>
  </si>
  <si>
    <t>BFL57</t>
  </si>
  <si>
    <t>2001-04-02</t>
  </si>
  <si>
    <t>Belgium</t>
  </si>
  <si>
    <t>Unstable exit and low deployment</t>
  </si>
  <si>
    <t>The jumper exited on his back and took too much time to recover to a belly-to-earth position facing away from the wall. He attempted a quarter turn and deployment but impacted before the canopy could fully deploy. The back-to-earth exit without sufficient altitude margin, combined with inadequate object separation and delayed recovery, constitutes human error in exit technique and deployment timing.</t>
  </si>
  <si>
    <t>['Not enough forward seperation on exit', 'Proximity flying']</t>
  </si>
  <si>
    <t>Thierry had 100 plus skydives and about 240 BASE jumps (fifty are from cliffs). He is doing a 3-way, launching first, on his back (video person above him filmed the whole jump). Thierry took too much time to come back to a good position facing away from the wall. He attempted to make a quick quarter turn and deploy, but impacted before complete deployment of his canopy. Two days prior to his death, he did ten jumps in the valley, and witnesses attested to the fact that he is really very tired. He is passionate for the sport and loved the people who -like him- jumped for their own, and not for the show. His many friends miss him deeply. The report also included the following: Just a few words about this site La Mousse. It is high and you can fly 9 to 10 seconds if you track like hell. But the pure vertical is not more than 6 seconds. He was 39 years old If you have a picture of this jumper please contact us</t>
  </si>
  <si>
    <t>BFL58</t>
  </si>
  <si>
    <t>2001-07-22</t>
  </si>
  <si>
    <t>Inexperienced jumper, object strike</t>
  </si>
  <si>
    <t>The jumper had only 3 BASE jumps and experienced an unstable exit with insufficient forward separation from a slider-up cliff object, resulting in object strike under canopy. With only 2-3 BASE jumps, jumping a slider-up cliff requiring sub-terminal tracking and object avoidance skills represents a clear progression violation. The unstable exit and inadequate separation indicate human error in both the decision to jump this object and execution of the exit.</t>
  </si>
  <si>
    <t>['Not enough forward seperation on exit']</t>
  </si>
  <si>
    <t>Erin is making only her second or third BASE jump. She is in Italy jumping with her boyfriend. Reports indicate an unstable short delay and a wall strike under canopy. She was an experienced skydiver, with several hundred jumps and was on a very competent 4-way team. She was 28 years old</t>
  </si>
  <si>
    <t>BFL59</t>
  </si>
  <si>
    <t>2001-09-27</t>
  </si>
  <si>
    <t>The jumper died from impact in terminal freefall with the parachute never opening. The narrative states 'the parachute did not open' and lists 'unstable exit' as a possible factor, but provides no details about the jumper's experience level, equipment condition, what specifically failed in the deployment sequence, or whether the jumper attempted deployment at all. There is insufficient information to determine whether this was a human error (e.g., failure to deploy, unstable exit leading to entanglement) or an equipment malfunction independent of human error.</t>
  </si>
  <si>
    <t>The following is from a report translated from Italian. A 25 year old boy from Firenze, (Florence) has deceased after a parachute launch off the peak of Monte Brento. The young man had reached Thursday evening the top of the mountain and launched himself into the empty space. But the parachute did not open and the boy has smashed himself onto the ground after a flight of 800 meters. The body has been found this morning by alpine rescue team and firemen, alerted during the previous night by young man's relatives, worried by the fact that his mobile phone was not answering. If you have a picture of this jumper please contact us</t>
  </si>
  <si>
    <t>BFL60</t>
  </si>
  <si>
    <t>2001-09-28</t>
  </si>
  <si>
    <t>Puerto Rico</t>
  </si>
  <si>
    <t>Puerto Rico, Puerto Rico</t>
  </si>
  <si>
    <t>Unstable exit from wet ramp</t>
  </si>
  <si>
    <t>The jumper slipped on a wet launch ramp, lost control of freefall, deployed on his back, and struck a tree-filled outcropping with a partially inflated canopy. Multiple human errors are identifiable: jumping in rain on a wet ramp despite recognizing the hazard, insisting on going first against mentor advice, and attempting a first cliff jump from a 700-foot object with an outcropping at halfway with only 16 prior BASE jumps (all towers). The decision to jump in these conditions and the resulting unstable exit constitute clear human error contributing to the fatal outcome.</t>
  </si>
  <si>
    <t>203T, 204E</t>
  </si>
  <si>
    <t>['Rain']</t>
  </si>
  <si>
    <t>This is a first cliff jump after 15 tower jumps. On the load are his mentor and another jumper. His previous tower jumps are from different altitudes, with varying deployment methods, and all of them went well. The cliff is 700-feet with an outcropping full of trees jutting out about halfway down. The jumpers built a wooden launch ramp on the top and on the morning of the jump it had been raining. The three discussed the wet conditions and remarked on the need for caution on the wet ramp. The deceased asked to go first, and while his mentor said it would be better to watch one first, he did indeed go first. On launch he slipped on the wet ramp and lost control of the freefall. He deployed on his back and hit the tree filled outcropping feet first with a partially inflated canopy. The other two jumped and as they flew past his position he yelled out that he was seriously hurt. There was no way to reach his position so a rescue was called in. However, it took many hours and by that time he had passed away from blood loss. If you have a picture/Name of this jumper please contact us</t>
  </si>
  <si>
    <t>BFL61</t>
  </si>
  <si>
    <t>2002-04-01</t>
  </si>
  <si>
    <t>St Petersburg, Russian Federation</t>
  </si>
  <si>
    <t>The jumper used modified skydiving gear for a solo first BASE jump, including a PO-9 skydiving canopy known in the Russian BASE community as unsuitable for BASE jumping. Using skydiving equipment not designed or appropriate for BASE jumping constitutes a clear human error in equipment selection. The jumper had only 1 BASE jump (this was their first), and no reported skydiving experience, indicating a severe departure from accepted progression norms.</t>
  </si>
  <si>
    <t>['Gear failure', 'Skydive gear used']</t>
  </si>
  <si>
    <t>This is a solo first BASE jump using modified skydiving gear. This is also the first BASE fatality reported from the former Soviet Union. There are no witnesses. The body is found three days later on a rooftop. The main canopy is an early Russian PO- 9, the first Russian accuracy square, and known in the Russian BASE community as a canopy with a reputation for not being suitable for BASE jumping. If you have a picture of this jumper please contact us</t>
  </si>
  <si>
    <t>BFL62</t>
  </si>
  <si>
    <t>2002-05-01</t>
  </si>
  <si>
    <t>Crimea, Ukraine</t>
  </si>
  <si>
    <t>Unstable exit, wall impact</t>
  </si>
  <si>
    <t>The jumper went head down on exit, tumbled, and struck the wall before achieving canopy deployment. With only 2 prior BASE jumps, the unstable exit from a cliff object represents a human error in execution. The canopy only partially deployed from the impact itself, indicating subterminal impact near the exit point.</t>
  </si>
  <si>
    <t>Andrei went head down on the launch, tumbled, and hit the wall. His canopy deployed (somewhat) from the impact with the wall. Andrei had extensive climbing experience, about 200 skydives, and 2 prior BASE jumps. This is the first BASE fatality in the Ukraine.</t>
  </si>
  <si>
    <t>BFL63</t>
  </si>
  <si>
    <t>2002-05-29</t>
  </si>
  <si>
    <t>Florida, United States of America</t>
  </si>
  <si>
    <t>Late deployment while filming</t>
  </si>
  <si>
    <t>The jumper continued filming on his back for approximately 3 seconds beyond the planned deployment time of the second jumper, then took additional time to transition to belly-to-earth before deploying. The narrative explicitly identifies extracting the pilot chute too late and focusing on filming as factors. The jumper deployed too low, impacting the ground under a partially inflated canopy, with fog obscuring altitude references.</t>
  </si>
  <si>
    <t>201C, 204E</t>
  </si>
  <si>
    <t>Reported by a jumper on the load as a three way with two people facing away from the antenna, and Lee doing a floater launch facing inwards. Jumper #1 is to do a 6 second delay, jumper #2 an 8 second delay, and Lee, with camera, is going ten seconds. Everything went as planned until jumper #2 deployed at 8 seconds. Lee continued filming on his back for an additional 3 full seconds before going face to earth. One second later he disappeared into the fog. Three seconds later jumper #2 heard the beginnings of Lee's deployment and then a thump. Lee died under a partially inflated canopy. The weather conditions initially are a layer of fog about 300 feet off the ground. However, when jumper #2 lands the fog has extended almost all the way to the ground. He believes Lee is expecting to come out of the fog before deploying. Lee is very current on this particular tower. He was 27 years old</t>
  </si>
  <si>
    <t>BFL64</t>
  </si>
  <si>
    <t>2002-06-15</t>
  </si>
  <si>
    <t>Inappropriate gear/configuration for experience</t>
  </si>
  <si>
    <t>The jumper had only 12 BASE jumps and was going stowed (BOC deployment) for the very first time, using a 38-inch pilot chute with a 6'9" bridle on a 1.5-second delay during a complex 8-way coordinated jump. This configuration and jump complexity were clearly inappropriate for his experience level. The result was a PC in tow / PC-bridle entanglement total malfunction, with the canopy never extracting from the container. Multiple human errors in equipment selection, deployment method choice, and jump planning are identifiable.</t>
  </si>
  <si>
    <t>This is the first Perrine Bridge BASE fatality and the second to occur in the Twin Falls area.
The following is from a letter I received from Brian's father. In respect for a father who has lost a son, I'm printing it here just as he wrote it. There is speculation on your list about a rubber band packing error.
I must tell you that there were two official investigations concerning Brian's death. Neither one mentioned a rubber band error theory or even came close to speculating about it. In fact, Brian gave his mother the rubber band that he was using for the packing of the pilot chute just moments before he jumped. He jokingly made a comment to her that leaving the rubber band in the pack job could very well ruin a good day.
What we have are the facts: Brian was using a 38 pilot chute, a 6' ft 9" in bridle; went stowed for the very first time on his fatal jump; was assigned a 1.5 second delay, was on his 12th BASE jump, and was on a big 8-way coordinated jump at the Perrine when he was killed.
His pilot chute was in tow and opened just point four (.4) seconds before he hit the water.
His canopy was not extracted from his container. He was killed on impact.
The people who have made the speculation comments are people who are feeling guilty about Brian's death and are trying real hard to find a reason for his death that makes them feel less guilty.
Bottom line: Brian should not have been on that load with his obvious inexperience going stowed with a 1.5 second delay with the gear configuration that he was using. The people on that load and Brian's friends who brought him into BASE jumping are the ones who let him down and allowed him to use equipment that was not right for that jump (considering all the complexities of the jump that I have mentioned). I don't guess you would allow my speculation just presented above to be on your list. Therefore, I am asking that you remove the speculation comments about the rubber band packing error from the list as well. The family is very sensitive about this issue. And it is just totally wrong. He was 24 years old.
Posting from father: http://www.blincmagazine.com/forum/s...ht=Brian+Stout
The video has leaked onto the internet of this incident: http://www.liveleak.com/view?i=5d7_1386874968
If you have a picture of this jumper please contact us</t>
  </si>
  <si>
    <t>BFL65</t>
  </si>
  <si>
    <t>2002-07-23</t>
  </si>
  <si>
    <t>Unstable exit leading to cliff impact</t>
  </si>
  <si>
    <t>The jumper lost stability on exit from a cliff and struck the cliff wall in freefall at approximately 11 seconds without deploying her parachute. The narrative indicates she did not maintain adequate separation from the object and lost altitude awareness, both of which are human performance failures. Her limited BASE experience (five bridge jumps) on her first cliff jump suggests she was at a progression stage where the required skills for cliff jumping (sub-terminal tracking, exit-to-track transition) had not been sufficiently developed.</t>
  </si>
  <si>
    <t>['Altitude awareness', 'Not enough separation from object']</t>
  </si>
  <si>
    <t>Lori launched and lost stability on her first cliff jump. With five previous Perrine bridge jumps and the required amount of skydives Lori is on an organized BASE expedition to Norway. The trip included a site specific BASE jumping course taught by very competent instructors. However, Lori hit the cliff wall in freefall at about 11 seconds. What makes this fatality a little more chilling is the fact Lori did everything right as far as following the current advise on how to get into BASE jumping. She was 37 years</t>
  </si>
  <si>
    <t>BFL66</t>
  </si>
  <si>
    <t>2002-08-06</t>
  </si>
  <si>
    <t>Unstable exit and premature deployment</t>
  </si>
  <si>
    <t>The jumper launched head-down on a planned 9-10 second delay, deployed before achieving complete stability, and the canopy opened facing the cliff with insufficient separation. The unstable exit, premature deployment before recovery, and inadequate forward separation from the object constitute identifiable human errors that directly led to the off-heading opening and fatal object strike.</t>
  </si>
  <si>
    <t>['180 Offheading', 'Not enough forward seperation on exit', 'Not enough separation from object', 'Unstable exit']</t>
  </si>
  <si>
    <t>Nik had 501 BASE jumps when he launched for this planned 9-10 second delay. Most of his previous BASE jumps had been low ones and he's actively working on his tracking skills. According to the one witness who saw the entire jump Nik launched head down, but looked as if he would recover. However, he deployed before complete stability is achieved. The canopy opened facing the cliff and Nik is turning it away (using rear risers as the brakes are still set when the canopy is inspected) when he landed on a ledge. At that point he had already turned the canopy 90 degrees away from the wall. The canopy collapsed and Nik fell backwards from the ledge. He impacted a second ledge with his head (this is the fatal injury) and the canopy re-inflated and flew into the wall a third time and hung there a moment. The canopy then dropped beneath him and he fell into it. He fell down the remaining part of the wall (several hundred feet) wrapped in the canopy and hitting the wall 6-8 more times. CPR is performed to no avail.
Nik is a very popular BASE jumper and will be missed. He is also a Medical Examiner who, not only lent his expertise to previous BASE fatality investigations, he also performed the autopsy on singer Kurt Cobain. Nik's death has caused his name to be included into the conspiracy, fans say, surrounds Cobain's suicide.</t>
  </si>
  <si>
    <t>BFL67</t>
  </si>
  <si>
    <t>2002-08-13</t>
  </si>
  <si>
    <t>Late pull while filming</t>
  </si>
  <si>
    <t>The jumper was performing camera duties on a two-way jump and attempted to film his partner's opening after a 5-second delay. This task caused him to extract his pilot chute too late, resulting in a low pull and ground impact with the canopy still deploying. The jump partner explicitly identified the plan as flawed, noting that filming a 5-second delay opening at Staubbach was not feasible, and the unfamiliar camera system may have further degraded performance.</t>
  </si>
  <si>
    <t>Local rescue workers say the jump is a two-way and Wolfgang is doing camera. They didn't say specifically what is the cause of the accident. As this is the second BASE fatality here in two weeks the Swiss BASE Association is asking all BASE jumpers to refrain from visiting the area as they iron out problems with authorities and the media.
Update from jumper on the 2 way:Cause of the accident: stupid plan / not thinking
plan: I do a 5 sec. delay  Wolle wanted to film my opening if there is enough time to catch it on video
jump: I did 5 sec. delay  Wolle tried to film my opening and impacted during his opening (lines completely out of the pocket  canopy open after impact)
.once again: the mistakes are made already before the jump.
doing camera = bad (not perfect) tracking : filming a 5 sec. delay incl. opening @Staubbach is not possible
we had enough experience to know that before!
May be an extra negative effect caused by jumping a camera system from a TV station and not his own helmet (his own helmet was much better  incl. the video quality) (Bicycle helmet with a camera on the front  not very stable on the head  and a cable to the recorder on the belly)
 I thought this system looks a little bit dangerous  BUT I SAID NOTHING
He is missed everyday.....
If you see something say something!!!I live with it everyday...</t>
  </si>
  <si>
    <t>BFL68</t>
  </si>
  <si>
    <t>2002-08-15</t>
  </si>
  <si>
    <t>Dévoluy Mountains, France</t>
  </si>
  <si>
    <t>The narrative describes Christophe's canopy being out but not pressurized, with him found dead 80 meters up on the wall. The 'Possible Factors' field mentions 'clipped ledge after exiting,' but the narrative does not provide clear evidence of what caused the fatal outcome. The cause of death is listed as 'impact in terminal freefall,' yet the canopy was described as out. There is insufficient information to determine whether this was a human error (poor exit, inadequate tracking, packing issue) or another cause, as the sequence of events between exit and the final outcome is unclear.</t>
  </si>
  <si>
    <t>['Clipped ledge after exiting']</t>
  </si>
  <si>
    <t>Christophe is doing a two-way and filming at a launch point just recently opened. The wall is slightly under hung, but both jumpers successfully out track the wall/talus. After opening the second jumper said he heard a terrible sound and looked back to see Christophe with his canopy out but not pressurized. Christophe became stuck 80 meters up and isn't answering his friend calls. He is found dead when a helicopter reaches him. Jumpers who knew Christophe said his enthusiasm for the sport is infectious. He is always smiling, laughing, and offering help and advice.</t>
  </si>
  <si>
    <t>BFL69</t>
  </si>
  <si>
    <t>2002-08-25</t>
  </si>
  <si>
    <t>Litldalen, Norway</t>
  </si>
  <si>
    <t>Unstable exit leading to impact</t>
  </si>
  <si>
    <t>The jumper never gained control after exit and impacted subterminal near the exit point. With only 16 BASE jumps, jumping from a slider-up cliff with a sketchy launch point as part of a four-way indicates human error in exit execution and/or object selection relative to experience level.</t>
  </si>
  <si>
    <t>This is a four way jump composed of all Norwegians. Tore had 2000 skydives and 16 BASE jumps. It is said he never gained control all the way to impact. While this wall is seven seconds to impact it does have a sketchy launch point. A wing suited jumper earlier the same week achieved a flight of 89 seconds here.</t>
  </si>
  <si>
    <t>BFL70</t>
  </si>
  <si>
    <t>2002-09-01</t>
  </si>
  <si>
    <t>Eikesdalen, Norway</t>
  </si>
  <si>
    <t>wingsuit</t>
  </si>
  <si>
    <t>Birdman GTI (Wingsuit)</t>
  </si>
  <si>
    <t>Late deployment after flight problem</t>
  </si>
  <si>
    <t>The jumper deployed too late to survive, resulting in ground impact shortly after canopy opening. Whether the cause was a stability problem from suit failure (original report) or poor flight performance (update), the jumper failed to deploy at a survivable altitude. With only 2 wingsuit BASE jumps and 20 wingsuit skydives (well below the recommended 100 wingsuit skydives minimum), the jumper lacked the experience to manage the situation, representing a human error in both the decision to attempt wingsuit BASE at this experience level and the failure to deploy in time.</t>
  </si>
  <si>
    <t>['Altitude awareness', 'Emergency low pull', 'Extracted Pilot Chute too late']</t>
  </si>
  <si>
    <t>I received this report from a close friend of Kirill who witnessed or heard most of the jump. Kirill has 500 skydives with 20 being with a wing suit, and 30 BASE jumps, with 2 being with a wing suit. This fatality began with an inadvertent low pull from a man who didn't do low pulls. His friend believes Kirill encountered a stability problem late in the flight. The friend, along with authorities, inspected Kirill's body and gear at the hospital. Kirill had opened his canopy, the slider is at the links. Both toggles are still stowed. The wing zippers are closed and the swoop cords are still over his fingers. The wing fabric between his legs is torn. His broken neck and one broken leg suggest opening and impact occurred at about the same time. The report intimates failure of the wingsuit material between Kirill's legs caused a stability problem at pull time. By the time Kirill stopped trying to overcome the situation and deploy, it is too late. Kirill is the first BASE jumper to die flying a wingsuit on a BASE jump.
Update 15th June 2019
Cause Of Death: Impact sub terminal (near exit) It was not impact. He hooked ground when canopy was fully open. We heard sound of the opened parachute. Time was not enough for good fligtht but more than rock drop for that exit.
"His broken neck and one broken leg suggest opening and impact occurred at about the same time." I guess he had a bad flight and unfortunately he opened his canopy low. After opening he hooked ground and broke leg. Leg's wing was torn in that time. Neck was broken when he fell.
"The report intimates failure of the wingsuit material between 
            Kirill's legs caused a stability problem at pull time."              Suit was in perfect shape.</t>
  </si>
  <si>
    <t>BFL71</t>
  </si>
  <si>
    <t>2002-09-12</t>
  </si>
  <si>
    <t>Sky Flyer (Wingsuit)</t>
  </si>
  <si>
    <t>Unjumpable exit selected</t>
  </si>
  <si>
    <t>The jumper chose to exit from a site with only 5 seconds of rock drop time that multiple experienced wingsuit pilots assessed as not achievable. Despite repeated warnings that the jump was not feasible, the jumper proceeded with a reverse gainer exit and impacted a talus ledge after 7 seconds of freefall without attempting deployment. This represents a clear decision error in selecting an object that exceeded what could be managed.</t>
  </si>
  <si>
    <t>201C2</t>
  </si>
  <si>
    <t>['Clipped ledge after exiting', 'Not enough forward seperation on exit']</t>
  </si>
  <si>
    <t>This is the second wing suit BASE fatality. Rob has 247 BASE jumps with 92 being with a wing suit on the day he died. A report states: For the last month, Rob had his eye on a particular jump between launch points 4 and 5. We looked at it, doing rock jumps and basically studying the jump. There are two launch points next to this particular jump, one with a 7-second drop and the other with an 8-second drop. Rob jumped the 7-second launch point 10 times always doing a reverse gainer. The place he's looking at now, he dubbed the, RT Hjjrner, and has a rock drop time of 5- seconds. We analyzed this site on video and with other wing suit pilots. In my opinion, the jump is not achievable - and I repeated this to Rob. Other wing suit pilots said the same thing. Rob is convinced he can do it including a reverse gainer. After 7 seconds of freefall Rob impacted the talus ledge. He never tried to deploy his pilot chute, knowing that this would not save him. Rob believed he could out fly the ledge right up until he died. Rob is remembered as a good man, full of respect, and kind to everyone.</t>
  </si>
  <si>
    <t>BFL72</t>
  </si>
  <si>
    <t>2002-10-11</t>
  </si>
  <si>
    <t>Engelberg, Switzerland</t>
  </si>
  <si>
    <t>Unknown - Unspecified WS (Wingsuit)</t>
  </si>
  <si>
    <t>The jumper experienced a PC/bridle entanglement leading to total malfunction. While the narrative describes the mechanism (PC spinning in the burble and entangling with the bridle), there is insufficient information to determine whether this resulted from human error (e.g., PC deployment technique, equipment selection, or configuration) or from factors outside the jumper's control (e.g., equipment failure independent of user action). The narrative states he had a 'powerful pull' and was described as very experienced, but critical details about PC type, handle weight, deployment technique specifics, and equipment configuration are not reported, making it impossible to distinguish between human error and non-human cause.</t>
  </si>
  <si>
    <t>Lukas has a good launch and good flight with his wingsuit and pulled high over the landing area. This is the third BASE wing suit fatality. Despite a powerful pull the pilot chute ended up in the turbulence behind him. In the burble the pilot chute spun around very fast. Lukas notices the deployment is hesitating and collapsed his wings and rolled to one side to clear the pilot chute. At this point the pilot chute achieved bridle stretch but the bridle had entangled with the pilot chute so badly the pilot chute is almost totally collapsed. Lukas did rollover to the other side and struggled hard to get the canopy out of the container. However, the container remained closed to impact. Lukas is a very experienced long time BASE jumper (this site is now called Cold Steel in his honor) and he will be missed by the entire BASE community.</t>
  </si>
  <si>
    <t>BFL73</t>
  </si>
  <si>
    <t>2003-01-11</t>
  </si>
  <si>
    <t>Venezuela (Bolivarian Republic of)</t>
  </si>
  <si>
    <t>The jumper experienced a 90-degree off-heading opening that progressed to wall impact. Off-headings can result from multiple factors (packing, body position, PC stability, weather, equipment configuration), and the narrative does not provide sufficient information to identify which specific human error caused the off-heading. Body position was reported as 'good,' weather was light and variable winds, and gear appeared in working order. The absence of helmet and protective gear is noted but the cause of death was object strike, not inadequate protection. Without evidence identifying why the off-heading occurred or why the canopy turned further into the wall, neither a specific human error pathway nor a non-human cause can be established.</t>
  </si>
  <si>
    <t>This is the first BASE fatality of 2003 and occurred 3 months after the last one and from the same launch point. Robert did a 4-5 second delay and his body position seemed good. He opened with a 90 degree left off heading opening. A few seconds later the canopy turned further left and impacted the wall. Robert slid down the wall until stopped by the highest point of the talus. This area is not reachable by foot and a helicopter is called. The helicopter arrived with two doctors on board who pronounced Robert dead from severe head trauma. Friends say Robert usually wore a Bonehead helmet, with knee and elbow pads, but did not wear them on this jump. The gear is destroyed by the rescue, but is inspected by a jumper on-site. He said both toggles are released. Everything else on the rig appeared to be in working order.</t>
  </si>
  <si>
    <t>BFL74</t>
  </si>
  <si>
    <t>2003-01-27</t>
  </si>
  <si>
    <t>Utah, United States of America</t>
  </si>
  <si>
    <t>Bridle not attached to canopy</t>
  </si>
  <si>
    <t>The jumper failed to complete the lark's head knot securing the bridle to the canopy attachment ring during rig assembly, likely due to distraction and not restarting the procedure upon return. This rigging error resulted in a total malfunction where the pilot chute and bridle separated from the canopy, which is a clear human error in equipment assembly.</t>
  </si>
  <si>
    <t>Bill is doing a two way and hand holding his BASE pilot chute. After a normal freefall Bill threw out the pilot chute. The pilot chute inflated, went to the end of its bridle and peeled the shrivel flap from the rig. However, the shrivel flap is not connected to the canopy. Speculation is Bill is distracted while putting his rig together and may have passed the Type-12 bridle through the attachment ring on the top of canopy but didn't complete the lark's head knot that would have secured it in place. The bridle had a bar tack on it that could catch in the ring and give the appearance the bridle is correctly attached to the canopy. Parachute Riggers have known for a long time that when you start any job you finish it. If you are distracted, and need to leave the work, you start the procedure over on your return. Not having a pilot chute connected to the canopy on a single canopy system has always been a nightmare scenario for BASE jumpers, however, this is the first time it has actually happened.</t>
  </si>
  <si>
    <t>BFL75</t>
  </si>
  <si>
    <t>2003-04-05</t>
  </si>
  <si>
    <t>Inadequate delay and wind assessment</t>
  </si>
  <si>
    <t>The jumper deployed after a 5-6 second delay in medium to strong winds at a site where locals recommend 8-9 seconds minimum, resulting in insufficient object separation and a 180° off-heading opening into the wall. Questions about the jumper's experience and preparation level, combined with jumping in high wind conditions at an advanced site with an inadequate delay, indicate human error in planning and execution.</t>
  </si>
  <si>
    <t>['180 Offheading', 'Crosswinds on exit', 'Line twists']</t>
  </si>
  <si>
    <t>Alexi experienced an off heading opening and a wall strike after a 5 to 6 second delay. He is hung up for a short period of time before falling the remaining distance to the talus. An Alpine rescue is immediately launched only to find Alexi dead. There are questions surfacing now concerning the experience and preparation level of this jumper. Locals are saying high winds and the short delay (they recommend at least 8-9 seconds) put Alexi too close to the wall on opening. This is the fifth Brento BASE fatality and concerned local jumpers have placed a plaque at the launch point, not so much to memorialize the dead, but to forewarn the living that Brento is an advanced skills level BASE jump</t>
  </si>
  <si>
    <t>BFL76</t>
  </si>
  <si>
    <t>2003-07-23</t>
  </si>
  <si>
    <t>The narrative states 'no one knows exactly what went wrong.' The possible factors listed (emergency low pull, extracted pilot chute too late, loss of speed-glide) are speculative and not substantiated by clear evidence in the narrative. While the canopy began deploying at a very low altitude over the talus, the reason for the late deployment is unknown — it could reflect a human error (delayed pull, loss of altitude awareness, tracking problem) or another cause, but the narrative does not provide sufficient information to distinguish. The single released toggle and possible 180-degree off-heading are post-impact observations that do not clarify why deployment was initiated so late.</t>
  </si>
  <si>
    <t>['Emergency low pull', 'Extracted Pilot Chute too late', 'Loss of speed-glide']</t>
  </si>
  <si>
    <t>This is a report from Linus' fiancee, Linus launched from Labben during the evening of July 23th. The weather is clear and there's no wind. As usual he started to track from the wall face and out over the talus. Linus is a highly skilled tracker and his previous jump from Labben in June, this year, he made a 38 seconds delay sans wing suit. No one knows exactly what went wrong, but this is what I saw from the landing area. The canopy started to deploy at the lower point of the talus, but he impacted on the talus before the main canopy is fully inflated. He hit the wall twice in his fall and eventually came to rest at a ledge, approximately 150 meters up the talus. Within an hour, the rescue team had located him, dis-entangled his parachute, and declared him dead. Technical examination of the canopy revealed one toggle is released. Linus' injuries and the fact only one toggle is released indicates a possible 180 degree off heading opening and a cliff strike. Linus is a very experienced and skilled big wall jumper. He found his passion for BASE jumping in Romsdal, Norway, where he made his first BASE jump with an American friend in the summer of 1997. His love for BASE jumping drove him to the big walls of Europe where Linus and had some of the best moments of his BASE jumping career. He found comfort in the mountains and Linus is fascinated by the dramatic landscapes of Norway, and especially Trollveggen. He spent a lot of time in Romsdal where he and his Norwegian friends opened up many new launch points. Linus has many good friends in the BASE community. His first years of BASE jumping he shared with his good friend Thor-Alex Kappfjell, whose memory he always kept close to his heart. In June this year Linus had spread the last of the ashes of his friend John Hoover at that very same site on the Trollveggen. Linus was a very loving and caring person and he leaves a great emptiness behind</t>
  </si>
  <si>
    <t>BFL77</t>
  </si>
  <si>
    <t>2003-08-11</t>
  </si>
  <si>
    <t>The jumper experienced a 180° off-heading opening with line twists resulting in object strike. However, the narrative provides no information about the specific cause of the off-heading and line twists — body position at deployment, packing quality, PC condition, tracking performance, exit quality, and equipment details are all unreported. While off-headings can result from human error (poor body position, poor packing, inadequate tracking), they can also occur without identifiable human error. The possible factors listed (180 off-heading, line twists) describe what happened but not why. Without evidence identifying the root cause, neither 001HE nor 002OC can be supported.</t>
  </si>
  <si>
    <t>Fabrice had 500 skydives and 53 BASE jumps when he launched for this planned 9-second delay. On deployment he experienced a 180 with a full line twist and impacted the wall</t>
  </si>
  <si>
    <t>BFL78</t>
  </si>
  <si>
    <t>2003-08-13</t>
  </si>
  <si>
    <t>Austria</t>
  </si>
  <si>
    <t>Kandersteg, Switzerland</t>
  </si>
  <si>
    <t>Wingsuit terrain strike</t>
  </si>
  <si>
    <t>The jumper was proximity flying a wingsuit near terrain and struck a ledge she could not outfly, resulting in impact in terminal freefall without attempting to deploy. Choosing a flight line that required clearing a ledge with insufficient margin represents a decision error in line selection and terrain assessment.</t>
  </si>
  <si>
    <t>['Clipped ledge after exiting', 'Proximity flying']</t>
  </si>
  <si>
    <t>The following report is from one of Gabi's many friends. Gabi went to jump alone, like she did very often. Getting away from the crowds in Lauterbrunnen she went to another valley known by only a very few jumpers. She couldn't outfly a ledge with her wings. Which is awkward, because she kicked ass with those wings. She did not attempt to pull. Gabi was a very good jumper, and a super nice person. I was lucky to get to know her and I will treasure her contribution to my existence. For me, it was nice to jump with another woman. It was special and it did not last long enough. Lauterbrunnen valley is empty and quiet now. Gabi is the fourth BASE wing suit fatality</t>
  </si>
  <si>
    <t>BFL79</t>
  </si>
  <si>
    <t>2003-10-09</t>
  </si>
  <si>
    <t>Aerial deployment failure</t>
  </si>
  <si>
    <t>The jumper was performing aerials from a span (slider-down) and either over-delayed or experienced a pilot chute/bridle entanglement resulting in the canopy not inflating before impact. Aerials exponentially increase danger through loss of altitude awareness, instability, and bridle entanglement risk. The PC deployed but the canopy did not inflate, consistent with either excessive delay or deployment complications arising from the aerial maneuver, both of which constitute human error.</t>
  </si>
  <si>
    <t>['Extracted Pilot Chute too late', 'Pilot Chute Entanglement - PC in tow']</t>
  </si>
  <si>
    <t>Jason is the second Perrine Bridge fatality and Twin Fall's third BASE fatality overall. With around 2000 skydives and 100 BASE jumps Jason is performing aerials and either over-delayed, or had some type of pilot chute or bridle hang up. While his pilot chute did deploy his canopy did not inflate prior to impact If you have a picture of this jumper please contact us</t>
  </si>
  <si>
    <t>BFL80</t>
  </si>
  <si>
    <t>2003-11-23</t>
  </si>
  <si>
    <t>Tulle, France</t>
  </si>
  <si>
    <t>Jumped with entangled PC</t>
  </si>
  <si>
    <t>The jumper dropped the hand-held pilot chute while rushing to escape law enforcement, picked it up in an entangled state, and jumped anyway. The PC/bridle entanglement prevented deployment, resulting in a total malfunction and fatal impact. Jumping with a compromised deployment system is a clear human error.</t>
  </si>
  <si>
    <t>201C2, 204E</t>
  </si>
  <si>
    <t>['Night time']</t>
  </si>
  <si>
    <t>The only report I have here is the bridle may have become lodged under this jumper's arm preventing any further deployment. *** UPDATE 12-JAN-2010 ***The jumper was a French ex special forces officer and experienced military jump including HALO. He and a friend went to jump a 150m bridge this night. The bridge does not have a pedestrian walkway and as such it is illegal to cross by foot. Highway patrol spotted the two and attempted to arrest them. The jumpers ran towards the exit point to jump as their getaway but while this jumper dropped the PC. It became entangled with him while picking it up and he jumped anyway. It is unknown if he knew or not about the entanglement prior to jumping but he was unable to clear it in freefall. It may sound obvious but don't sacrifice safety over getting busted. Busted is always better than busted up (or dead). If you have a picture/name of this jumper please contact us</t>
  </si>
  <si>
    <t>BFL81</t>
  </si>
  <si>
    <t>2004-05-03</t>
  </si>
  <si>
    <t>Saratov Oblast, Russian Federation</t>
  </si>
  <si>
    <t>Late deployment from low experience</t>
  </si>
  <si>
    <t>The narrative indicates the jumper either extracted the pilot chute too late or experienced pilot chute hesitation, resulting in a fatal low pull. The jumper had only 129 skydives (well below the accepted minimum of 200) and only 3 BASE jumps, indicating insufficient experience for a slider-up antenna jump requiring proper delay management and deployment technique. This points to human error in deployment execution and/or progression decisions.</t>
  </si>
  <si>
    <t>So far this appears to be a deployment problem either by starting the sequence too late, or experiencing some sort of pilot chute hesitation. The jumper had 129 skydives and 3 BASE jumps. This is the third reported BASE fatality from Russia. If you have a picture of this jumper please contact us</t>
  </si>
  <si>
    <t>BFL82</t>
  </si>
  <si>
    <t>2004-06-18</t>
  </si>
  <si>
    <t>Insufficient experience for object</t>
  </si>
  <si>
    <t>The jumper had only 30 BASE jumps and was on his 2nd jump from this cliff (the Nose). Fellow jumpers reported he was very nervous at exit points and may have been jumping above his limits. With limited experience at slider-up cliff objects, he experienced a 180° off-heading opening and was unable to correct before striking the cliff, indicating insufficient progression and object avoidance skills for the object being jumped.</t>
  </si>
  <si>
    <t>From a report. Andi had 300 skydives and 30 BASE jumps. It was his 2nd jump that day and his 2nd jump from the Nose. He jumped straight, tracked, opened at around 200 meters off the ground (half-way down the face), had a 180 and hit the cliff 3-seconds later. There was zero wind. From what I've been told it was his first off-heading opening. He died immediately on impact. New Information from fellow jumpers is that he was a very nervous jumper and may have been jumping above his limits numerous times he was very nervous at exit points which other jumpers picked up on.....</t>
  </si>
  <si>
    <t>BFL83</t>
  </si>
  <si>
    <t>2004-07-05</t>
  </si>
  <si>
    <t>Washington, United States of America</t>
  </si>
  <si>
    <t>The jumper failed to clear an outcropping during wingsuit flight, resulting in terrain impact in freefall. However, the narrative provides no information about the jumper's experience level, the specific flight line chosen, exit quality, equipment condition, or what caused the failure to clear the terrain feature. Without details on whether this resulted from a decision error (e.g., choosing an inappropriate line), a skill-based error (e.g., poor exit or flight technique), an environmental factor (e.g., unexpected sink or wind), or equipment issue, there is insufficient information to distinguish between human error and other causes.</t>
  </si>
  <si>
    <t>['Not enough separation from object', 'Proximity flying']</t>
  </si>
  <si>
    <t>Jeff is jumping with a wingsuit and he failed to clear a outcropping in freefall. This is the fifth BASE wingsuit fatality.</t>
  </si>
  <si>
    <t>BFL84</t>
  </si>
  <si>
    <t>2004-08-21</t>
  </si>
  <si>
    <t>Delayed deployment</t>
  </si>
  <si>
    <t>Multiple witnesses confirm the jumper located the pilot chute handle at a reasonable altitude but kept his hand there and continued flying without deploying, ultimately pulling at approximately 30 feet AGL. This delayed deployment constitutes a human error that directly caused the fatal low-altitude impact.</t>
  </si>
  <si>
    <t>201C, 203T</t>
  </si>
  <si>
    <t>Duane, a Kiwi with a quick smile, is a well known and experienced BASE jumper. The following is from an eye witness. The jump is witnessed by two British jumpers and two Swiss jumpers. One Brit watching, and videoing, from the exit point, the other three watching from the LZ. This is Duane's first wingsuit BASE jump, and his first jump ever with a leg mounted pilot chute pouch. Prior to this jump Duane prepared by making 50 aircraft and 2 hot air balloon wingsuit skydives. Duane had a good exit and a good flight. Everybody saw him reach for and locate the pilot chute at what the witnesses said is a reasonable altitude. He then kept his hand there and continued in freefall. The speculation is the lack of normal groundrush (like the type he is used to when not wearing a wingsuit) might have fooled him. The Swiss are yelling at him to pull and he finally did so, at what they said is about 30-feet above the ground. The canopy lifted out of the pack tray but is no where near line stretch when he impacted in a full flight position. According to the Swiss there is no fumbling around, or looking for the pilot chute handle - all the witnesses agree on this. He reached and located the pilot chute, but just took to long to deploy it. A hard pull cannot be fully discounted at this time, but all the witnesses believe he just waited too long. This is the sixth BASE wingsuit fatality since the first one occurred in September of 2002</t>
  </si>
  <si>
    <t>BFL85</t>
  </si>
  <si>
    <t>2004-10-22</t>
  </si>
  <si>
    <t>Shanghai,, China</t>
  </si>
  <si>
    <t>The jumper experienced line twists after wingsuit deployment leading to object strike on an adjacent rooftop. However, the narrative does not provide sufficient detail to determine whether the line twists resulted from human error (packing, body position asymmetry at deployment, equipment selection) or from factors outside the jumper's control. The jumper was highly experienced with 1200 BASE jumps, and the narrative describes a 'good flight' before deployment, but the cause of the line twists and inability to clear them or avoid the structure cannot be determined from the available information.</t>
  </si>
  <si>
    <t>['Medium winds', 'Sunny']</t>
  </si>
  <si>
    <t>Slim is an experienced and well known BASE jumper with over 1200 jumps when he launched for this wingsuit flight at a major BASE event in China. After a good flight he deployed into line twists and is unable to avoid a hard rooftop strike on an adjacent structure. Slim is a major influence on an entire generation of BASE jumpers and this is a major blow, not only in his home country of Australia, but to the entire BASE world. There is much to be said of this man including this sentiment from one of his good friends. I am awed by his courage, determination, and perseverance in coming back to a sport that had battered and broke him once before. He faced down the demon of fear after his recovery and re-entered the sport with humor and panache. And cripples can fly he said of his first jump back. What an inspiration he was.</t>
  </si>
  <si>
    <t>BFL86</t>
  </si>
  <si>
    <t>2004-10-29</t>
  </si>
  <si>
    <t>tracking</t>
  </si>
  <si>
    <t>Original Tracking suit two piece (Tracking Suit)</t>
  </si>
  <si>
    <t>Aerial over-rotation and late deployment</t>
  </si>
  <si>
    <t>The jumper performed a front somersault that over-rotated, delaying the start of his track at a site requiring mandatory tracking for wall separation. He extracted his pilot chute too late and impacted the underhung section before full deployment. The over-rotation and delayed track/deployment constitute human errors contributing to the fatal outcome.</t>
  </si>
  <si>
    <t>['Clipped ledge after exiting', 'Extracted Pilot Chute too late']</t>
  </si>
  <si>
    <t>Jason is a very experienced BASE jumper (800 jumps) and instrumental in training many of Australia's first time BASE jumpers. The following is from an eyewitness report. Jason was traveling to the funeral of Roland (Slim) Simpson, who died BASE jumping nine days earlier. While Slim is a dear friend of Jason's this is not a memorial jump. Jason is attempting a very difficult jump he had been working towards for some time. This site requires a good track to achieve adequate separation from the wall and to clear an under hung section. Jason is wearing tracking pants. He performed a single front somersault that over rotated and delayed the start of his track. He pitched his pilot chute but impacted the under hung section prior to full deployment. Jason touched many lives and will be sorely missed. His motivation in recent times is improving the safety of the sport and he's recently appointed the Director of Safety and Training for the Australian BASE Association. It is sure his many friends, and students he's mentored, will forever keep his memory alive. Jason leaves behind his partner Livia, and his former partner Melissa, and their six year old son Blake</t>
  </si>
  <si>
    <t>BFL87</t>
  </si>
  <si>
    <t>2004-11-17</t>
  </si>
  <si>
    <t>Wisconsin, United States of America</t>
  </si>
  <si>
    <t>Late deployment</t>
  </si>
  <si>
    <t>The narrative indicates the jumper extracted his pilot chute too late, resulting in a low pull with only a partially open canopy at ground impact. The planned deployment sequence involved the jumper signaling by reaching for his pilot chute and then delaying one additional second, and the companion observed the jumper impact with a partially opened canopy, indicating insufficient altitude remained for full canopy inflation. This represents a human error in deployment timing.</t>
  </si>
  <si>
    <t>['Low level clouds', 'Winds light and variable']</t>
  </si>
  <si>
    <t>One of the good guys is how this jumper is being remembered. This is a daytime 2-way tower jump (940-feet) in foggy conditions. According to his friends, Erich is well known for his aerials and is fast earning recognition for his ability and friendly bearing. Here's a report from the other jumper on the load. We did a 2-way and we left stable and immediately began to track away from the tower. We planned for him to be the low man and he was to signal me to pull by reaching for his pilot chute and delaying one second. I deployed my canopy as soon as his hand moved toward his pilot chute. My canopy deployed normally and on heading. After I established that I had a good canopy I witnessed Erich with a partially open canopy impact the ground. The spot where he impacted was on a hill about thirty to fifty feet above the base of the tower and 250-ft horizontally away. I landed safely and immediately cutaway my canopy and ran toward him. I found him unconscious and unresponsive. I tried CPR but he did not respond. I then called 911 and emergency services were sent to the scene. The EMTs hooked him up to a monitor and there were no vital signs. I believe he was killed immediately on impact. Eric was one of my best friends and was a friend to many people around the world. Please think of his wife Gretchen and his son Max because they need our love. I will miss him and all that know him will as well. The world is a lesser place due to his passing. This is the third BASE fatality that is fog related.</t>
  </si>
  <si>
    <t>BFL88</t>
  </si>
  <si>
    <t>2005-03-24</t>
  </si>
  <si>
    <t>Aerials leading to unstable deployment and object strike</t>
  </si>
  <si>
    <t>The jumper performed aerials from a cliff, which led to stability problems and a late deployment. The canopy opened with a 180° off-heading, resulting in object strike. Aerials exponentially increase danger and are recognized as requiring careful planning and forgiving objects; performing them in medium-to-strong wind conditions with crosswinds compounds the risk. The decision to perform aerials and the resulting instability and late deployment constitute identifiable human errors.</t>
  </si>
  <si>
    <t>['180 Offheading', 'Crosswinds on exit', 'Strong winds', 'Unstable exit']</t>
  </si>
  <si>
    <t>J.T. is doing aerials. After completing those aerials he encountered stability problems that led to a late deployment and a wall strike. Here is a rough translation from the Italian press. Desire to fly in the vacuum at one hundred km/h for 500 meters and to open the parachute in extremis has costed the life to J. T., 31 years, of Oslo that yesterday morning launched from Italian terminal wall exit. To betray the Scandinavian jumper it has been probably the insufficient acquaintance of the particular local climatic conditions. In fact, it has been a squall of local wind to make to lose the control of the parachute to the young person that has ended to crash against cliffs dying on the blow. It is the sixth victim on the walls of of Italy in five years. If you have a picture of this jumper please contact us</t>
  </si>
  <si>
    <t>BFL89</t>
  </si>
  <si>
    <t>2005-05-16</t>
  </si>
  <si>
    <t>Paris, France</t>
  </si>
  <si>
    <t>Decision to jump inadequate object</t>
  </si>
  <si>
    <t>The jumper launched from the second level of the Eiffel Tower at 370 feet AGL with only 170 feet of clearance to the first level at 200 feet AGL. This created an extremely constrained environment where any delay in deployment or imperfect exit trajectory would result in object strike. The decision to jump from this level after aborting higher options, combined with the resulting subterminal impact with the first level structure, indicates human error in object evaluation and jump planning.</t>
  </si>
  <si>
    <t>Olov is a cousin of Thor Axel Kappfjell who himself died BASE jumping in 1999. Olov, with another jumper and a small crew, is endeavoring to jump in honor of Norway's Independence Day. Earlier that day they had been discovered while preparing to launch from the 56-story Montparnasse tower, the only real skyscraper in Paris. It is then decided to attempt a jump from the Eiffel Tower. Initially the plan called for jumping from the top of tower which is 930-feet. However, tight security made them abort that idea. A decision is then made to attempt the jump from a lower level. The second level (or platform) of the tower is 370-feet and at this point the second jumper elected not to jump. Olov launched and impacted the first level of the tower. This level is 200-feet AGL and 170-feet below where he launched. In modern BASE terms the Eiffel Tower is first jumped by two BASE jumpers in 1984. The following year stuntman/skydiver B.J. Worth made a legal jump for the James Bond film , A View to a Kill. Sadly, Olov and his cousin Thor are the first two relatives to appear on this List.</t>
  </si>
  <si>
    <t>BFL90</t>
  </si>
  <si>
    <t>2005-05-21</t>
  </si>
  <si>
    <t>Mondsee, Austria</t>
  </si>
  <si>
    <t>Birdman S3 (Wingsuit)</t>
  </si>
  <si>
    <t>Multiple human errors in wingsuit flight</t>
  </si>
  <si>
    <t>Multiple human errors are identifiable. The jumper flew a new wingsuit model (S3) for the first time in BASE with only 11 prior wingsuit BASE jumps, well below accepted progression norms. He jumped in medium/strong crosswind conditions that contributed to instability. He was unable to locate and deploy his pilot chute, resulting in closed-container terminal impact. The combination of insufficient experience on the suit type, jumping in adverse wind conditions, and failure to deploy constitutes clear human error.</t>
  </si>
  <si>
    <t>201C3, 203T, 204E</t>
  </si>
  <si>
    <t>['Crosswinds on exit', 'Not enough forward seperation on exit', 'Proximity flying', 'Strong winds', 'Unable to locate pilot chute', 'Unstable exit']</t>
  </si>
  <si>
    <t>['Medium winds']</t>
  </si>
  <si>
    <t>This jumper had about 100 BASE jumps and is flying a BM S3 wingsuit for the first time. It's reported he had 10 previous wingsuit BASE jumps all with a BM GTI. It is being said that winds may have been a factor in his having stability problems. A rescue team found him with his pilot chute still stowed in his leg strap pouch. Locals are asking BASE jumpers to refrain from jumping this site for at least a month</t>
  </si>
  <si>
    <t>BFL91</t>
  </si>
  <si>
    <t>2005-07-03</t>
  </si>
  <si>
    <t>Chartreuse, France</t>
  </si>
  <si>
    <t>The narrative reports a 180° off-heading opening and object strike under canopy, but provides no information about the jumper's experience level relative to the site, packing details, body position at deployment, exit quality, or specific site conditions that would allow identification of a specific human error pathway. The off-heading itself is a known inherent risk of BASE jumping, and without evidence of what caused it (poor body position, packing error, inappropriate equipment, poor site selection, etc.), neither a human error classification nor a non-human cause classification can be adequately supported.</t>
  </si>
  <si>
    <t>['180 Offheading', 'Clipped ledge after exiting']</t>
  </si>
  <si>
    <t>Below is an internet translation from a French BASE jumping web site. Right now it sounds like a turn on opening and a wall strike. Our friend died yesterday morning in the Chartreuse Nature Park. He exited last of a group of five people. He may have hit a plateau during deployment, ending up dead under canopy. Jurij had completed several hundred BASE jumps. We lost a dear friend, and the Foreign Legion lost a brother-in-arm..
New Update from his brother:this is a short video about him. Im very appreciated u for keeping memories about this great people:http://www.youtube.com/watch?v=oxQCVULBZTE</t>
  </si>
  <si>
    <t>BFL92</t>
  </si>
  <si>
    <t>2005-07-19</t>
  </si>
  <si>
    <t>Late deployment after tracking low</t>
  </si>
  <si>
    <t>The jumper failed to recognize how low he was due to reduced ground rush perception while tracking in a tracking suit, then experienced instability at deployment time and delayed his pilot chute extraction while attempting to regain stability. This sequence of errors—deploying too late and prioritizing stability over immediate deployment at critically low altitude—resulted in impact near line stretch. The narrative explicitly identifies extracting the pilot chute too late and loss of speed/glide as contributing factors.</t>
  </si>
  <si>
    <t>['Extracted Pilot Chute too late', 'Loss of speed-glide']</t>
  </si>
  <si>
    <t>Darcy was using a PF tracking suit. He had been using it for some time and as most of the jumpers, he had experienced that he had to make some adjustments to his position and technique to get the suit really working. He was experienced big wall jumper and very current on this specific site. The jump in question was his first jump where he really nailed his track from the very first stages of the track. He really had his suit flying and he was motoring towards the LZ. (It must be noted at that point tracking to the landing area was not so common feat on this site). At the same time as he was tracking along the talus he was getting sucked lower and lower and he probably didn't experience normal ground rush as his track was really going at that point. So at the time he started to deploy he maybe didn't notice just exactly how low he was, he was not by any means too low but just low enough that his margin for error was getting thinner. At deployment time he experienced some unstableness in his position, tried to correct that and tumbled, from there he probably tried to gain stability before deploying. He eventually pitched but impacted the talus near line stretch. What must be noted from this fatality is that while the modern flying equipment is making BASE safer it is also is presenting us with new hazards. When going into tracking suits or starting flying wingsuits it must be remembered that you might not experience normal groundrush and you can easily get unintentionally sucked low. Also stability issues during pull time can be very different situations with big inflating clothing.</t>
  </si>
  <si>
    <t>BFL93</t>
  </si>
  <si>
    <t>2005-11-11</t>
  </si>
  <si>
    <t>Irkutsk Oblast, Russian Federation</t>
  </si>
  <si>
    <t>The narrative is absent and structured fields provide only minimal information: 31 BASE jumps, antenna object, slider-up, unstable exit as a possible factor, and death by object strike under canopy. Without a narrative or further detail, there is insufficient information to reliably distinguish between human error pathways (e.g., decision error, skill-based error) and other causes. The 'possible factor' of unstable exit is suggestive but not confirmed, and the causal chain from exit to object strike cannot be established with confidence.</t>
  </si>
  <si>
    <t>BFL94</t>
  </si>
  <si>
    <t>2005-12-31</t>
  </si>
  <si>
    <t>North Carolina, United States of America</t>
  </si>
  <si>
    <t>The jumper was highly experienced (1869 BASE jumps), equipment was checked post-accident and found properly configured with nothing wrong, and the possible factor listed is 'extracted pilot chute too late,' but the narrative explicitly states 'no clear conclusions can be made as to why' the pull was low. The night/new moon conditions and tracking suit are noted, but there is insufficient information to determine whether a human error caused the late deployment or whether some other factor was responsible. Without clear evidence supporting either a human error pathway or a non-human cause, this is best classified as insufficient information.</t>
  </si>
  <si>
    <t>Weather conditions at the time were reported to be clear skies with light winds on a new moon, launch altitude was approximately 1500-feet. Witnesses, approximately 3500?? away on the ground, report hearing the beginning stages of deployment for about 1 second followed by impact with the ground. Ground crew arrived at Tom immediately and checked for vital signs. 911 was called at approximately 12:33 AM, and authorities arrived on the scene within minutes. Ground crew noticed that both brakes were still stowed and the slider was only 1/4 to 1/3 of the way down the lines. The autopsy report confirmed Tom died on impact from multiple fatal injuries. Death was attributed to a low pull but no clear conclusions can be made as to why. A gear check was performed after removal and nothing was found to be wrong with his equipment. His gear was configured appropriately for this jump and he was wearing a Tracking Suit. Tom was an extremely well liked and experienced BASE jumper with 1869 BASE jumps from more than 40 objects. Tom, who spent his summers in Twin Falls, Idaho making 4 jumps a day, was known and loved by many jumpers around the world</t>
  </si>
  <si>
    <t>BFL95</t>
  </si>
  <si>
    <t>2006-03-15</t>
  </si>
  <si>
    <t>Swanscombe, United Kingdom of Great Britain and Northern Ireland</t>
  </si>
  <si>
    <t>Packing aid left on pilot chute</t>
  </si>
  <si>
    <t>The jumper failed to remove a pull-up cord used as a packing aid from the pilot chute prior to jumping. This restricted the pilot chute from functioning properly, resulting in a pilot chute in tow and total malfunction. Leaving a packing tool on the equipment is a clear human error in rigging/preparation.</t>
  </si>
  <si>
    <t>Paul, who was under the supervision of a mentor, is jumping this pylon for the first time. His mentor is known to teach his Students to use a packing aid when folding pilot chutes for stowed jumps. Apparently Paul did not remove the packing aid, which was a pull up cord, prior to jumping and on deployment the pilot chute failed to extract the canopy in time for full inflation.
The lesson here is obvious for both mentors and students.
Nicknamed, BaseMonkey, Paul was well liked and very enthusiastic about the sport.</t>
  </si>
  <si>
    <t>BFL96</t>
  </si>
  <si>
    <t>2006-04-15</t>
  </si>
  <si>
    <t>The jumper experienced a 180° off-heading opening with possible line twists, resulting in object strike. Witnesses reported he appeared to have enough time to turn but did not, suggesting 'maybe line twists or some other problem not apparent from the top.' The narrative does not provide sufficient information to determine whether the failure to correct heading resulted from a human error (such as inadequate reaction or skill deficit) or from a factor outside the jumper's control (such as severe line twists preventing correction). The cause of the correction failure remains speculative.</t>
  </si>
  <si>
    <t>Stephan had approximately 40 previous BASE jumps, with one being from this same cliff. The jump is stowed and slider up and he did a conservative delay and tracked before opening high over the talus. He then experienced an off heading opening and suffered a wall strike.Witness reports from the top say he should have had enough time to turn but maybe had line twists, or some other problem, not apparent from the top. Stephan was a locally well respected rigger and in the process of setting up a BASE school when this accident occurred. He leaves behind a wife and two children</t>
  </si>
  <si>
    <t>BFL97</t>
  </si>
  <si>
    <t>2006-04-16</t>
  </si>
  <si>
    <t>Inexperienced jumper poor exit and off-heading</t>
  </si>
  <si>
    <t>The jumper had only one previous BASE jump and attempted a slider-up cliff jump, representing a severe progression violation. He over-rotated head-down before deploying, resulting in a 180° off-heading opening facing the cliff. Despite riser input, he was unable to avoid object strike. The poor body position at deployment and the decision to jump a slider-up cliff with minimal experience constitute clear human errors.</t>
  </si>
  <si>
    <t>This jumper had one previous BASE jump when he over rotated head down before pitching his pilot chute. He then experienced an off heading opening facing the cliff and is on his risers trying to turn, but he did not clear the wall in time. He continued to impact the wall until coming to rest in the talus. If you have a picture of this jumper please contact us</t>
  </si>
  <si>
    <t>BFL98</t>
  </si>
  <si>
    <t>2006-05-06</t>
  </si>
  <si>
    <t>The jumper experienced a 180° off-heading opening resulting in object strike. However, the narrative provides no information about the jumper's experience level, the specific cliff characteristics, body position at deployment, packing quality, equipment condition, or any other factors that would allow identification of a specific human error pathway versus an inherent risk outcome. Off-headings can result from multiple causes including body position, packing, PC stability, and weather, but no specific cause is identifiable from the available information.</t>
  </si>
  <si>
    <t>This is a hand held slider off short delay from a cliff. After 2 to 3 seconds of freefall this jumper experienced an off heading opening. He hit the wall and slid down the rest of the way to the talus. He was still alive at that point and resuscitation efforts were quickly begun but Alexey died an hour and half later. The above three BASE fatalities are similar and all occurred in a span of three weeks. As our sport becomes ever more popular, and we approach our hundredth BASE fatality, it may be time to reflect on the obvious dangers and to instill in people that BASE is not the sport for everyone. BASE jumping is like a Rose, it is beautiful, and it can hurt you, and it all depends on how you grab for it.</t>
  </si>
  <si>
    <t>BFL99</t>
  </si>
  <si>
    <t>2006-05-27</t>
  </si>
  <si>
    <t>Proximity flight terrain impact</t>
  </si>
  <si>
    <t>The jumper was known for flying close to the wall and was performing proximity wingsuit/tracking suit flight near terrain. Witness reports indicate he impacted the wall with his canopy out at approximately 300 meters from the bottom, suggesting loss of separation from terrain during proximity flying. The possible factors of loss of speed-glide and proximity flying indicate the jumper flew too close to terrain without adequate margin, which is a human error in flight path management.</t>
  </si>
  <si>
    <t>['Emergency low pull', 'Loss of speed-glide', 'Proximity flying']</t>
  </si>
  <si>
    <t>Witness reports say Coombesy was hung up on the wall with his canopy out at about 300 meters from the bottom. The jump was reported as a five way and Coombesy is known for flying close to the wall. Coombesy was a well known Australian BASE jumper and a Bloke's Bloke who had friends throughout the world. This is the seventh Trollveggen area fatality.</t>
  </si>
  <si>
    <t>BFL100</t>
  </si>
  <si>
    <t>2006-05-29</t>
  </si>
  <si>
    <t>PC deployment failure</t>
  </si>
  <si>
    <t>The jumper failed to successfully extract and deploy the pilot chute from the BOC pocket. Witnesses report she either missed the handle or lost her grip, and her final attempt resulted in the PC ending up on her back and hesitating, leading to a total malfunction and impact. The failed PC deployment from a stowed BOC on a span jump represents a human error in the deployment process.</t>
  </si>
  <si>
    <t>This was Shannon's 4th jump at an annual Memorial weekend event in Twin Falls. She did a good launch and a stable face to earth delay before encountering a problem in deploying her stowed pilot chute. Witness reports state she reached for the pilot chute and either missed it or lost her grip - while extracting it from the BOC. One witness stated her last attempt to deploy the pilot chute resulted in it (the pilot chute) getting on her back and hesitating. The final result was an impact with essentially nothing out. Shannon, as evidenced by the outpouring from within the BASE community, was a special person whos zest for life influenced all who came in contact with her. It must also be mentioned that this year's event in Twin Falls saw marginal weather conditions and less jumps made than in previous years, yet there was a serious up-tick in the amount of injuries sustained by jumpers in general. There are some saying this bridge is a cakewalk as far as BASE jumps go - but all well thinking BASE jumpers know better than to apply the word cakewalk to any BASE jump. Note: Shannon has become the 100th BASE jumping fatality since the first one occurred twenty five years ago in 1981.</t>
  </si>
  <si>
    <t>BFL101</t>
  </si>
  <si>
    <t>2006-06-18</t>
  </si>
  <si>
    <t>Brazil</t>
  </si>
  <si>
    <t>Ribeirão preto, Brazil</t>
  </si>
  <si>
    <t>Bridle entanglement from wrong turn</t>
  </si>
  <si>
    <t>The jumper turned the wrong direction after hooking up his static line pilot chute, wrapping the bridle around his lower body without noticing before launching. This rigging error caused the bridle to foul around his body, preventing normal canopy deployment and resulting in impact death.</t>
  </si>
  <si>
    <t>Before his own jump Mario had assisted two other jumpers using the pilot chute assist (PCA) method from this 225-foot cellular phone tower. Alone on the tower now Mario climbed outside into a launch position. He then pivoted 180-degrees in order to face the tower and hook up his pilot chute. Then he turned again to face away. However, he turned the wrong way and effectively wrapped the bridle around his lower body and he didn't notice the problem prior to launching. The dynamic shock load of his full body weight hitting the bridle as he fell caused the cordage holding the bridle and pilot chute to the tower to separate prior to opening the container or giving him line stretch. He reacted quickly and fought to clear the bridle, but while the pilot chute did inflate, and did open the container, the parachute itself is fouled around his body and he died immediately on impact.</t>
  </si>
  <si>
    <t>BFL102</t>
  </si>
  <si>
    <t>2006-09-09</t>
  </si>
  <si>
    <t>Styria, Austria</t>
  </si>
  <si>
    <t>The narrative states the jumper 'experienced some problems, the cause of which is unknown' and went too close to the wall, resulting in cliff strike during freefall. While proximity flying and loss of speed/glide are listed as possible factors, the narrative explicitly acknowledges the cause is unknown. There is insufficient information to determine whether the cliff strike resulted from a human error (poor exit, poor tracking technique, decision error in line selection) or from an unforeseeable environmental factor, making it impossible to reliably distinguish between 001HE and 002OC.</t>
  </si>
  <si>
    <t>['Clipped ledge after exiting', 'Loss of speed-glide', 'Proximity flying']</t>
  </si>
  <si>
    <t>['Sunny', 'Sunset', 'Winds light and variable']</t>
  </si>
  <si>
    <t>The following is from an internet translation: Bernd is with a colleague from Salzburg when they rode the cablecar to the top of Dachstein, with the intent to hurl themselves into the deep over the southwall. The jumper from Salzburg jumped first, then the jumper from the Steirmark region. At about 2000 Meters high (assuming ASL) the 27-year old experienced some problems, the cause of which is unknown, and went too close to the wall. He bounced against the cliff, his parachute opened and got caught and Bernd St. stayed there hanging from the lines without his life</t>
  </si>
  <si>
    <t>BFL103</t>
  </si>
  <si>
    <t>2006-09-15</t>
  </si>
  <si>
    <t>Chiapa de corzo, Mexico</t>
  </si>
  <si>
    <t>The jumper attempted a front loop aerial, over-rotated into a head-down position, and spent nearly the entire freefall attempting to recover. He deployed his pilot chute too late to extract the canopy before impacting a ledge. The decision to perform an aerial and the resulting loss of altitude awareness and body position control constitute clear human errors.</t>
  </si>
  <si>
    <t>201C1, 202P2</t>
  </si>
  <si>
    <t>['Aerials', 'Extracted Pilot Chute too late']</t>
  </si>
  <si>
    <t>From a report: Adam over rotated his front loop and went fully head down for almost the entire freefall trying to correct it. At the last second he obviously realized he couldn't make it and threw his pilot chute, but did not have time to extract anything else as he hit the ledge. He died instantly as was confirmed by the autopsy report. A word about aerials: There was another jumper with Adam who has since penned a heartfelt awakening concerning aerials after they both agreed to do aerials on this jump. The gainer. The truth of it is, at some point this summer, the gainer became my 'crutch' move. I can finally be honest about that. I had always heard about people that struggled to do a flat and stable exit because all they ever did were aerials, I hadn't realized that I had moved in that direction. I was scared and gainers made me feel confident, so that's probably why I saw what I wanted to see when I looked over that ledge. Beyond that, I really thought that I could pull it off. Of course, the true test of a successful jump is not whether you can 'pull it off,' but rather if you can repeat it.</t>
  </si>
  <si>
    <t>BFL104</t>
  </si>
  <si>
    <t>2006-10-21</t>
  </si>
  <si>
    <t>Failed PC deployment into burble</t>
  </si>
  <si>
    <t>Video evidence shows Brian deployed his pilot chute into his chest rather than into clean air, where it became trapped against his body for approximately 2 seconds. This PC deployment failure resulted in a PC in tow condition, and the parachute had insufficient time to fully deploy before impact. The failed deployment technique constitutes a human error.</t>
  </si>
  <si>
    <t>['Pilot Chute Entanglement - PC in tow', 'Unstable exit']</t>
  </si>
  <si>
    <t>Brian, who along with Mike Pelkey, were the first two persons to parachute from Yosemite's El Capitan in 1966. Those jumps became the catalyst for the sport later to become BASE jumping. Last year they both came to Bridge Day (2005) and spoke to the assembled jumpers. The recounting of their El Cap experience had us laughing, clapping, and yes, crying a bit too. It was the closing of circle in the history of BASE and I consider myself very lucky to have had the chance to become friends with both men. Up until that Bridge Day neither man had kept up their BASE jumping or skydiving, but that year (2005) Mike Pelkey made a successful jump from the bridge. Brian deferred saying he wasn't ready, and he spent the following year getting ready and dreaming of next year's Bridge Day. Prior to his jump Brian received refresher training from several qualified people. Video shows Brian struggling to move the trapped pilot chute from his chest for 2 full seconds. While Brian did unintentionally perform one backflip shortly after a non-vertical standard (20 degrees forward) launch, he became stable and deployed his pilot chute in adequate time. He did, however, fail to deploy his pilot chute into clean air. Brian deployed his pilot chute into his chest at the 5 second mark where it became trapped against his body until being released at the 7 second point. Brian's parachute began to deploy, but the slider had just started down the lines when impact occurred at 8.5 seconds. I would be remiss in not mentioning what kind of man Brian was ?? he was generous to a fault and as big hearted as they come. Mike Pelkey lost his best friend at Bridge Day 2006 and we lost a gentle man who unconditionally and genuinely loved us all . .Joe Lathrop</t>
  </si>
  <si>
    <t>BFL105</t>
  </si>
  <si>
    <t>2006-11-03</t>
  </si>
  <si>
    <t>PC/Bridle Entanglement from Deployment Error</t>
  </si>
  <si>
    <t>The narrative describes a pilot chute in tow with the bridle tightly wound around the jumper's ankle, resulting in a closed-container impact. The bridle entanglement around the ankle indicates the PC was not deployed into clean air effectively, likely compounded by a slightly head-low body position at deployment. The cause of death is listed as malfunction/misrigging, and the deployment failure chain represents identifiable human error in the deployment process.</t>
  </si>
  <si>
    <t>Reports state Joe used a packing aid, a pull up cord, while folding and stowing his pilot chute on the bridge. It is not known for sure if he removed the pull up cord prior to jumping. He then did a floater launch that went slightly head low and he pitched at 2.5 seconds. Witnesses on the bridge report his pilot chute looked too small the inference being the pull up cord is still on the pilot chute. Another witness, in the LZ, said the pilot chute was inflated just prior to impact. The bridle was found to be tightly wound around one of Joe's ankles. The container remained closed (although one witness said it opened at the last moment) and when examined the pilot chute was free of any packing aids. Another witness on the bridge, who was not part of Joe's group, said he watched Joe use the pull up cord to stow his pilot chute, but couldn't say if it was left in place as he never saw the pull up cord again. This witness also mentioned he pointed out that Joe had twisted a leg strap while donning his rig and that Joe fixed the twist prior to launching. Joe is the fourth Perrine Bridge fatality and the eleventh BASE fatality of 2006.</t>
  </si>
  <si>
    <t>BFL106</t>
  </si>
  <si>
    <t>2006-11-18</t>
  </si>
  <si>
    <t>Hungary</t>
  </si>
  <si>
    <t>Late track and low deployment</t>
  </si>
  <si>
    <t>The jumper did not begin tracking until very close to the outcropping, resulting in insufficient forward separation from the cliff. He then deployed too late to avoid cliff strike during canopy opening. The delayed initiation of tracking and late deployment are identifiable human errors that directly produced the fatal outcome.</t>
  </si>
  <si>
    <t>Csaba had close to 500 BASE jumps and jumping along with two other experienced BASE jumpers. One of the other two is doing a short delay, with camera, to film the others. Csaba launched back to earth and did not start tracking until he was very close to the outcropping of the wall. When he did start his track he realized he wasn't going to make it past the outcropping and deployed his canopy, but he impacted the cliff as his canopy was opening. The canopy did fly out over the LZ, giving the other jumpers some hope, but Csaba is already dead when help reached him. Most likely he was killed instantly in the cliff strike.</t>
  </si>
  <si>
    <t>BFL107</t>
  </si>
  <si>
    <t>2006-12-27</t>
  </si>
  <si>
    <t>Late deployment from unstable back-to-earth filming exit</t>
  </si>
  <si>
    <t>The jumper exited on his back to film another jumper, became very unstable while attempting to turn face-to-earth, and extracted his pilot chute too late. This resulted in insufficient separation from the cliff, leading to object strike under canopy. The back-to-earth exit for filming, unstable body position, and late deployment constitute identifiable human errors per the domain reference's warnings about aerials, video as risk factor, and deployment from non-standard body positions.</t>
  </si>
  <si>
    <t>201C1, 201C3, 202P1</t>
  </si>
  <si>
    <t>A jumper on the load has reported this as a two-way with Edgar launching on his back and filming the upper jumper. The second jumper tracked out and over Edgar after about three seconds, and watched as he attempted to turn face to earth which he says was done while very unstable. The witness also mentioned Edgar wasn't wearing a jumpsuit or tracking clothes. The second jumper opened and when he looked back he saw that Edgar's canopy had hit the wall and it and Edgar were now falling the rest of the way. This is the fifth fatality to involving flying back to earth with camera. Edgar was a well liked and experienced BASE jumper who's death, I hope, will unfortunately yet mercifully, end the single most disastrous year in BASE jumping's 27-year history. We lost thirteen brothers and sisters to 2006 and that should give us all pause to ponder what we are doing. The true consequences, of course, are visited onto the families of those jumpers, but it should reinforce in all of us to be as careful as possible. I don't know what the true answer is, or how we go about making the sport safer, but I do know we could all slow down a little bit, and we can, and should, temper our bravado around each other and especially around newer and would-be BASE jumpers.</t>
  </si>
  <si>
    <t>BFL108</t>
  </si>
  <si>
    <t>2007-01-04</t>
  </si>
  <si>
    <t>Benevise, France</t>
  </si>
  <si>
    <t>The narrative provides very few details about what actually occurred during the jump. While the possible factors list suggests off-heading, ledge strike, late deployment, and line twists, the narrative itself states details are few and the circumstances were initially unclear. The cause of death was heart failure following a severe leg injury, but there is insufficient information to determine whether human error or other causes led to the injury-producing event. The specific sequence of events during the jump cannot be reliably reconstructed from the available information.</t>
  </si>
  <si>
    <t>['180 Offheading', 'Clipped ledge after exiting', 'Emergency low pull', 'Extracted Pilot Chute too late', 'Line twists']</t>
  </si>
  <si>
    <t>Details here are few, but it's being reported Rene was found in his car deceased at a remote cliff site by French Police. One of his legs were severely injured and his cause of death, it was determined, was heart failure. At the time he was found no gear was in evidence and it wasn't known if Renn was injured on his approach to the launch point or during a jump. Since the time of the discovery of his body his gear has been found at the bottom of the cliff. It appears now Renn was somehow injured during the jump but had managed to get back to his car where he died.</t>
  </si>
  <si>
    <t>BFL109</t>
  </si>
  <si>
    <t>2007-01-28</t>
  </si>
  <si>
    <t>Kostroma Oblast, Russian Federation</t>
  </si>
  <si>
    <t>The narrative reports this was a low pull, with the possible factor being that the pilot chute was extracted too late. Deploying too late from a 1000-ft antenna constitutes a human error in deployment timing that directly caused the fatal ground impact.</t>
  </si>
  <si>
    <t>Alexander is with friends and jumping from a 1000-ft antenna tower in the daylight. The WX conditions are good. It's reported Alexander made 70 previous BASE jumps over the course of seven months and also had prior experience on this object. His associates are saying this was a low pull.</t>
  </si>
  <si>
    <t>BFL110</t>
  </si>
  <si>
    <t>2007-02-10</t>
  </si>
  <si>
    <t>Barcelona, Spain</t>
  </si>
  <si>
    <t>O</t>
  </si>
  <si>
    <t>The jumper experienced a 90+ degree off-heading opening followed by further canopy surge into the dam wall, resulting in fatal object strike. The narrative reports good weather conditions and two prior successful jumps from the same object. No information is provided about the jumper's experience level, equipment details, packing quality, body position at deployment, or any other factor that would allow identification of a specific human error or non-human cause for the off-heading. Off-headings can result from multiple causes, and the evidence is insufficient to determine which applied here.</t>
  </si>
  <si>
    <t>Sean was a long time and well known British BASE jumper and not much is know at this point except early reports are saying Sean hit the dam at some point during the jump. While dams have been popular BASE objects for a long time Sean has become the first BASE jumping fatality to occur from one. The weather conditions were good and the winds were 0-2mph across the dam. Hubert jumped first and had a perfect on heading opening. I went second and also had a good opening. Sean had a 90+ degree off heading to the left, but the canopy then apeared to surge left again as it started to fly - into the Dam wall. It was a full body impact, the canopy remained partially inflated, but he fell 80ft+ awkwardly onto some railings. He did not have enough time to react, but he never gave up.</t>
  </si>
  <si>
    <t>BFL111</t>
  </si>
  <si>
    <t>2007-03-21</t>
  </si>
  <si>
    <t>Failed to reach landing zone</t>
  </si>
  <si>
    <t>The jumper opened his canopy but was unable to reach the planned dry landing zone, landing in cold water approximately 100 feet from shore. This failure to reach the LZ suggests errors in jump planning, wind assessment, or canopy flight that led to a water landing without adequate preparation for water survival, resulting in drowning from hypothermia.</t>
  </si>
  <si>
    <t>['Snow', 'Winds light and variable']</t>
  </si>
  <si>
    <t>Reports indicate Mikhail, who began skydiving at age 14, was also a paraglider pilot and had about 20 prior BASE jumps. He'd contacted another jumper before this jump and they discussed various issues including any possible static electricity problems. He'd just taken delivery of a brand new BASE container that had separate cutaway handles for each riser although the reporting jumper says it's not known if this had any bearing on the fatality. The jump was planned for a dry landing but once open Mikhail apparently realized he couldn't make the LZ and he went into the water about a 100-feet (30 meters) from shore. He was then seen struggling for about twenty minutes before being overcome by hypothermia. The water temperature was reported to be 39.2 F (+4 C). Ground crew tried to get to him but could not do so in time. His body was recovered and taken to the hospital where emergency care was provided. Mikhail had a website and it is here: http://www.windsport.ru/events/2007_03_22.html</t>
  </si>
  <si>
    <t>BFL112</t>
  </si>
  <si>
    <t>2007-04-10</t>
  </si>
  <si>
    <t>Jumping in extreme winds</t>
  </si>
  <si>
    <t>The jumper chose to jump in 32-39 mph winds described as 'very strong and extremely turbulent' — conditions so severe that experienced local jumpers considered it impossible anyone would jump. The domain reference establishes that few objects are good above 10 mph and none above 20 mph. The fatal PC/bridle entanglement was wind-induced, resulting from jumping in conditions far exceeding accepted practice. Additionally, the bridle was found wrapped around the jumper's hand, indicating a deployment technique error.</t>
  </si>
  <si>
    <t>['Crosswinds on exit', 'Pilot Chute Entanglement - PC in tow', 'Strong winds']</t>
  </si>
  <si>
    <t>['Strong winds']</t>
  </si>
  <si>
    <t>This report is from a local and very experienced BASE jumper. Unfortunately, we had a fatality here yesterday. Reports are thin, because the jumper was alone. We do have some tourist reports from the overlook. Conditions were very bad, so bad that none of the locals believed this was really a BASE fatality at first, as we all thought it impossible that anyone would have decided to jump in the very strong and extremely turbulent winds. From my initial conversation with the coroner, it appears (I have not examined the gear, so this is going off what the non-jumping medical examiner was able to relay over the phone from my questions) that impact occurred at high speed with a closed container, but with the PC fully deployed. My best guess is that the jump took place in a very high tailwind (weather history shows 32-39 mph winds at the time of the accident) and that the jumper experienced a wind induced bridle entanglement (possible from pitching early with a high tailwind, and getting the PC blown back under the arm/body). Sheriff dispatch reported a call from a jumper just before the jump [as per local protocols] followed within 10 minutes by a call from a spectator who had observed the impact. No jumpers observed the accident, so all my information is 4th hand at this point. I'm hoping to have a look at the gear sometime in the next few days. A report issued by local authorites on 4/12/07 is now saying Yegor was found with the bridle still wrapped around his hand. This is the fifth Perrine Bridge fatality and Twin Falls' sixth BASE fatality overall (the former being from another area bridge). The five Perrine fatalities all appear to be from pilot chute problems that led too late, or no canopy deployments at all.</t>
  </si>
  <si>
    <t>BFL113</t>
  </si>
  <si>
    <t>2007-05-09</t>
  </si>
  <si>
    <t>Baffin Island, Canada</t>
  </si>
  <si>
    <t>Wingsuit stall and low deployment</t>
  </si>
  <si>
    <t>The jumper exited head-high and flew in a near-stall configuration for approximately 7 seconds, losing critical altitude during the start arc. This resulted in the remaining 22 seconds of flight occurring too low to deploy safely. The pilot chute was extracted too late, and the jumper impacted terrain during canopy extraction. The head-high exit, sustained near-stall flight, and resulting loss of altitude represent clear human errors in wingsuit technique.</t>
  </si>
  <si>
    <t>['Snow', 'Sunny', 'Winds light and variable']</t>
  </si>
  <si>
    <t>Based on video and eyewitness accounts: Jimmy was the 3rd jumper in a 3-way wingsuit exit. Jimmy exited head high, and remained too flat to begin immediate and efficient flight. He only achieved efficient flight after a 7 second period of freefall in a near-stall configuration. (Jimmy flew for 29 seconds total, popular reports stating that he "hit a ledge" or "went head down" are untrue). The remaining 22 seconds of Jimmy's flight occurred just above the snow in the couloir at the bottom of the canyon, at an altitude that was too low to pull safely. After matching his glide path to the couloir in the bottom of the canyon for 20 seconds, Jimmy deployed his pilot chute. In the outside video, it is possible to see the pilot chute and canopy top surface deploy. Immediately after canopy extraction, Jimmy impacted the couloir in a head first configuration. He had 103 BASE jumps, with approximately 45 of them being wingsuit, prior to this incident. He had more than 700 skydives.</t>
  </si>
  <si>
    <t>BFL114</t>
  </si>
  <si>
    <t>2007-06-30</t>
  </si>
  <si>
    <t>The jumper successfully deployed and flew his canopy but drowned after landing in water when the parachute pulled him under. The narrative does not provide sufficient detail to determine whether landing in water resulted from a human error (e.g., poor landing approach, inadequate planning, failure to cut away) or from factors outside reasonable control (e.g., unforeseeable wind shift, unavoidable water landing at this site). Without information on the landing area characteristics, whether water landing was planned or unplanned, whether the jumper had flotation, or why he was unable to separate from the canopy, neither 001HE nor 002OC can be adequately supported.</t>
  </si>
  <si>
    <t>Base jumping specialist Jean-Marc Mouligne died by drowning Saturday in the Verdon gorges after a jump in La-Palud-sur-Verdon (in Alpes-de-Haute-Provence), according to police reports. Base jump is a dangerous sport which involves throwing oneself off a cliff with a parachute. Jean-March Mouligne, 57 years old, was known as the human catapult since he learned how to catapult himself more than 100 metres from the ground before opening his parachute. According to the police, he had made a jump, and it was on landing that his parachute, falling into the water, pulled him to the bottom. His body was found at the end of the morning by practioners of white-water sports. He was removed by helicopter at the end of the afternoon. Jean-Marc Mouligne was originally from Romainville in Seine-Saint-Denis. A website dedicated to him can be found here: http://www.hommevolant.fr/hommevolant/Accueil.html</t>
  </si>
  <si>
    <t>BFL115</t>
  </si>
  <si>
    <t>2007-07-07</t>
  </si>
  <si>
    <t>North Caucasus, Russian Federation</t>
  </si>
  <si>
    <t>Object strike after inadequate separation</t>
  </si>
  <si>
    <t>The jumper struck the cliff under canopy 230 meters below the exit point, indicating insufficient object separation. Multiple human error factors are identifiable: the jumper exited in marginal wind conditions after a 3+ hour weather hold, had minimal experience at slider-up cliffs (65 total jumps mostly from short antennas), extracted the pilot chute too late, and did not achieve enough forward separation on exit. The decision to jump in marginal crosswind conditions with limited cliff experience represents identifiable human error.</t>
  </si>
  <si>
    <t>['Crosswinds on exit', 'Extracted Pilot Chute too late', 'Not enough forward seperation on exit', 'Strong winds']</t>
  </si>
  <si>
    <t>['Strong winds', 'Sunny']</t>
  </si>
  <si>
    <t>This report was received through a jumper who was able to translate Russian.... cliff jump. the deceased had 65 jumps, 3 from the same cliff. the rest were from 60 and 80 meter antennas. to get to LZ you have to fly over a river, so most people do slider downs at this cliff. The site was opened last year. They were held up by weather for over 3 hours due to a very strong headwind, and afterwards the weather was marginally ok - 2-3 meters a sec winds (4-5mph). The jumper took 1-2 seconds, people saw the pitch, did not hear the openings, but heard the rocks rollings.He was found 230 meters below the exit hung up with toggles in his hands. The jumper was using a Troll 305 MDV A picture of the site can be seen here: http://photofile.ru/users/anis-i/1392388/30043672/ If you have a picture of this jumper please contact us</t>
  </si>
  <si>
    <t>BFL116</t>
  </si>
  <si>
    <t>2007-08-14</t>
  </si>
  <si>
    <t>Vampire 1 (Wingsuit)</t>
  </si>
  <si>
    <t>Wingsuit terrain flight loss of control</t>
  </si>
  <si>
    <t>The jumper flew into a narrow valley requiring a sharp turn to exit, lost stability during the aggressive turn (right arm wing folded under), and was unable to recover before impacting terrain. The decision to fly into the valley and the resulting loss of control during the turn constitute identifiable human errors in flight path selection and execution.</t>
  </si>
  <si>
    <t>['Loss of speed-glide', 'Proximity flying']</t>
  </si>
  <si>
    <t>This report came from Simon Plume, a friend of Stevo's who was also on the load: It was our 2nd jump for the day in the Litldahlen area. The first was from the 3rd valley, this jump was from the 2nd valley. The visibility was excellent, there was a small breeze at the exit point but nil wind down below. The jump is about 4550 feet from exit to landing. It was a 5 way, wingsuit jump. But due to the nature of the exit point, only about 2 jumpers can exit simultaneously. Stevo exitted first, followed by another jumper and then myself with 2 others following. He was in a V1. We flew the left wall out into the valley and then turned a sharp left to follow the wall along to where the 3rd valley comes out (We have flown out of this 3rd valley on 2 other occasions - one being earlier that day). At this point, I was about 80m behind and slightly above. Stevo had planned to fly up into the 3rd valley briefly before coming back out. We were flying close to 90% max flight. Stevo turned left into the 3rd valley briefly, before straightening again and then he started to turn right back out of the 3rd valley. I did not go into the 3rd valley but continued to fly straight. Due to his turn I was now only 40-50m behind and still above. As he continued his right turn it became a hard bank (most likely because he realised he was too far in) to the point that his right arm wing folded under, similiar to when you initiate a barrel roll. With the speed he carried into the turn he most likely would have been getting alot of side-slip as well. Stevo corrected but lost stability whilst trying to maintain his sharp turn. He remained unstable and impacted the far side of the gorge after another 2 sec. At this point I was about 30-40m above and 10m behind. I flew away from the valley, opened, landed and we called a helicopter. Stevo's body was retrieved within 2.5hrs. Stevo was a great friend to those around him and will be sorely missed by the Oz BASE crew and those around the world that met him. He was inspirational, a joker and a great mate.</t>
  </si>
  <si>
    <t>BFL117</t>
  </si>
  <si>
    <t>2007-09-07</t>
  </si>
  <si>
    <t>Insufficient separation and off-heading</t>
  </si>
  <si>
    <t>The jumper had insufficient forward separation from the wall, requiring an early pitch between 5-7 seconds instead of reaching full terminal airspeed. He then experienced a 180-degree off-heading opening facing the wall, resulting in fatal object strike. The insufficient separation indicates a human error in exit/tracking performance, and the decision to never wear a helmet removed a protective factor that could have mitigated the outcome.</t>
  </si>
  <si>
    <t>Bert was with his girlfriend Michelle on a BASE vacation in Lauterbrunnen, Switzerland. Conditions were good, and this particular jump occurred a bit after 2pm local time. Michelle jumped first, landed, and turned to watch Bert's jump. He was using a 34 pilot chute expecting to get full terminal airspeed but had to pitch between 5 and 7 seconds. It is unclear why, but he was too close to the wall to continue freefall. Bert pitched and opened with a 180 facing the wall. Bert struck the wall multiple times and was reported to be unresponsive after the first strike. Bert made it a point to never wear a helmet. Had he chose otherwise it could have given him a chance to fight and turn after that first strike. We will never know but hopefully will think twice ourselves about protective gear.</t>
  </si>
  <si>
    <t>BFL118</t>
  </si>
  <si>
    <t>2007-09-13</t>
  </si>
  <si>
    <t>Porto Alegre, Brazil</t>
  </si>
  <si>
    <t>The jumper rigged a static line system using rope tied to the tower. The knot securing the rope to the tower came undone upon exit, resulting in a total malfunction with no pilot chute available as backup. This represents a rigging error — the jumper failed to ensure a secure anchor attachment, and the decision to remove the pilot chute eliminated any backup deployment method.</t>
  </si>
  <si>
    <t>Marcelo was an outdoor enthusiast known as a climber, a rafting guide, a skydiver, and an well experienced paraglider pilot. He was new to BASE with around 30 jumps. Marcelo climbed a 180 foot antenna this evening. It was to be a static line jump and Marcelo chose to remove his pilot chute. He tied rope to the tower, and then his bridle to the rope using break-cord. The rope's knot to the tower came undone when he jumped and trailed behind him him even popping the pins of his container. Marcelo died from impact. Hindsight is 20/20: Always check your knots and think twice before removing a pilot chute even for a PCA or static-line.</t>
  </si>
  <si>
    <t>BFL119</t>
  </si>
  <si>
    <t>2007-09-30</t>
  </si>
  <si>
    <t>Ukraine</t>
  </si>
  <si>
    <t>PC deployment technique error</t>
  </si>
  <si>
    <t>The narrative describes a PC/bridle entanglement resulting in total malfunction. Evidence indicates the jumper held the pilot chute after extracting it from the BOC rather than immediately throwing it, allowing the bridle to flow into the airstream and form a loop around the PC. The domain reference explicitly identifies holding the PC too long as a known cause of PC/bridle entanglement, making this a human error in deployment technique.</t>
  </si>
  <si>
    <t>This report comes from a jumping mate of Oleg's: Oleg was an experienced skydiver and had 64 BASE jumps. He came to Lautebrunnen as a part of the Ukrainian team. Oleg jumped 2-way (Oleg was lower) from Yellow Ocean. On the video we can see that he was in good tracking position and prepare to throw pilot chute on the 7-8 seconds (his hand moves to the pc). After pitching he goes into boxman and was waiting for the opening. In this position he fell down into the trees. The container remains closed until impact. He dies immediately. On the next day we checked his base gear and found that the pilot chute was collapsed. The bridle had made a knot around the pilot chute. Our guess is that Oleg took out his pilot chute and before throwing he held on to it for a bit. During this time the bridle was in air and it was ?dancing? and either created a loop around the PC then or while he let go. Suggestion: Don?t hold PC if you pull it ? throw immediately.</t>
  </si>
  <si>
    <t>BFL120</t>
  </si>
  <si>
    <t>2007-10-09</t>
  </si>
  <si>
    <t>Kazakhstan</t>
  </si>
  <si>
    <t>The jumper experienced a pilot chute in tow malfunction where the PC inflated but remained approximately 1 meter from his back, never reaching full bridle stretch, and the container remained closed until impact. The possible factors listed include gear failure and PC/bridle entanglement, but the narrative does not provide sufficient information to determine the root cause. The pre-jump gear check showed nothing visibly wrong, the exit and track were stable and efficient, and the deployment pitch appeared normal. Without evidence of a specific packing error, rigging mistake, equipment defect, or deployment technique failure, neither human error nor a non-human cause can be positively established.</t>
  </si>
  <si>
    <t>This report comes from a post made by 'Victor Chik'. It is the only report I have seen or received. : The jump was to be a 9-way: 4 jumpers in Vampires, 4 in tracking gear, 1 in Prodigy. Exit order: first the trackers, followed by the wingsuits Alexander was jumping in a tracksuit. He was the jumper on the far left. On the video we have a good close-up shot of his rig just before the jump. There is nothing visibly wrong with the gear at this point. The launch went well, each jumper in his assigned sector. Many video POVs reveal no collisions or bumps of any kind. There were 5 cameras + 1 from the ground. We can see Alexander's jump from two video POVs. He appears to have an efficient and stable track all the way down until deployment. He pitches at around 200m, the first of his group. Immediately after pitching he goes into boxman. The pilot chute tows after him inflated at about 1m (3-4ft), i.e. the pilot chute does not reach full bridle stretch. Quickly realizing something is wrong, Alexander moves both arms back. The first video POV ends here. The other video POV shows him falling with his legs tucked in and his arms behind his back. He is not stable at this point as he is fighting to clear the malfunction. The pilot chute is still towing after him inflated at about 1m from his back. He impacts still fighting and towing the pilot chute at forest line (the closest to the field). The container remains closed until impact, there is no part of the canopy out. He dies immediately at impact.</t>
  </si>
  <si>
    <t>BFL121</t>
  </si>
  <si>
    <t>2007-10-13</t>
  </si>
  <si>
    <t>Parana, Brazil</t>
  </si>
  <si>
    <t>Cutaway after tree landing</t>
  </si>
  <si>
    <t>The jumper experienced a 180° off-heading opening from a 105-meter building, cleared the building but landed in a tall tree. He then cut away his canopy while in the tree, falling approximately 40 feet to the ground, resulting in fatal injuries. Cutting away a canopy while suspended in a tree at height is a clear human error, as accepted practice after a tree landing is to remain secured in the harness until safely assisted down.</t>
  </si>
  <si>
    <t>This report comes from a friend in Brazil who first learned to pack from Jeferson. Unfortunately this is the second fatality in Brazil within a month. Jeferson Bitencourt (Base # 848) jumped a 105 meters B in Curitiba city, Brazil. it was his 7th jump in this object. He jumped alone, a non jumper witness said he had a 180, cleared the building and crashed in a tall tree. Maybe he was just afraid of getting caught or maybe he was hurt on the tree; We don't know the reasons, but he cutaway his canopy, and fell 40 feet. He had multiple injures on his back and head. Jeferson stayed in coma at the hospital for a week and passed away on October 20th. He started jumping in 2001, lived in Moab for 6 months, had 240 jumps and was considered to be well experienced by the Brazilian crew.</t>
  </si>
  <si>
    <t>BFL122</t>
  </si>
  <si>
    <t>2008-05-25</t>
  </si>
  <si>
    <t>Bridle configuration error</t>
  </si>
  <si>
    <t>The jumper used a bridle with a wingsuit shrivel flap for a non-wingsuit (slick) jump. Post-accident gear inspection found the shrivel flap tightly bunched up, and the most supported explanation is that the bridle was stowed in a way that allowed the shrivel flap to snag during extraction, causing a pilot chute in tow. This represents a human error in equipment configuration — either using an inappropriate bridle for the jump type or improperly stowing the bridle/shrivel flap.</t>
  </si>
  <si>
    <t>['Emergency low pull', 'Gear failure', 'Pilot Chute Entanglement - PC in tow']</t>
  </si>
  <si>
    <t>This report comes from a jumper who inspected the gear Emanuele was jumping without a tracking suit or wingsuit. He had a good track, good delay, reasonable pull altitude. Pilot chute in tow, reached back to pull bridal directly, actively trying to get something out until he disappeared into the trees. Found with canopy out, still neatly folded on the ground beside him, closing loops not broken suggesting pin extraction before impact. Gear was inspected but no obvious cause for a pilot chute in tow was evident. The only thing to note from the gear inspection was that he had a bridal with a wingsuit shrival flap attached. Accounts suggest this shrivel flap was seen tightly bunched up after the jump. It is not known exactly how he had stowed the bridal. It is possible that the bridal was stowed in a way that the shrivel flap snagged during extraction causing it to bunch up and form a solid ball that became wedged somewhere. This scenario might be possible if excess bridal, including the shrivel flap, was tucked under the closing flaps where normally only the last section of bridal between the pin and pouch is tucked. This is only speculation but having a second bridal for non-wingsuit jumps or storing the wingsuit shrivel flap inside the pilot chute where most of the bridal is normally folded could avoid this theoretical scenario.</t>
  </si>
  <si>
    <t>BFL123</t>
  </si>
  <si>
    <t>Meiringen, Switzerland</t>
  </si>
  <si>
    <t>Late deployment after low flight</t>
  </si>
  <si>
    <t>The jumper flew his wingsuit too low/flat, losing speed and glide performance, and delayed pilot chute extraction in an attempt to clear powerlines rather than deploying at a survivable altitude. The ground witness confirmed very flat flight compared to usual body position (indicating loss of speed/glide), and the PC was deployed at approximately 120-150 feet — far below survivable deployment altitude. These constitute identifiable human errors in flight management and deployment decision-making.</t>
  </si>
  <si>
    <t>This report came from the a witness and fellow jumper: I was the only jumper who witnessed Gus' last jump from exit to impact so i thought I'd tell all to clear up and questions you have about the incident, We all met in the morning at 6am like we all had been that week, Gus had only arrived a couple of days earlier, we were all off to an exit point approx an hour out of the Valley that most of us hadn't jumped before, during the drive Gus revealed to me that this would be his third attempt at the this jump, winds thwarting his previous attempts. At the exit point we all looked over, deciding on our landing areas etc, winds were gonna be no problem thankfully this morning so we all went ahead and kitted up. I do recall thinking at the time that the powerlines were at a slightly awkward distance for a wingsuit, but had no desire to point out this fact as Gus being an experienced wingsuit pilot and what with me having none and i just had confidence that Gus would make it over them no problem as this was his plan, so who was it for me to offer advice or even make my opinion heard. We decided on an exit plan, all solos and i went last as i wanted to film everyone's exit, the first 4 jumps went fine, all 4-5 secs delays and made it back to the planned landing areas, then Gus launched himself off, from my perspective it looked like a great flight, although i was watching it on my LCD screen, not with my eye, i can't say how long he was in flight for, but as he starting getting nearer to the powerlines i did think to myself damn he's low, then i saw him deploy just he had made it over the lines, from my viewpoint his canopy came out behind the powerlines, but no sooner had his canopy deployed it collapsed on the ground, my cam was fully zoomed in at this point as it was hard to tell if there was movement from his white wingsuit, i turned the cam off and was squinting to see if there was any movement, there wasn't, and i knew he was at least hurt bad. As you can imagine, i didn't wanna jump, but not having the car keys i was stuck at the top, the others all landed far away from Gus, and i decided that i could be first on scene if i just jumped now, i don't even remember the jump, it was just a means to get down quick, i landed next to Gus, but Rich had made it before me as its a long canopy flight. Looking back on the jump, it would seem to me that Gus obviously realised in the last few seconds of his flight that he wasn't gonna make it over the powerlines, but rather than pulling and deploying into the lines, he tried to make it over them eye witness on the ground said his flight was very flat compared to usual body position, which says to me he was trying his best to clear the lines, PC was thrown out the same height as the lines, approx 120-150ft, but as we all know, that simply isn't enough... The paramedics were on scene within 15 mins, but there was nothing they could do. I hope you all take comfort in the fact that it was instant, Gus did not suffer and he did die doing something he loved, in a place he loved.</t>
  </si>
  <si>
    <t>BFL124</t>
  </si>
  <si>
    <t>2008-07-01</t>
  </si>
  <si>
    <t>The jumper intentionally flew a wingsuit line involving a turn to descend and pass close to a major ledge, resulting in terrain impact during flight. This deliberate proximity flying maneuver represents a human decision that directly led to the fatal outcome.</t>
  </si>
  <si>
    <t>After leaving exit point Jungfrau, a turn in flight apparently made for the purpose of descending and passing close to the first major ledge resulted in Yoan impacting said ledge.</t>
  </si>
  <si>
    <t>BFL125</t>
  </si>
  <si>
    <t>2008-08-22</t>
  </si>
  <si>
    <t>Late deployment filming wingsuit</t>
  </si>
  <si>
    <t>The narrative and possible factors indicate the jumper deployed too late, with contributing factors including loss of altitude awareness due to filming/watching other jumpers and possible difficulty locating the pilot chute. The video evidence shows impact at line stretch with no canopy inflation, confirming a low pull. These are human error factors: distraction from filming leading to delayed deployment.</t>
  </si>
  <si>
    <t>['Extracted Pilot Chute too late', 'Focusing on filming', 'Unable to locate pilot chute']</t>
  </si>
  <si>
    <t>No one saw the final seconds of the jump, but judging from Ben's video he went in the trees at linestretch, no real inflation occurs. A jumper from the last load (3-way, all wingsuit, Ben shot video) speculates that 3 things contributed to the tragedy: 1. Loss of attention to altitude because he was watching the others. 2. Possible missed pull 3. Low pull Ben was conscious when the others reached him. They thought it was bad but really thought he would pull through. He was airlifted to Interlaken after he was stabilised, and then airlifted to Bern because of the severity of his injuries. He did not make it to Bern.</t>
  </si>
  <si>
    <t>BFL126</t>
  </si>
  <si>
    <t>2008-09-09</t>
  </si>
  <si>
    <t>The jumper failed to attain good forward speed in a wingsuit and impacted terrain with no apparent pull attempt. While flying too slowly in a wingsuit is a recognized error pattern, the narrative provides no information about the jumper's experience level, equipment details, weather conditions, or what specifically caused the poor speed and failure to deploy. The absence of a pull attempt could indicate incapacitation, disorientation, or a conscious decision, but there is insufficient information to distinguish between human error pathways and other potential causes such as a medical event.</t>
  </si>
  <si>
    <t>It was a two way wingsuit jump from Labben, flying toward the ridge on the right. Tommy did not seem to attain a good forward speed. Ended up impacting at the big ledge about 500 meter below exit. Apparently no attempt to pull.</t>
  </si>
  <si>
    <t>BFL127</t>
  </si>
  <si>
    <t>2008-09-11</t>
  </si>
  <si>
    <t>Unstable wingsuit exit into cliff</t>
  </si>
  <si>
    <t>The jumper exited in an unstable, head-down position from a technical exit point while wearing a wingsuit. The unstable exit resulted in tumbling and inability to recover or deploy the parachute, leading to impact in terminal freefall. The narrative indicates the jumper was very nervous, couldn't get proper footing, and exited with a shoulder down, suggesting the exit exceeded the jumper's ability to manage the situation. The pilot chute was reportedly still in its pouch, indicating no deployment was achieved.</t>
  </si>
  <si>
    <t>201C2, 201C3, 203T, 204E</t>
  </si>
  <si>
    <t>['Clipped ledge after exiting', 'Unstable exit']</t>
  </si>
  <si>
    <t>The jump site where he went in on is called the ultimate.
It is a great jump and not actually very dangerous itself, but getting to the exit point and the exit itself is a big mind fuck. Even after my first jump there I landed and I was shaking and I have 1700+ jumps. From what I was told afterwards it was Simon's first repel which would've added to the nerves. The exit is also technical as you can't see over the egde past a few meters and it is quite underhung for the first 50 feet. Nothing too dangerous but again, a big mind fuck as you need to push off quite hard to get clear. For me personally it is a tracking jump and not a wingsuit jump but it is not for me to tell others they can or can't jump. Again simon seemed like a safe and sensible jumper so I did not worry about him at all.
We were not looking up when Simon jumped but immediatley after impact his friend came running over explaining what he had just seen He said he saw someone tumbleing and then a partial parachute coming out and more tumbling down the wall until the talus. He also said there was no way that who ever it was could have survived, so it must have been fast.
From the exit point my friend told me that when Simon was about to exit he was very nervous and couldn't get his footing in the right position to exit. (its a bit of a shitty exit point for your feet and there is some grass on a slope). When he exited he went off in a head down position with, I think, his right shoulder down,with his opposite leg kicking to get stable, before he disapeared out of view.
When I got to him on the talus he was wrapped in his tangled canopy and dead, with massive multiple injures.
In my view I feel that he exited a little unstable and possibly paniced because of the mind fuck related to the jump. Because of the wingsuit trapping his arms in and also his experience level, I feel he tried to fight the tumbleing all the way down either
1) until impact where the parachute bounced out and he continued to tumble and get wrapped in his canopy until he stopped.or2) he tumbled from exit and opened his parachute too late and tumbled down to where he came to rest.
I have a feeling from memory that his pilot chute was still in its pouch which would mean it was senario number 1.
There is not much to do to prevent this type of death except for each and every person to know their own experience levels and not push forward to soon. This is an age old problem that will never go away. Either you make it through that stage of jumping, either uninjured, injured like a lot of people do, or dead which is still pretty rare over all with all the jumps that get made.
I do think that his death has made people realize that this jump is an experienced peoples jump only and hopefully that will keep people away. A similar lesson is learnt from every fatality.</t>
  </si>
  <si>
    <t>BFL128</t>
  </si>
  <si>
    <t>2008-10-16</t>
  </si>
  <si>
    <t>Unstable wingsuit exit in strong wind</t>
  </si>
  <si>
    <t>The jumper exited unstable from a wingsuit exit point in strong winds, failed to achieve adequate separation from the cliff, clipped a ledge, and was unable to deploy. The decision to jump in strong wind conditions and the unstable exit constitute identifiable human errors contributing to the fatal outcome.</t>
  </si>
  <si>
    <t>['Clipped ledge after exiting', 'Not enough forward seperation on exit', 'Unstable exit']</t>
  </si>
  <si>
    <t>Anis was jumping Forostky Kant, wingsuit exit point 'W1'. This is an 18m (60 foot) extended deck off the cliff edge. Rock drop impact is 100m (330ft) below the exit point. Strong wind was reported. Anis left unstable and ended up impacting the cliff.</t>
  </si>
  <si>
    <t>BFL129</t>
  </si>
  <si>
    <t>2008-12-29</t>
  </si>
  <si>
    <t>Belgium, Belgium</t>
  </si>
  <si>
    <t>The jumper died from a low pull with the canopy still in its deployment sequence. The narrative explicitly states 'no one knows the exact circumstances' since the jumper was alone. Multiple possible causes are listed (delayed too long, missed PC on first reach, PC hesitation) but none can be confirmed. There is insufficient information to definitively identify a human error pathway or an equipment/environmental cause.</t>
  </si>
  <si>
    <t>['Extracted Pilot Chute too late', 'Unable to locate pilot chute']</t>
  </si>
  <si>
    <t>The weather was freezing but there was nearly no wind. Papy reportedly knew this 65m (210ft) bridge well and had nearly 200 jumps from it in 2 years with many of them stowed.
As Papy jumped alone, no one knows the exact circumstances but Papy died from impact while the canopy was in its deployment sequence. It is possible that he delayed too long, missed his stowed PC and had to reach again, or had a PC hesitation.</t>
  </si>
  <si>
    <t>BFL130</t>
  </si>
  <si>
    <t>2009-02-15</t>
  </si>
  <si>
    <t>The jumper experienced a 180° off-heading opening with line twists resulting in object strike. However, the narrative does not provide sufficient information to identify a specific human error as the producing cause. The jumper was in a flat and stable body position, winds were calm or near-calm, and the 1-second delay with slider-down stowed BOC is within normal parameters for a cliff jump. Off-headings can occur even with proper technique due to packing variability, PC behavior, or other factors not detailed here. Without information on experience level, packing quality, equipment condition, PC type, or other specifics, there is insufficient basis to determine whether this was human error or an outcome within the inherent risk of BASE jumping.</t>
  </si>
  <si>
    <t>From jumpers with Suppa one who was below and another at the exit point during incident- The group had been in Arizona, jumping some legal cliffs for a few days. On day 5, Suppa went first. The winds were reported to be close to calm, or they were in the wind shadow of a 4-5mph crosswind. Suppa took 1 second delay, stowed, in a flat and stable body position. The opening was a 180 with a half-linetwist, canopy flying towards the cliff. The first cliff strike was hard and the smack was heard clearly by the jumpers up top and below. Suppa was still facing forward and this strike was on his back and possibly back of his head; Suppa was wearing a skydiving helment for this jump. The second stike came after he had come out of the half twist and was head on. The strikes caused large boulders to be dislodged from the cliff and the combination of talus angle and destruction to the canopy caused it to collapse leave Suppa on the talus. The two jumpers above jumped down and landed by him for assistance. One jumper had recently gone through EMT training (a good idea for all of us) and began to assess his friend's situation. Rescue and paramedics were called in but Suppa died during extraction from major trauma. Chad was a well respected federal Wildland Firefighter.</t>
  </si>
  <si>
    <t>BFL131</t>
  </si>
  <si>
    <t>2009-02-28</t>
  </si>
  <si>
    <t>Jump in excessive winds</t>
  </si>
  <si>
    <t>The jumper exited an antenna in gusting winds of 18-22 mph with crosswind-to-tailwind conditions, which is well beyond accepted limits for BASE jumping. The wind caused the hand-held pilot chute to inflate prematurely before exit and then blew it behind the jumper after the throw, resulting in a delayed deployment and closed-container impact. The decision to jump in these clearly observable and excessive wind conditions constitutes human error.</t>
  </si>
  <si>
    <t>['Crosswinds on exit', 'Extracted Pilot Chute too late', 'Pilot Chute Entanglement - PC in tow', 'Strong winds']</t>
  </si>
  <si>
    <t>Report from the Russians- gusting winds changing from crosswind to tailwind measuring 18-22mph (8-10m/s) the throw was clearly visible as a forward throw immediately after exit. The PC was inflated prior to the exit, and the jumper was not really able to throw. It seemed like right after the throw, the PC was blown behind the jumper. The PC was already inflated at the time of exit as he was holding it by the mesh. It was most likely unintentional as the jumper was experienced and new to throw instead of letting go. The container opened really low, he impacted right before complete linestretch, with lines partially out. Witness Speculation : exit - inflated PC - sudden gust of crosswind blows the PC behind the jumper - jumper tries to change body position as he realizes something is amiss - the PC clears the burble, but it's too low.</t>
  </si>
  <si>
    <t>BFL132</t>
  </si>
  <si>
    <t>Phantom (Wingsuit)</t>
  </si>
  <si>
    <t>The narrative provides virtually no details about the accident circumstances beyond the outcome (impact in terminal freefall while wearing a wingsuit). There is no information about experience level, packing, weather, equipment configuration, flight path, or any other factors that would allow identification of either a human error pathway or a non-human cause.</t>
  </si>
  <si>
    <t>Wingsuit death A facebook memorial can be found here: http://www.facebook.com/group.php?gid=52948624650 If you have any details of this jumper please contact us</t>
  </si>
  <si>
    <t>BFL133</t>
  </si>
  <si>
    <t>2009-03-26</t>
  </si>
  <si>
    <t>Late deployment due to ski malfunction management</t>
  </si>
  <si>
    <t>The jumper was unable to release his left ski binding after aerials, and the right ski became entangled with the left. He spent critical altitude attempting to clear the ski malfunction, which put him into an unstable spin and consumed the altitude needed for wingsuit flight and deployment. The decision to perform a wingsuit ski BASE jump with a binding system that failed to release cleanly, combined with continued attempts to resolve the equipment issue at the expense of altitude awareness, represents a human error pathway leading to terminal impact.</t>
  </si>
  <si>
    <t>['Snow', 'Sunny']</t>
  </si>
  <si>
    <t>The jump was to be a wingsuit ski base. Ski off of a mountain, do some flips, then pull on release cords that are attached to upward releasing ski bindings in order to jettison the skis and fly away from the wall in the wingsuit and deploy.
Shane did a double back flip in perfect McConkey style. As planned, afterwards, he went to release his skis. This is where the jump went wrong. He was able to release the right ski, but not the left, to make matters worse, the right ski became in-tow on the left.. He remained focused on releasing them by reaching down to that left binding. This put him into a spin/ unstable falling style, that was out of his control and not his concern; Shane was only concerned with reaching that heel piece on his left ski so that he could release it and achieve a snag free deployment. His movements were intentional and deliberate. He succeeded in releasing that left ski off of his boot and then both skis were gone. He immediately transitioned into a perfect flying position; but he was too low. Less than a moment later, he impacted the snow, and died.
Shane McConkey Documentary Trailer:
http://www.youtube.com/watch?v=afDYEtQmC6I
Shane McConkey -- In Deep tributehttp://www.youtube.com/watch?v=kWinjgQMz-8</t>
  </si>
  <si>
    <t>BFL134</t>
  </si>
  <si>
    <t>2009-04-08</t>
  </si>
  <si>
    <t>The narrative explicitly states the conclusion is speculative ('it is only what I think what happened') with no witnesses to the flight. While crosswind turbulence along the mountainside is offered as a possible explanation, the actual cause of the terminal impact is unknown. There is insufficient information to confirm either a human error pathway or a non-human cause.</t>
  </si>
  <si>
    <t>['Crosswinds on exit', 'Katabatic air flow', 'Proximity flying', 'Strong winds']</t>
  </si>
  <si>
    <t>['Medium winds', 'Snow', 'Sunny']</t>
  </si>
  <si>
    <t>This report comes from a local jumper to the area... Gorm and another jumper were on the exit ready to jump, both wearing wingsuits. They knew there was a Southeast wind in the area, but at the exit point there was no wind. Gorm wanted to see his fellow jumper's flight before he made up his mind about where his flight line would be. The other jumper never saw his jump, and there were no other witnesses on the ground. The scenario is just based on what I think happened. We knew Gorm had jumped off and flown a route to the right from exit, then either impacted or landed in a crack. He was missing for about 2 hours before something was located in a snow avalanche from the top of a mountain coming out of a crack. The rescue personnel scanned the area from helicopter when they arrived, and did see some fabric and a shoe sticking up of the snow. Due to the dangerous area, they decided not to take any further action, until the area was stabile. The snow avalanche was huge, and it was still coming down rocks and snow around in the area, also around in the valley. At this point they classified the situation as a body recover, and not a rescue operation, due to the time factor, and how they analyzed the situation. Two friends of his went later in the dark, to recover his body to a safer place, without informing the police, or rescue personnel. Later they got the body down with the police and help from search and rescue. Conclusion I have, and it is only what I think what happened. Gorm chose to fly a line to the right, after watching his friend fly straight out. We know there was Southeast wind, and this has a huge influence for this area. He might have flown proximity, and with this wind condition he would have met great turbulence along the mountainside that MIGHT have taken him out! Most local jumpers have heard about the SE winds in the area, but really do not understand the forces. I have been flying in them and truly recommend no jumping in those conditions.</t>
  </si>
  <si>
    <t>BFL135</t>
  </si>
  <si>
    <t>2009-06-04</t>
  </si>
  <si>
    <t>Unstable exit with cliff strike</t>
  </si>
  <si>
    <t>The narrative and possible factors indicate the jumper had an unstable exit and clipped a ledge due to insufficient forward separation. An unstable exit resulting in inadequate object separation is a human performance failure in exit technique and/or body position.</t>
  </si>
  <si>
    <t>Unknown</t>
  </si>
  <si>
    <t>This bit comes from a Swiss-German newspaper- Three base jumper at the Murrenfluh went, to take a further leap this day from the Nose. The first base jumper jumped off. His two colleagues noticed that he was unstable in freefall. Only when they were in the air - they took out a leap together - they saw their colleague was crashed and impacted near the cliff on the ground. The helicopter rescue crew found him dead. The cause of the incident is not yet known. Appropriate investigations are under way</t>
  </si>
  <si>
    <t>BFL136</t>
  </si>
  <si>
    <t>2009-08-10</t>
  </si>
  <si>
    <t>South Africa</t>
  </si>
  <si>
    <t>Inexperienced wingsuit proximity flight</t>
  </si>
  <si>
    <t>The jumper had approximately 8 wingsuit BASE jumps, far below the accepted minimum of 100 regular BASE jumps and 100 wingsuit skydives before first wingsuit BASE, and was attempting Bispen, described as not a beginner or intermediate jump requiring very experienced wingsuit pilots. He was observed flying low and slow near terrain, consistent with loss of speed/glide from flying at too high an angle of attack, a recognized fatal error pattern in wingsuit BASE. The emergency low pull over rock terrain indicates he recognized the crisis too late. Multiple human errors in progression decisions and flight technique are clearly identifiable.</t>
  </si>
  <si>
    <t>This happened at the Bispen jump in Romsdal, which has become a popular place for spectators to watch wingsuit pilots buzz by. Bispen is Not a beginner or intermediate jump. Only very experienced wingsuit pilots should attempt this jump. Mike had approximately 8 wingsuit BASE jumps. He was jumping with a wingsuit with two others also wearing wingsuits and all three went off one after the other with Mike going first. It was foggy at the exit point and the fog cleared before the road. One of the other jumpers was flying over the road very high and looked down and saw Mike flying past the road switchback and Mike was far below him and it looked like Mike was close to the rock feature that the switchback is built upon. Mike also looked to be flying slow. Then Mike went out of view. There were no spectators on the road and no one saw Mike's impact. From the way Mike?s body and gear was damaged it appeared as though he had done an emergency pull while still over the rock, impacting on his backside at linestretch. (on a wingsuit BASE jump, initial linestretch will usually put you on your back).</t>
  </si>
  <si>
    <t>BFL137</t>
  </si>
  <si>
    <t>2009-09-07</t>
  </si>
  <si>
    <t>Bulgaria</t>
  </si>
  <si>
    <t>The narrative identifies multiple human error factors: the jumper's track did not achieve adequate separation from the wall, he pulled rather low, and experienced a 180-degree off-heading opening. The High Nose is described as a technical jump requiring BASE-specific tracking skill. The insufficient forward separation combined with the off-heading opening directly led to the fatal object strike on the talus.</t>
  </si>
  <si>
    <t>['180 Offheading', 'Loss of speed-glide', 'Not enough forward seperation on exit']</t>
  </si>
  <si>
    <t>On the 9th, a group of seven went to jump from the High Nose. Stephan was the 5th to jump. His exit was perfect, but the track he performed did not separate him much from the wall. He pulled very stable but rather low and had a 180 on opening. He eventually cleared the turn but was too low and impacted on the talus. He then kept on falling and impacting, but nobody could see it clearly because he disappeared behind the trees. The canopy was fully inflated when he first impacted and the strike did not seem so hard because he was already very close to the talus, so no one thought that he would die because of the injuries. Air Glacier Helicopter Rescue was called whom arrived promptly and airlifted him to Bern. The high nose is known to be a more technical jump requiring BASE-specific tracking skill to separate yourself from the object.</t>
  </si>
  <si>
    <t>BFL138</t>
  </si>
  <si>
    <t>2009-09-09</t>
  </si>
  <si>
    <t>Poor decisions leading to impact</t>
  </si>
  <si>
    <t>The jumper made a series of identifiable human errors: ignoring local advice not to jump due to conditions, separating from his partner, and jumping a technical 600ft west wall exit unsuitable for a first wingsuit BASE jump. He impacted the talus in terminal freefall, indicating insufficient altitude/separation from a wall that was clearly inadequate for his experience level.</t>
  </si>
  <si>
    <t>201C2, 202P1, 203T</t>
  </si>
  <si>
    <t>['Crosswinds on exit', 'Loss of speed-glide', 'Not enough forward seperation on exit', 'Proximity flying', 'Unstable exit']</t>
  </si>
  <si>
    <t>['Hot with thermals producing', 'Medium winds', 'Sunny']</t>
  </si>
  <si>
    <t>Leroy was on a trip to make his first wingsuit-BASE jump at notch peak with one friend. Upon checking with the locals to join the load they were told it's too hot (temperature not bust factor) to go at that point in the year and they recommend not going at all. The two decided to go anyway. Instead of taking a marked trail, Leroy decided (against his friend's better judgement) that they should blaze their own trail as it looked to be shorter to just follow his GPS straight up. After feeling lost for quite some time Leroy's friend decided to stop and turn back. Leroy did not agree and marched away. Leroy did eventually make it to the top. There are three exit points on Notch and the South wall is the only exit point with enough altitude to the talus not to be considered a technical wingsuit jump. The North wall is positive, and the West wall is only 600ft to the talus. Unfortunately, the South exit is not obvious to find and Leroy ended up deciding to jump the West wall. His body was found after many days of searching with clear indications of high speed impact on the talus. This exit point is a technical wingsuit jump and not suited in the least for a first wingsuit-BASE jump. Leroy visited with me just two days before making this final jump and I can say I always found him pleasant to be around. Nonetheless, he made a series of poor decisions that led up to this unfortunate event.</t>
  </si>
  <si>
    <t>BFL139</t>
  </si>
  <si>
    <t>2009-10-31</t>
  </si>
  <si>
    <t>Blue Mountains, Australia</t>
  </si>
  <si>
    <t>Loss of speed leading to low deployment</t>
  </si>
  <si>
    <t>The narrative describes the jumper flying near stall speed in a wingsuit on a very technical jump requiring extra good flight performance. He deployed low and short of the planned opening area with insufficient altitude for canopy inflation, impacting trees. Flying too slowly (near stall) on a jump requiring excellent glide performance, combined with deploying too late, constitutes identifiable human error in airspeed management and deployment timing.</t>
  </si>
  <si>
    <t>['Extracted Pilot Chute too late', 'Loss of speed-glide', 'Proximity flying']</t>
  </si>
  <si>
    <t>This was Jimmy's 3rd attempt at a very technical wingsuit jump in Australia. Most jumpers would not even call it a wingsuit jump. He had just returned from a trip overseas and felt current enough to attempt the jump again. It is roughly a 220m (730ft) wall until the talus begins and total height to his planned landing roughly 450m (1500ft). He needed a good exit and extra good flight to make it to over the landing area. He was the first jumper off on the load and had a good exit. According to the others on the load, he did not appear to have much forward speed for the wingsuit he was using and towards the end of the flight he looked like he was flying close to the stall point. He deployed low, maybe 100m short of the planned opening area, and impacted with trees shortly after with his canopy only partially inflated. From the exit point there appeared to be no movement and the decision was made to jump down and see if he needed help. One jumper landed very close and got to him within 10 minutes. He was unable to reach Jimmy as he was high in the tree. There was no movement and no response from him. It is believed Jimmy died on impact from severe spinal damage.</t>
  </si>
  <si>
    <t>BFL140</t>
  </si>
  <si>
    <t>2009-11-13</t>
  </si>
  <si>
    <t>Zurich, Switzerland</t>
  </si>
  <si>
    <t>Proximity flight object strike</t>
  </si>
  <si>
    <t>The jumper chose a flight path from an L-shaped building that put him very close to the building edge. He attempted to clear the edge by tucking his legs but clipped it, causing canopy unloading, asymmetric reload, and fatal ground impact. The decision to fly a glidepath with insufficient clearance from the building structure constitutes human error.</t>
  </si>
  <si>
    <t>Ueli was jumping an L shaped building, the 88m tall Sunrise Tower, during a promotional event. He jumped the side of the building facing the bottom of the L handheld. The glidepath he was on would put him very close to the edge of the building. He tucks his legs up and tries to clear it but it proves too be not enough and he clips the building edge with his legs. The impact flips him up and unloads the canopy. When his weight reloads on the canopy it appears to be asymmetrical and Ueli turned into the ground. He was taken to the hospital and treated in the Intensive Care Unit for two days at which point he died.
Ueli was a very skilled jumper and respected by the community.
TED Talk: Ueli Gegenschatz soars in a wingsuit:
http://www.dailymotion.com/video/xlj...-wingsuit_tech
Ueli Gegenschatz Galway Bay Wingsuit Flight
:http://www.youtube.com/watch?v=m9o3DHfAEu4</t>
  </si>
  <si>
    <t>BFL141</t>
  </si>
  <si>
    <t>2009-11-19</t>
  </si>
  <si>
    <t>Idaho, United States of America</t>
  </si>
  <si>
    <t>Weak exit and no correction</t>
  </si>
  <si>
    <t>The jumper had a weak launch resulting in very little separation from the wall, followed by a 120° off-heading opening with line twists. There was no attempt to correct the heading, resulting in object strike. The weak exit and failure to attempt heading correction represent identifiable human errors contributing to the fatal outcome.</t>
  </si>
  <si>
    <t>Scott was third to jump the cliff known as Jawbone. He looked exceptionally nervous and made several countdowns before actually jumping. Scott had a weak launch a got very little separation from the wall. The canopy opened about 120 right with a half line twist. There was no attempt to correct the heading and Scott impacted the wall after 3 to 4 seconds of flight, bounced off, impacted a second time (probably the fatal blow), and then descended straight down coming to rest on a grassy spot between small boulders. He never regained consciousness. Scott's helmet was still on but once removed by medics it was obvious that it had been knocked out of place and then back into place as evidenced by the huge gash under the helmet. Scott was jumping a skateboard style (Miller Bowl Cut) helmet that did not extend down to cover the ears or back of the head. This helmet style has become quite popular in BASE because they are light, comfortable, and cool, but as this incident illustrates they provide little real protection when you really need it. Had Scott had a real helmet, especially a full face, I have little doubt that he would have survived.</t>
  </si>
  <si>
    <t>BFL142</t>
  </si>
  <si>
    <t>2009-11-28</t>
  </si>
  <si>
    <t>Wingsuit-only exit attempted with tracking suit</t>
  </si>
  <si>
    <t>The jumper attempted a cliff exit explicitly described as a 'Wingsuit only jump' while wearing only a tracking suit, which provided insufficient glide performance to clear terrain. This represents a clear decision error in object/equipment selection. The jumper impacted terrain in terminal freefall with nothing deployed, unable to outtrack the final ledge.</t>
  </si>
  <si>
    <t>['Loss of speed-glide']</t>
  </si>
  <si>
    <t>This comes from jumper M, who was at the scene- Bernd was a very experienced skydiver (over 2000 jumps) and also an experienced BASE jumper (over 250 jumps in during the last 5 years). The exit was Mighty Penis or also called via ferrata (exit at Stechelberg next to the cable car). Bernd was wearing tracking pants but was not able to outtrack the last ledge and impacted with nothing out at terminal speed. The canopy came out of the container on impact, the top loop was broken and the container was ripped open totally on one side. Pls be reminded that all the new jumps at Stechelberg are jumps for advanced and experienced jumpers. If tracked, ultimate and flowerbox are for very good and experienced trackers. The mighty penis (or Via Ferrata) is even more difficult and is not a tracking jump. It is a Wingsuit only jump. And it is for experienced Wingsuiter only.</t>
  </si>
  <si>
    <t>BFL143</t>
  </si>
  <si>
    <t>2009-12-04</t>
  </si>
  <si>
    <t>Off-heading into powerlines</t>
  </si>
  <si>
    <t>The jumper opened with a 90-degree left off-heading facing known powerlines and was unable to avoid them, resulting in electrocution. The powerline hazard was known to the jumper, and the off-heading opening in a crosswind combined with inability to correct heading or avoid the obstacle constitutes an identifiable human error pathway involving exit and deployment decisions relative to known hazards.</t>
  </si>
  <si>
    <t>Electrocution</t>
  </si>
  <si>
    <t>['Crosswinds on exit']</t>
  </si>
  <si>
    <t>Darrell was jumping a 276ft longline antenna near Casa Grande, AZ. He had jumped from this antenna before and knew that the only major hazard was a powerline running to the building at the base of the antenna. This powerline ran N to S from the SE corner of the compound. Darrell exited from the SW corner of the antenna in a light crosswind. He went handheld, taking a one second delay, and opened with a 90 left facing the lines. From our viewpoint, it was impossible to know if he had line twists or if he thought he could fly over the powerlines but approximately 4 seconds after opening, he impacted the lines and grounded out. We ran to him but he was unresponsive and suspended in the lines 10ft above. Emergency crews were immediately called but they were unable to do anything for him. Darrell's accident is a surprise to many who knew him. He was a skilled canopy pilot and active BASE jumper. His excitement for life and his outgoing personality will be missed by his many friends.</t>
  </si>
  <si>
    <t>BFL144</t>
  </si>
  <si>
    <t>2009-12-21</t>
  </si>
  <si>
    <t>The narrative is absent, and structured fields provide only minimal information: a wingsuit BASE jump from a cliff in Lauterbrunnen with subterminal impact near the exit and 'unstable exit' listed as a possible factor. No experience data, weather, equipment details, or descriptive narrative exist to support a specific human error pathway or to positively identify a non-human cause. The possible factor notation alone is insufficient to deduce a well-supported classification.</t>
  </si>
  <si>
    <t>BFL145</t>
  </si>
  <si>
    <t>2010-01-16</t>
  </si>
  <si>
    <t>Kansas, United States of America</t>
  </si>
  <si>
    <t>Fatal fall before jump</t>
  </si>
  <si>
    <t>The jumper fell before completing the setup for the BASE jump, with the cause of death listed as malfunction and misrigging. The 'Fell before setting up' factor combined with the misrigging cause of death indicates human error in either the rigging/preparation of equipment or in the approach/setup process that led to the fatal fall.</t>
  </si>
  <si>
    <t>['Fell before setting up']</t>
  </si>
  <si>
    <t>https://www.youtube.com/watch?v=WacS79aXDvI
https://www.4029tv.com/article/skydiver-falls-to-death-before-base-jump/4936387#
https://www.arkansasonline.com/news/2010/jan/19/lowell-base-jumper-found-dead-20100119/
https://www.pressreader.com/usa/arkansas-democrat-gazette/20100211/284004713332290
https://www.blincmagazine.com/forum/showthread.php?t=43100</t>
  </si>
  <si>
    <t>BFL146</t>
  </si>
  <si>
    <t>2010-04-12</t>
  </si>
  <si>
    <t>Stellenbosch, South Africa</t>
  </si>
  <si>
    <t>Exceeded ability at terrain</t>
  </si>
  <si>
    <t>The jumper attempted proximity flying over a saddle with insufficient skill and experience. A close friend described him as a beginner pilot with only 1-2 years in the sport, poor exits (classic head-high student exits), and rapid progression to big wingsuits and advanced spots — a 'classic example of too much too soon.' He lost speed/glide during the flight and impacted the saddle in terminal freefall, indicating a failure to maintain adequate margin over terrain.</t>
  </si>
  <si>
    <t>Geo was an experienced wingsuit pilot and set out this day to fly over the saddle at Stellenbosch. Geo was confident he could fly over the saddle and clear it by 50-100m. At 9:08 Geo lept from his exit point and began his flight. The other jumpers noticed at one point in his flight Geo's legs fold back a bit to lower his altitude but it is uncertain why he did this or if it was a concious decision at all. Soon after Geo left the view of the jumpers up top they heard the sound of his impact with the saddle.
More info from His close friend "He was a great guy with an abundant enthusiasm for wingsuit flying- but ......he was a beginner pilot who was hanging around all the experienced jumpers. He only had one - two years in the whole sport of basejumping from first basejump to flying big wingsuits. he was a classic example of too much -too soon. I jumped with him alot and his exits were poor- classic head high student exits. I think it is important to differentiate. Lest others think they are experienced. It is easy now for beginners to successfully do a basejump/wingsuit flight and think that just because it was an advaced spot- then they are good. Knowing your real ability is key factor for every jumper- including myself"</t>
  </si>
  <si>
    <t>BFL147</t>
  </si>
  <si>
    <t>2010-04-25</t>
  </si>
  <si>
    <t>Trento, Italy</t>
  </si>
  <si>
    <t>The jump was unwitnessed and the narrative states 'we can only guess' regarding what happened. While possible factors are listed (burble, loss of speed-glide, proximity flying, unstable exit), these are speculative. The body was found with canopy and PC out but still packed, 'probably as a result of impact,' indicating no deployment occurred but the reason is unknown. There is insufficient evidence to definitively identify a specific human error pathway or to confirm a non-human cause.</t>
  </si>
  <si>
    <t>['Burble from other jumper', 'Loss of speed-glide', 'Proximity flying', 'Unstable exit']</t>
  </si>
  <si>
    <t>Michele was jumping with a friend from a high exit in the Alto Adige region. Michele jumped second but no part of his jump was witnessed. He was found amongst trees with the canopy and PC out but still packed, probably as a result of impact. The jump in question offers an extra 500m of elevation if you out fly a large plateau, we can only guess but from the position his body was found he seems to have commited to pass the plateau without sufficient margin. Michele was just returning from injury and was keen to get back to jumping. Michele was also an accomplished climber, well known in climbing circles. Michele (Il Gato / El Gat = the cat) joins his old jumping buddy, Manu (Emanuele Amadori # 122 aka il gufo), Il gato e il gufo are causing mischief again somewhere</t>
  </si>
  <si>
    <t>BFL148</t>
  </si>
  <si>
    <t>2010-05-09</t>
  </si>
  <si>
    <t>Overly steep wingsuit exit</t>
  </si>
  <si>
    <t>The narrative and photographic evidence indicate the jumper's exit was too steep, going past vertical. This overly steep exit in a wingsuit prevented adequate flight initiation and recovery, resulting in contact with the wall approximately 4 seconds after exit. The exit technique constitutes a human error in execution.</t>
  </si>
  <si>
    <t>This report comes from another wingsuit jumper on the expedition- Jim was an experienced wingsuit base jumper and had jumped this particular wall 5-10 times before. It is not a beginers jump but also is not an excessively positive exit, it is possible to track. Weather and gear were not factors. He had given his ice axe to the photographer to carry down. He was not wearing crampons and there was no ice on the exit, it was solid rock. He was wearing expedition grade boots he had jumped over 20 times before. He was exiting second on a 2-way with the intention of filming. He did not appear to slip as he exited. Photos of the exit taken back from the edge indicate that the exit was too steep and went passed vertical. Contact with the wall occured approx 4 secs after exit. No-one witnessed the jump itself. It goes without saying that conditions are very cold on Baffin Island. You live on rehydrated food and on some days you miss your family and friends more than others. I am an experienced wingsuit jumper and once did something similar - towards the end of an expedition had an overly steep exit that was not caused by slipping. I remember feeling very steep as my expedition boots continued to move a little further forward tipping me slightly past vertical. After a hard arch I had a steep fast exit and a safe flight. It is very hard to believe what happened to Jim. He was very competent and experienced in all respects. All I can think of to take away from this is to suggest that wingsuit jumpers think about and discuss steep exit recovery techniques.</t>
  </si>
  <si>
    <t>BFL149</t>
  </si>
  <si>
    <t>2010-05-23</t>
  </si>
  <si>
    <t>Queensland, Australia</t>
  </si>
  <si>
    <t>BOC unreachable due to gear fit</t>
  </si>
  <si>
    <t>The jumper was unable to locate and extract the pilot chute from the BOC pocket despite multiple attempts, resulting in a total malfunction and ground impact. The narrative identifies that the container was not custom-made for the jumper's body dimensions, causing the BOC to shift out of reach during freefall position. This was the jumper's first stowed deployment on that rig after two hand-held jumps, representing a failure to verify BOC accessibility in freefall position with that specific container — a human error in equipment selection/verification.</t>
  </si>
  <si>
    <t>201C3, 202P</t>
  </si>
  <si>
    <t>(Comment made by jumper on the load) Daryl had a nice launch and then struggled to put his hand onto the pilot chute.He continued to attempt to grasp it and deploy but went unstable onto his left side every time an attempt was made. After the fifth attempt he dissapeared into the tree shadow and impacted about 1/2 a second later onto rocks. Watched in disbelief as I had witnessed him touch and check the pilot chute a thousand times before exit like we all do. Being a bit rounder than average with big solid shoulders, I think his rig has moved far enough up his back when he went into freefall position from standing to put the boc just far enough up his back to be out of reach. He wasnt the most flexible of blokes either. This was his first stowed jump on that rig after two successful hand helds. The rig was not custom made for his dimensions(ie. his roundness/girth).. I think this was a contributing factor .He had over 6000 skydives,very current, and this was to be his 6th BASE jump. I,m wondering if he had his legstraps fully tightened,as this would cause the rig to move upwards with his shoulders when flying a boxed arch and legs spread more so than when standing. Things to learn from this would be. 1.. If doing stowed jumps,be sure the gear is made for your dimensions. 2.. If coming back to the sport after a long break,treat yourself like a student and wear the rig all night and day and practice laying flat and in a flying position deploying your pilot chute. In fact make sure you can get to your pilot chute in ANY position you may find yourself in,but most importantly in the full arch position when the rig has the most likelihood of moving on your body. 3... If any doubt exists,go hand held. He was an excellent skydiver who jumped small rigs and canopies. He was my good mate. I still bereave his passing. Best thing that can happen now is that lessons are learnt from this and in turn helps make our sport safer.</t>
  </si>
  <si>
    <t>BFL150</t>
  </si>
  <si>
    <t>2010-07-08</t>
  </si>
  <si>
    <t>Unstable exit into terrain</t>
  </si>
  <si>
    <t>The jumper had a bad (sideways) exit from a technical wingsuit jump featuring a narrowing gully requiring quick flight out. As an inexperienced wingsuit pilot, he failed to achieve adequate flight after the unstable exit and impacted terrain near the exit point at subterminal speed. The decision to attempt a technical wingsuit jump with insufficient experience and the unstable exit constitute identifiable human errors.</t>
  </si>
  <si>
    <t>Jeremy was jumping with a group of people in the Magland area. He was an inexperienced wingsuit pilot when the group decided to go to a somewhat technical WS jump (Belvédère Louis Philippe). There is a good rockdrop there but if you dont fly out quickly you get confined in a narrowing gully. He has been reported to have an bad exit (sideways) then dissappeared. His body was later found in the forest under the cliff face.</t>
  </si>
  <si>
    <t>BFL151</t>
  </si>
  <si>
    <t>2010-07-17</t>
  </si>
  <si>
    <t>Virginia, United States of America</t>
  </si>
  <si>
    <t>Bridle entanglement from misrigging</t>
  </si>
  <si>
    <t>The narrative indicates that the jumper had his bridle wrapped around one of his lower extremities during rigging of the static line apparatus. This misrigging caused the canopy to wrap around his body upon exit, resulting in a total malfunction. The cause of death is listed as 'Malfunction, Misrigging,' and the domain reference explicitly identifies bridle entanglement with the body as a fatal rigging error and emphasizes that every jumper must trace the bridle and verify clearance before a static line exit.</t>
  </si>
  <si>
    <t>This is information from the other jumper on this load. Stimson was on this tower that he had jumped before and was mentoring a fellow Navy Seal. The plan was that they would both do static line jumps like they had done before. Tylers mentor student went first, and had an uneventful deployment and landing near the base of the tower. Now the rest of this is speculation based on events from the other jumper. The student believes that Stimson, while rigging his bridle and static line apparatus had his bridle wrapped around one of his lower extremities. upon exiting the bridle pulled tight un-yoyo'ing stimson and extraced his pins and pulled his canopy around the path of the bridle wrap. During this event this caused Stimson's canopy to wrap around his body as he fell to the base of the tower with a canopy wrap situation. There could be two possibilities, either the static line for some reason held and pulled the canopy to its fatal location, or the static line broke due to weight stress, and the pilot chute pulled the canopy around the body during freefall. This is the 5th static line related fatality. Check your rigging, and clear your bridle!</t>
  </si>
  <si>
    <t>BFL152</t>
  </si>
  <si>
    <t>2010-07-22</t>
  </si>
  <si>
    <t>Insufficient separation and off-heading strike</t>
  </si>
  <si>
    <t>The jumper experienced a 180-degree off-heading opening and struck the wall under canopy. The possible factors identify insufficient forward separation on exit and late pilot chute extraction, both of which are human performance factors that contributed to inadequate object separation when the off-heading occurred. These represent identifiable human errors in exit technique and deployment timing.</t>
  </si>
  <si>
    <t>['180 Offheading', 'Extracted Pilot Chute too late', 'Not enough forward seperation on exit']</t>
  </si>
  <si>
    <t>Allisyn performed a 2 way tracking jump making a 10 sec delay, she had a 180 on opening and hit the wall, eventually hanging up on lower part of the talus. Nobody saw the actual strike but this information was taken from her helmet camera.</t>
  </si>
  <si>
    <t>BFL153</t>
  </si>
  <si>
    <t>2010-07-24</t>
  </si>
  <si>
    <t>Aerials caused late deployment and object strike</t>
  </si>
  <si>
    <t>Anton performed extended aerials (triple pike into front flips) consuming approximately 9-10 seconds of a 12-second freefall on a sheer wall, leaving insufficient time and separation for deployment. He was still facing the wall when he deployed, received a 180° off-heading opening, and struck the cliff under canopy with no time to correct. The prolonged aerials with inadequate object separation represent clear human error.</t>
  </si>
  <si>
    <t>['180 Offheading', 'Aerials', 'Extracted Pilot Chute too late']</t>
  </si>
  <si>
    <t>Anton was a very experienced aerialist. Anton and another jumper were on exit point 6 in Kjerag Norway.A third jumper was going to do a solo behind after they landed. Anton set up on the diving board and good friend behind him for the two way...the count begins and Anton goes off doing a triple pike into a few front flips. At this stage he is at 7-8 secs still in rotation on a 12 sec to impact rock drop. He comes out at 9-10 secs still facing the wall, turns at about the 11 second mark (this is when the second jumper starts tracking away and we lose sight in video). He knows he has to pitch to not impact at 12 second mark, he pitches and gets a 180 turning to right...No time to turn away impacts hard the first time, the canopy turns around a little but is grabbed by either a branch or the rock ledge and this then smashes him in even harder, this is the blow that killed him instantly.
Had Anton survived the impact, he was still hung up on wall for 7 hours as an alpine team tried to rescue him.
Anton either chose to ignore, or did not think of the consequences of leaving very little separation on a big wall.</t>
  </si>
  <si>
    <t>BFL154</t>
  </si>
  <si>
    <t>2010-07-25</t>
  </si>
  <si>
    <t>The jumper was making her first Earth jump with experience limited to a single bridge site. The identified possible factors include a 180-degree off-heading opening and insufficient forward separation on exit, resulting in object strike under canopy. The combination of inadequate separation from the cliff and failure to correct heading (or a deployment malfunction from packing) represents a human error pathway, as the jumper's progression to a slider-up cliff with minimal BASE experience and limited object avoidance skills is clearly identifiable as contributing to the fatal outcome.</t>
  </si>
  <si>
    <t>Aude was making her first Earth jump, and from what has been reported this was her first BASE object other than the Perrine Bridge in Twin Falls, ID. There were no witnesses to the incident as the exit point is small and sloping down making it impossible to see what is going on for the any of the other jumpers ready to go. What we know is that she went slider up and her body was recovered above Jeff's Knob (See BFL Jeff Barker).
Very rarely do non-wingsuiters make it past this outcropping. is that Aude opened and either had a 180 (most likely) with slow reaction time and possibly still close to the wall, or a line over causing cliff strike.</t>
  </si>
  <si>
    <t>BFL155</t>
  </si>
  <si>
    <t>2010-08-04</t>
  </si>
  <si>
    <t>Isre, France</t>
  </si>
  <si>
    <t>Insufficient exit clearance</t>
  </si>
  <si>
    <t>The jumper struck a ledge 60-80m below the exit point, suffering fatal head and neck injuries. The exit required a serious launch to clear this ledge, and the jumper either slipped on the unstable approach or failed to generate sufficient exit force. The untouched toggles, broken helmet chinstrap, and subterminal impact with the ledge indicate the jumper did not clear the known obstacle, pointing to an exit execution error.</t>
  </si>
  <si>
    <t>THere was no direct witness of the accident. This report comes from another jumper whom inspected Clement and the gear.
60m to 80m below the exit of the Dent de Crolles, there is a steep ledge (6m width) one needs to clear with a serious launch. Clément was seen by a basejumper under open canopy flying high near the cliff around 10:30 on Wednesday. He didnt reappear in the evening and the rescue teams started searching by night. Due to rain and mist, he was found 2 days later dead with severe head and neck injuries, on Friday morning around 7:30.
He was in a very steep gorge where no one would normally land, far from the cliff bottom where his camera was found only at 10m of the steep cliff bottom 350 m below the classical exit. The helmet with the chinstrap broken was found a little farther than the camera. A review of the camera memory card showed that no release of video occurred whereas he used to film his jumps. The toggles had not been touched: he either was unable to unstow the toggles, or was unconscious or dead under canopy. A 36 pilot chute was found connected to the canopy.
Whether he slipped approaching the exit due to unstable slope with disintegrated rocks or he had unstable exit without the force necessary to jump safely from this exit, is unknown. He lost his helmet with the camera on the impact and was seen under opened canopy, he landed farther to the south in a steep gorge where he was found two days later.</t>
  </si>
  <si>
    <t>BFL156</t>
  </si>
  <si>
    <t>The jumper had an unstable exit going head-down, followed by an unintentional barrel roll movement, resulting in insufficient object separation and a very low opening close to the wall. This led to a 180° off-heading opening and fatal cliff strikes. With only 19 BASE jumps and documented unstable exits, the exit instability and resulting poor body position at deployment constitute identifiable human errors in the deployment chain.</t>
  </si>
  <si>
    <t>['180 Offheading', 'Not enough forward seperation on exit', 'Unstable exit']</t>
  </si>
  <si>
    <t>This report comes from a jumper who was with Herbert.
Herbert was an experienced skydiver with 1000+ jumps and a BASE beginner. We stayed in Lauterbrunnen for some days and this was Herbert's 19th BASE jump and the first jump that day. We chose the Yellow Ocean exit because he still had slightly unstable exits and Yellow Ocean is the best spot to improve the basic skills. When he jumped he went a bit head down but was able to stabilize his position after 3 or 4 seconds. Then he made an obviously unintentional move like a beginning barrel roll to his right hand side but Im not able to say why. Since he fell out of my sight I only could hear but not see the opening.
Eye witnesses from the Air Glacier Heli base told me later he opened very low and close to the wall and had two cliff strikes immediately after opening.They didnt see any action under the canopy so he must have been knocked unconscious by the first strike. When I found him he was still alive but died in the Interlaken hospital from the severe head injuries and loss of blood.
He had not been wearing a helmet and the medic said with a helmet he might have survived but maybe with brain damages, this is mere speculation. We installed a memorial at the exit also as a reminder to make us think about what we're doing prior to jump.</t>
  </si>
  <si>
    <t>BFL157</t>
  </si>
  <si>
    <t>2010-09-14</t>
  </si>
  <si>
    <t>Phantom Edge (Wingsuit)</t>
  </si>
  <si>
    <t>Wrong PC location reach</t>
  </si>
  <si>
    <t>The jumper reached for a leg pouch (muscle memory from his usual Vampire 3 wingsuit) instead of the BOC location on his Phantom 1 suit. This caused a critical delay of 2-3 attempts before locating the correct pilot chute handle, resulting in deployment too late and ground impact. This is a clear human error in deployment execution.</t>
  </si>
  <si>
    <t>William, a Canadian firefighter and experienced BASE jumper, went to the valley and made a jump from the high nose with his Vampire 3. He opened with multiple line twists and ripped his zipper clean off getting free in a hurry but landed safely. With his V3 unusable he went to his Phantom 1. His flight was fine but at pull time muscle memory had him reaching for a leg pouch as he always did when flying his V3.
After 2-3 feels he then remembered its a BOC when using the Phantom and finally pitches. As the lines came out he impacted the ground killing him instantly.</t>
  </si>
  <si>
    <t>BFL158</t>
  </si>
  <si>
    <t>2010-09-27</t>
  </si>
  <si>
    <t>Northern Malaysia, Malaysia</t>
  </si>
  <si>
    <t>PC/Bridle Entanglement with Helmet Camera</t>
  </si>
  <si>
    <t>The bridle wrapped around a helmet-mounted GoPro camera during deployment, causing a PC in tow / delayed deployment that was not cleared in time from the 300ft building. The camera mount was known to be compromised (clip had broken before and was glued back on), and the weak/forward pitch contributed to the bridle entering the entanglement zone near the helmet. Both the helmet camera snag hazard and the weak PC deployment technique constitute identifiable human errors.</t>
  </si>
  <si>
    <t>['Crosswinds on exit', 'Pilot Chute Entanglement - PC in tow']</t>
  </si>
  <si>
    <t>Kylie was wearing a 'Go Pro' Camera mounted on her helmet.
The clip on the camera had broke before and she was seen gluing it on before the jump.
This would be her 3rd jump of the day, the first 2 being PCA's, and this would be her first handheld.
This is from the exit point co-ordinator Tom, He is not a jumper but is one of the few Menara KL staff really respected by The base jumping organizers. He has seen enough base jumps over the last few years to know what he is really seeing and was the one PCA'ing those that were not comfortable with freefalls.
Tom said he checked her out on top and all looked fine. He asked her twice if she wanted a PCA to ensure she was comfortable with the first hand held she was doing there. She went off not too bad and pitched after half a second. He said as soon as she pitched it looked different than normal. Where he sees a jumpers pitch normally out at maybe 45 degrees, this seemed to be closer to her head and forward. It appeared the bridle did one complete wrap around the camera maybe 2 feet from the pilot chute. He believes she eventually got it free but it was too late.
The slight crosswind that existed, combined with a weak pitch forward, were the contributing factors allowing the bridle to wrap around the GoPro mount.
300ft doesn't give you much time to address a problem-- Buffy fought, cleared the bridle, but ran out of time impacting as the canopy was in the process of reaching line-strech.
If you find yourself at an exit point with a Bender (from Futurama) toy containing ashes, you're about to make a jump with Buffy.</t>
  </si>
  <si>
    <t>BFL159</t>
  </si>
  <si>
    <t>2010-10-08</t>
  </si>
  <si>
    <t>The jumper clipped a ledge during a tracking jump and impacted in terminal freefall with no pull. While the narrative suggests he may have tried to out-track a ledge and failed, there is insufficient information about his experience level, the specific exit chosen, site familiarity, conditions at the exit, or whether the line he flew was within or beyond accepted practice for his skill level. The closing loops being blown out indicate no deployment attempt, but the reason he was on a trajectory toward the ledge cannot be determined with confidence — it could reflect a decision error, an exit or tracking execution error, or simply the inherent risk of a terminal tracking jump at this site. Without more detail, neither a clear human error pathway nor a non-human cause can be established.</t>
  </si>
  <si>
    <t>This report comes from a jumper on the scene:
Had been jumping for several years, and made quite a few jumps each year (not sure total jumps). Did a tracking jump from Karlskråtind. He was found with closing loops blown out, indicating no pull at all. He probably tried to out-track the ledge and failed.</t>
  </si>
  <si>
    <t>BFL160</t>
  </si>
  <si>
    <t>2010-12-30</t>
  </si>
  <si>
    <t>Unstable exit and late deployment</t>
  </si>
  <si>
    <t>The jumper became unstable immediately after exit and was unable to recover a flying position, entering a prolonged spin and roll. He then deployed too late, striking a ledge before canopy inflation. The unstable exit and failure to deploy at a survivable altitude constitute human errors that directly caused the fatality.</t>
  </si>
  <si>
    <t>This report comes from a jumper on the scene:
That morning 8 of us went up to high ultimate ramp, 4 tracking jumpers, 4 wingsuiters. He exited last, solo wingsuit jump. I did not see his jump, was stashing my gear, only heard the strike. According to eye witnesses at landing (3 Belgian jumpers) he got unstable right after the exit, they did not see if he hit the first positive part, so he probably did not get unstable of hitting the cliff in freefall. Then he was in spin and roll for a long time, he could not fix the position, then he pulled, but too late, he struck the ledge at the 1/3rd of the cliff (down at around 250m level) before canopy inflation. After the strike the canopy opened, and he flew down close to the river, landed on a tree already dead.</t>
  </si>
  <si>
    <t>BFL161</t>
  </si>
  <si>
    <t>2011-01-24</t>
  </si>
  <si>
    <t>Unstable wingsuit exit, ledge strike</t>
  </si>
  <si>
    <t>The jumper exited a contested wingsuit exit point and rotated head-down with excessive speed, likely striking a known ledge/outcrop shortly after exit. The witness account indicates the jumper pushed too hard and failed to maintain proper head-high body attitude, resulting in loss of control and impact with terrain near the exit point. This represents human error in exit execution at an object requiring precise technique.</t>
  </si>
  <si>
    <t>Gary was wearing a Vampire 1 wingsuit and a perigree pro with a new vented flik 260.
"Gary "Muppet" Harbird was a very experienced skydiver and base jumper with about 8000 and 400 jumps respectively. He was very current on his V1 wingsuit at the time of the accident. Gary had jumped the High Ultimate once before but this was the first time with a wingsuit. Many of the locals were/are divided over whether this is a safe wingsuit exit or not but Gary decided to give it a go, fully knowing the risk. Only seeing the exit from my point of view it can be speculated what exactly happened. Gary pushed off hard and out with both feet from a standing position at the end of the platform. As he disappeared out of view, he appeared to be rotating head down with more than usual speed. I rushed to the end of the platform for a better look and saw the topskin of his fully inflated canopy only 500 or 600 feet below the exit. The canopy made a slow righthand turn with no signs of human input and disappeared back out of view while flying towards the cliff. Gary and his canopy became entangled with a shrub about halfway down the cliff where his body remained until being recovered by longline about 45 minutes later. Gary had severely impacted his head at some stage hard enough to make his Protec helmet and gopro come off. He also had severe trauma to at least one leg. This makes me suspect that Gary struck the big outcrop after exit. He likely pitched immediately before impacting and struck as his canopy inflated. Both closing loops were reported to be intact, though this cannot be said for certain as no "experts" examined the gear. I saw the canopy and there was no suspect damage. Gary was still completely zipped up in his suit when he was recovered. Knowing that there was a ledge to clear, I think that Gary was nervous and pushed extra hard on exit but lost focus on keeping his body attitude head high in such a way that would allow him to transition into a dive normally rather than too fast. Seeing how hard he pushed I think it is possible that he rotated past head down and lost control and/or orientation of where the ledge was. Gary was an inspiration and mentor to many and is greatly missed."</t>
  </si>
  <si>
    <t>BFL162</t>
  </si>
  <si>
    <t>2011-01-30</t>
  </si>
  <si>
    <t>Western Australia, Australia</t>
  </si>
  <si>
    <t>PC held causing entanglement</t>
  </si>
  <si>
    <t>The jumper extracted the pilot chute from the BOC during a gainer but held onto it instead of immediately releasing it. During this brief hold, the bridle extended to full stretch and his foot rotated through the bridle due to the gainer rotation, causing a fatal PC/bridle entanglement around his leg that prevented canopy inflation. Holding the PC after extraction during an aerobatic maneuver is a clear human error in deployment technique.</t>
  </si>
  <si>
    <t>['Pilot Chute Entanglement - PC in tow']</t>
  </si>
  <si>
    <t>At the time of the incident Lucas had around 370 skydives and around 70-80 BASE jumps. The BASE jumps were all within the last 8 months. His final jump took place around 4:30 Sunday afternoon. Winds that afternoon were around 15-20kts slightly cross wind from right to left of the exit point. This was not the first jump that day, Lucas was on the ground observing the first jumps deciding if he was comfortable jumping in the conditions. He had done a few gainers from this object in the past, all very controlled and well executed.
The tower in question has 2 exit points where the guyed wires attach, one at 340ish ft and the lower one at 270ft approx. The attachment points overhang the tower around 1.5-2m and provide a nice platform to exit. The jump was a 2 way, Lucas was exiting from the lower platform performing a stowed gainer, the jumper on the higher platform was doing a go &amp; throw.
On this jump he had a good exit and the rotation of his gainer was perfect. On this attempt though he began his deployment sequence too early, a bit past a horizontal back to earth position. At this point rather than deploy the PC he extracted it from the BOC but held onto it. We are not sure of the reason for this, I have never seen him do this previously on any of his base jumps or all the skydives we have done together.
He only held onto the PC for a split second but within this time the bridle extracted from the BOC/PC to full stretch behind him, it was at this point with the rotation of the gainer that his foot rotated through the bridle. He released the PC but it was already entangled around his foot.
He went for the risers but quickly realized that the PC was snagged and tried to free it. Either the kicking or PC drag extracted the canopy but it became entangled around his leg.He impacted with no canopy inflation and died instantly. Another jumper was with him seconds after impact to help, checking vitals but there was nothing that could be done. I believe if he had of released the PC as soon as it was extracted from the BOC he would of been fine, a head down deployment at worst.
Lucas was a very smart and skilled jumper. He was also one of my best friends, his enthusiasm, passion for life and positive traits were endless. He will be greatly missed amongst a huge circle of friends both jumpers and non.
Still miss you every day buddy, it was a honor to call you my friend</t>
  </si>
  <si>
    <t>BFL163</t>
  </si>
  <si>
    <t>2011-04-30</t>
  </si>
  <si>
    <t>Choranche, France</t>
  </si>
  <si>
    <t>Vampire 3 (Wingsuit)</t>
  </si>
  <si>
    <t>Failed PC deployment</t>
  </si>
  <si>
    <t>The jumper was observed falling with arms on his back, apparently trying to reach his pilot chute in his leg pouch, and impacted at full speed with the PC still in the container. The inability to locate and extract the pilot chute constitutes a human error in the deployment process, resulting in a total malfunction (no canopy extraction).</t>
  </si>
  <si>
    <t>This is information from the other jumper on this load.
Max, 23, around 120 BASE jumps, including 50 wingsuit, is doing a 2-way from an exit he knows very well. He jumped many times from that spot during the whole winter season, with and without wingsuit.
This jump is a 350m cliff that gives access to a total 700m until landing into a large grass field. The weather is good.
They both did a perfect patrol flight until the opening. Max was higher than his mate who pulled at normal height and lost eye contact. During his opening he saw Max passing by, arms on his back, apparently falling fast and trying to reach his PC in his leg pouch.
Max impacted the talus at full speed with his PC in. There seems to be no reason for this accident. Max had this V3 since a few jumps, and his preceeding V2 also had a leg pouch.</t>
  </si>
  <si>
    <t>BFL164</t>
  </si>
  <si>
    <t>2011-05-03</t>
  </si>
  <si>
    <t>The narrative describes the jumper failing to track well, not achieving enough forward separation from the cliff, and extracting the pilot chute too late, resulting in object strike. These are identifiable human errors in exit technique, tracking execution, and deployment timing that directly led to the fatal outcome.</t>
  </si>
  <si>
    <t>['Extracted Pilot Chute too late', 'Loss of speed-glide', 'Not enough forward seperation on exit']</t>
  </si>
  <si>
    <t>On Monday May 2nd he did his first jump just fine, according to the people with him.
Then the next day, Tuesday May 3rd around 10-11 am he was doing his second jump, got off fine, but then apparently was not stable enough, did not track well and started to open too late just when he hit the wall, his helmet with the camera falling off his head and down on the ground, the chute opened from the impact, he dragged down a bit along the cliff and then stopped his back on the cliff, facing the outside, his system holding him from falling all the way down.
Did not answer to the radio calls from his friends, they called the rescue team who came swiftly within minutes but then it took them some time to get to him on the cliff.
Once reached by the rescue team, pronounced dead  severe head, face and body damage, apparently died immediately on impact.
He was a great and very bright guy loved by all of his friends, colleagues and family
Coming from Evgeny chernatskiy's brother in law..</t>
  </si>
  <si>
    <t>BFL165</t>
  </si>
  <si>
    <t>2011-05-06</t>
  </si>
  <si>
    <t>Loss of glide into terrain</t>
  </si>
  <si>
    <t>The jumper flew a wingsuit line that required a critical decision point at a ridge. Evidence indicates he lost speed/glide, was lower than expected, and delayed the decision to abort to the alternate line until it was too late, resulting in impact with terrain during an emergency deployment attempt. This represents a decision error in flight path management — continuing toward the ridge rather than turning to the safer alternate line when performance was insufficient.</t>
  </si>
  <si>
    <t>['Emergency low pull', 'Loss of speed-glide']</t>
  </si>
  <si>
    <t>The below is an account of Mirko's fatality.
What we had planned:
An evening jump from cliff (Chamonix area).8 jumpers on the hike / jump.On the way up we discussed the possible lines we could fly.Half way up, we stopped to check the options, and decided which line each of us would fly.
Three of us decided to fly the far left line over the paragliding start area. A camera was set up with my wife and Edo's girlfriend at this position.
All the jumpers decided to also fly the left line, but after the black ridge, turn right and fly some tree lines or gorges (This is a steeper, shorter and safer line which allows for some nice terrain flying).
After two hours we reached the exit point, where the weather conditions were great. No wind, just a light breeze and partially sunny.
We all got geared up and ready to jump, during which time Mirko mentioned that he was tired.
He was quiet, but this was more than likely due to the long hike we had made.
Despite this, he was very positive about the jump, gearing up quickly and in a happy manner  just being typical Mirko.
What we saw (facts):
From the exit point
Mirko jumped as the last jumper of a 3 way group.His exit was good, leaving a longer separation between him and the jumper before him  this was to allow him to have nice clean exit in front of him.
His start was a bit slow, but nothing out of the ordinary, and gave us no cause for concern.
Mirko flew with decent speed until he disappeared from view behind the pillar on the left, just like all the other flyers of the 3 way group had done.
What the girls saw from the ground:
They saw the 3 way coming and at one point the last flyer turned to the right. They saw the flyer disappear behind the ridge.
After the first and second jumpers canopies opened, Mirko, nor his canopy could be seen.
After we landed we realized that Mirko was missing. Heli search &amp; rescue was informed and the helicopter came very quickly to begin a search.
After a solid hour, they couldn't find him, so a ground search was started, organized by the Mountain police. They worked through the night, but still could not find Mirko.
At first light the next morning, the helicopter was again used to search from the air. They found his body and recovered him.
Mirko was found high up in the gorge saddle, before the tree line.
His canopy had been opened, lines were out of the tail pocket, stretched and the toggles were on the risers. The shrivel was pulled on the bridle, indicating that the canopy was not out due the impact, but that Mirko had attempted to deploy.
The area he was found in was impossible to see from the exit point.
The doctors confirmed he died from massive head trauma as a result of impacting with the wall at speed.
Although Mirko was wearing a camera, it was not found or recovered.
What we believe happened:
The left line requires a quick decision and reaction after turning at the pillar as the black ridge stands there like a fence.
If a jumper decides that he cant make it over the ridge, they must immediately make a right turn to avoid being over the trap.
It is possible that Mirko found himself lower than expected and took too long to decide if he could make it over the ridge or not.
By the time he had made the decision, his ability to fly the alternate line had gone and he would have found himself too close to the ground and wall, impacting during an attempted deployment.</t>
  </si>
  <si>
    <t>BFL166</t>
  </si>
  <si>
    <t>2011-06-03</t>
  </si>
  <si>
    <t>Proximity flight and wall strike</t>
  </si>
  <si>
    <t>The jumper tracked toward the right side of the cliff where height was lower due to pillars, and deployed close to the wall. This reduced separation resulted in a 180° off-heading opening with line twists driving him into the wall. The decision to track toward lower terrain and deploy with insufficient object separation represents identifiable human error in flight path selection and deployment altitude/location choices.</t>
  </si>
  <si>
    <t>['180 Offheading', 'Line twists', 'Proximity flying']</t>
  </si>
  <si>
    <t>line twist and off heading talus-wall strike
coming from a friend:
Michel jumped from Brento and after few seconds of free fall, he tracked more toward the right side of the cliff, where the height is lower because some pilars are over there. He pulled his PC close to the wall, his canopy opened normally but had probably some line twists driving him directly toward the wall. He hit the wall and slid very violently all along the wall down to the talus 1300 ft lower. The rescue helicopter was quickly there but found Michel already dead. Rest In Peace Michel, we will never forget you</t>
  </si>
  <si>
    <t>BFL167</t>
  </si>
  <si>
    <t>2011-06-06</t>
  </si>
  <si>
    <t>No witnesses observed the jump. The jumper was found at the base of terrain with PC out and entangled in lines, indicating an emergency low pull, but the specific cause of the emergency cannot be determined. While proximity flying and loss of speed/glide are listed as possible factors, the narrative provides no direct evidence to distinguish between human error (such as flying too slowly, misjudging terrain clearance, or poor line selection) and other causes (such as unexpected turbulence or wind conditions). The absence of witnesses and detailed flight data makes it impossible to reliably determine whether human error or an unforeseeable event produced the fatal outcome.</t>
  </si>
  <si>
    <t>After a Weekend on the spot with other wingsuiters, Bryan decided to enjoy the place alone for the whole week, living in his truck, saying that place was a wingsuit paradise.
His body was recovered the next Saturday. According to forensics death occurred 5 days earlier. No witness. He was found at the bottom of the 1st "card" (in that line you fly proxy around peaks named "cards"), entangled in his lines, PC out. He seems to have pulled low in an emergency situation.</t>
  </si>
  <si>
    <t>BFL168</t>
  </si>
  <si>
    <t>2011-06-13</t>
  </si>
  <si>
    <t>Proximity flight into terrain</t>
  </si>
  <si>
    <t>The jumper was proximity flying/tracking in low-level cloud conditions (fog on the upper face), clipped a ledge after exiting, and was found under canopy in a spiral with brakes still stowed and no inputs applied. The decision to fly proximity lines in conditions with fog/low clouds on the face, combined with the resulting ledge strike and apparent incapacitation, indicates human error in the decision to jump and fly that line in those conditions.</t>
  </si>
  <si>
    <t>['180 Offheading', 'Clipped ledge after exiting', 'Emergency low pull', 'Proximity flying']</t>
  </si>
  <si>
    <t>['Low level clouds']</t>
  </si>
  <si>
    <t>Jumping alone, tracking, fog on the upper part of the face. Was seen under canopy coming out of the upper valley without applying any inputs, spiraled into the next lower valley where he was found. Closing loop intact, Ted was found with the brakes still stowed (not released).
Facebook profile: https://www.facebook.com/ted.rudd</t>
  </si>
  <si>
    <t>BFL169</t>
  </si>
  <si>
    <t>2011-06-26</t>
  </si>
  <si>
    <t>The jumper experienced a PC/bridle entanglement (knot in bridle on pilot chute) resulting in a total malfunction. The narrative does not provide sufficient information to determine whether this entanglement resulted from human error (e.g., weak PC toss, holding PC too long, equipment selection, packing error) or from a factor outside the jumper's control (e.g., unforeseeable equipment behavior). The domain reference identifies multiple potential causes for PC/bridle entanglement including deployment technique and heavy PC handles, but the narrative does not specify which mechanism occurred, making it impossible to distinguish between human error and other causes.</t>
  </si>
  <si>
    <t>Rodolphe pulled between 6 or 7 seconds from la mouse, high pull. and then, nothing... He waits 1 second, then looks back, notices bridle knot and flips to his back and impacts the talus. When his friends inspect the rig, there is a knot with bridle on the pilot chute.
He was an experienced base jumper, with 400 jumps this was a tracking suit jump.</t>
  </si>
  <si>
    <t>BFL170</t>
  </si>
  <si>
    <t>2011-07-07</t>
  </si>
  <si>
    <t>Czech Republic</t>
  </si>
  <si>
    <t>X bird (Wingsuit)</t>
  </si>
  <si>
    <t>002OC</t>
  </si>
  <si>
    <t>The narrative provides positive evidence of a known asymmetric arm wing inflation problem on early X-Bird wingsuits, where the size and location of the air inlet caused unexpected turns after exit. Multiple jumpers experienced this issue, and the dynamics of this fatality closely matched the known defect pattern. This constitutes an equipment failure independent of human error — a design flaw in the wingsuit rather than a packing, rigging, or maintenance error by the jumper.</t>
  </si>
  <si>
    <t>['Burble from other jumper', 'Clipped ledge after exiting', 'Gear failure']</t>
  </si>
  <si>
    <t>Description: first hand account from Vick FearlessWe jumped a 2-way wingsuit from the Via Ferrata exit I was on the left side witha v4 he was on the right with an X-bird I jumped first so I did not know what happened later on witnesses told me that he had a good exit and after like 2 seconds he started to turn to the wall and he impacted the ledge under the exit on full speed the canopy came out on impact it gave me some hopebecause i did not see how it happened but when rescue reached him they told me he had no chance.
New information:
There seem to be a potential problem with asymmetric arm wing inflation on the early X-Birds versions. Many jumpers experienced unexpected turns just after exit. The size and location of the air inlet seem to be the major factor involved.
There is a video of such incident here http://www.youtube.com/watch?v=g0ezlTXfkIM
Cable Dave's last jump was looking similar in dynamics, it's highly suspected that his left wing experienced the same inflation issue. Given the distance he was from the first jumper, it's not yet possible to say if the turbulence of the first WS played a role or not in that inflation process, but it's very not likely to be the main factor.</t>
  </si>
  <si>
    <t>BFL171</t>
  </si>
  <si>
    <t>2011-07-12</t>
  </si>
  <si>
    <t>Grindelwald, Switzerland</t>
  </si>
  <si>
    <t>Equipment Selection/Maintenance Error</t>
  </si>
  <si>
    <t>The narrative explicitly identifies the cause of death as 'Malfunction, Misrigging' with multiple line failures on opening attributed to lightweight 400lb Dacron lines being inadequate for the application (heavy jumper, full-speed tracking pull, slider-up). The update discussion points to neglecting gear maintenance and structural limitations, and using equipment beyond its design parameters. This represents human error in equipment selection and/or maintenance — choosing lines with insufficient strength for the jumper's weight and deployment configuration.</t>
  </si>
  <si>
    <t>Description: Our friend Jeremy went up the Eiger to jump the Mushroom on a clear morning on the 12th of August. Both him and the other jumper accompanying had under 100 jumps, but were extremely heads up jumpers. They reached the mushroom quickly, Jeremy went last....more information to come. He did not over-delay.
Jeremy was a highly decorated combat veteran of the United States Marine Corps, skilled big mountain climber, and a great friend...the best always go first...RIP dude
update: Jeremy's canopy suffered from multiple line failure on opening. Multiple factor seems to be involved : high lines made of 400lb dacron, heavy jumper, full-speed-track pull. It brings the question of structural absolute needs for our sport. We have been pushing the limits, asking for lighter and lighter gear... BASE gear has been overbuilt from the beginning, and as users we are more and more neglecting gear maintenance and structural limitations.
There's been case of slider-down opening at terminal velocity with only minor material damage - this was the way to go until we wanted to increase the performance. Light gear is great. But it has drawbacks.
We have to learn a major aspect of modern gear through this tragic accident.
Each jumper have to figure out what the gear is designed for and what are the limitations.
Manufacturers should together define a minimal standard for structural strength that has to be respected, whatever the clients are asking for.
We rely on a single canopy system - which has now a very low failure rate. We can not afford having underbuilt material appearing on the market just because of the new trend of lightweight and low volume gear.</t>
  </si>
  <si>
    <t>BFL172</t>
  </si>
  <si>
    <t>2011-07-18</t>
  </si>
  <si>
    <t>Late deployment with cold-impaired dexterity</t>
  </si>
  <si>
    <t>The jumper experienced difficulty locating and extracting the pilot chute, resulting in deployment at insufficient altitude. The narrative explicitly states the jumper's fingers were cold before the jump and he had problems finding the pilot chute, indicating a foreseeable impairment that contributed to the fatal low pull. The decision to jump with known cold-impaired dexterity and the resulting late deployment constitute human error.</t>
  </si>
  <si>
    <t>201C3</t>
  </si>
  <si>
    <t>['Emergency low pull', 'Extracted Pilot Chute too late', 'Unable to locate pilot chute']</t>
  </si>
  <si>
    <t>He had some problem finding his pilot chute his fingers were cold he said before the jump..but also to low when he start thinking pulling..His chute came out but to low. impact just after line stretch.</t>
  </si>
  <si>
    <t>BFL173</t>
  </si>
  <si>
    <t>2011-08-14</t>
  </si>
  <si>
    <t>Savoie, France</t>
  </si>
  <si>
    <t>Prodigy (Wingsuit)</t>
  </si>
  <si>
    <t>The narrative provides almost no details about what happened during the jump. The possible factors listed (loss of speed-glide, proximity flying) are speculative tags without supporting evidence in the narrative. There is insufficient information to identify a specific human error pathway or to positively establish a non-human cause.</t>
  </si>
  <si>
    <t>More information to comeIf you have any information for this fatality please get in contact with us..
Olivier Labauve. Nickname 'keud'.Experienced basejumper, was wearing a prodigy ws during the accident, weather ideal, no wind.</t>
  </si>
  <si>
    <t>BFL174</t>
  </si>
  <si>
    <t>2011-09-03</t>
  </si>
  <si>
    <t>The jumper performed a gainer (aerial maneuver) from a span and impacted with only the pilot chute out, indicating a total malfunction. The possible factors identify extracted pilot chute too late and pilot chute entanglement/PC in tow. Aerials are documented as exponentially increasing danger through bridle entanglement risk, pin lock, loss of altitude awareness, and instability - all of which represent human error pathways in technique and decision-making.</t>
  </si>
  <si>
    <t>Jumper has been reported doing multiple gainers and impacted the water with pilot chute out only.Pete was wearing a GoPro during the jump, but was not attached to his helmet when he was pulled into the rescue boat.
Pete was BASE 683</t>
  </si>
  <si>
    <t>BFL175</t>
  </si>
  <si>
    <t>2011-09-09</t>
  </si>
  <si>
    <t>French Guiana</t>
  </si>
  <si>
    <t>Varan, France</t>
  </si>
  <si>
    <t>Wingsuit terrain impact from unsuitable exit</t>
  </si>
  <si>
    <t>The jumper chose to exit from a non-standard pillar at a technically demanding site rather than the established exit point, resulting in impact with a ledge during wingsuit flight. With only 50 wingsuit BASE jumps and 2 BASE seasons, the jumper selected an exit that was described as severe/technical and dangerous for his experience level. The decision to jump from the pillar, combined with insufficient experience for the technical demands of the site, constitutes human error.</t>
  </si>
  <si>
    <t>Fabrice had 150 base jumps (mostly earth), 50 wingsuit base jumps (25 prodigy + 25 Firebird , Phantom). Started Base in 2009.
"we decided to go to Varan arrow to jump this big wingsuit flight. Weather report was great, sunny and no wind. We wanted to do it the days before but it was too windy in altitude (exit is around 2500m). It was his 8th jump of the week. We arrived around 10:30am at the exit, perfect conditions, no wind.
We found the exit as described in the topography map as it had a canne in place.
Fabrice saw a pillar on the very far right side of the exit and decided to go and see. He told me "I am going to see and come back if not good". I stayed on the normal exit, with a very bad feeling inside. We have done some more technical jumps, and this one was normal ok for us. When he arrived at the top of the pillar he said to me it was good and he was going to get prepared. I will prefer to go down but I prepared to jump as well (I was flying Xbird).
Fabrice went first as he liked to jump first. I saw the beginning of his jump, normal without problem. He passed behind the corner of the wall, and I heard a big noise (as canopy opening) then a second very loud noise..
He was found by rescue paramedics 15 mins later lying down on a ledge as in flying position, canopy over him, lines out of tailpocket . Impacted ledge on line stretch...
It is a big loss for all of us but mainly for his wife Michèle and his family.
Jérôme
Update: The rock drop in Varan is 7", and 200m rock drop is severe technical, non adapt and dangerous for beginners Fabrice walked to the pillar few mins away from the classic exit and jumped.
Please if anyone can learn from this fatality it is to jump within your limits...
Dont push so fast to be jumping technical sites, take the time to understand everything before progressing to the next exit/wingsuit/jump or even object..</t>
  </si>
  <si>
    <t>BFL176</t>
  </si>
  <si>
    <t>2011-09-15</t>
  </si>
  <si>
    <t>The jumper impacted in terminal freefall with no deployment attempt while proximity flying in a wingsuit. The narrative provides almost no information about why the jumper failed to deploy — possible causes include task fixation, loss of altitude awareness, medical incapacitation, or equipment snag, but there is no evidence to distinguish among these. Without information on experience level, the specific flight line, or circumstances leading to the no-pull, neither a human error pathway nor a non-human cause can be clearly supported.</t>
  </si>
  <si>
    <t>Wingsuit V3, The jumper in question was found within the forest impacted with no pull... coming from a jumper on the load who inspected the gear..</t>
  </si>
  <si>
    <t>BFL177</t>
  </si>
  <si>
    <t>2011-09-16</t>
  </si>
  <si>
    <t>Slovenia</t>
  </si>
  <si>
    <t>Insufficient tracking performance</t>
  </si>
  <si>
    <t>The jumper exited a terminal cliff classified for wingsuit and experienced trackers only, wearing a tracking suit but failed to establish an effective track ('just did not get her track on'), resulting in insufficient forward separation from the cliff. She clipped a ledge and impacted terrain. The decision to jump an object requiring advanced tracking skills without demonstrating adequate tracking ability, and/or the failure to achieve the required track, constitutes human error.</t>
  </si>
  <si>
    <t>Valentina jumped the high nose in her tracking suit, jumpers on the exit point recalled her having a stable exit but just did not get her track on,She impacted last ledge close to the talus.Because she pulled before the ledge, canopy opened and she hit it once or twice (ledge) and ended up on the talus.
Jumpers should be aware that although High nose has been jumped by many people with intermediate tracking skills, this exit is classed as a wingsuit and experienced trackers only.Please be aware of your own abilities know how to track and pull at a safe altitude.</t>
  </si>
  <si>
    <t>BFL178</t>
  </si>
  <si>
    <t>2011-10-15</t>
  </si>
  <si>
    <t>Sixt-Fer-á-Cheval, France</t>
  </si>
  <si>
    <t>Wingsuit terrain impact</t>
  </si>
  <si>
    <t>The narrative explicitly states the jumper 'made a mistake' during proximity flying and 'caught himself without an out,' indicating a human error in flight path management. He impacted terrain in terminal freefall with no deployment, consistent with entering a no-pull zone without adequate margin or escape route.</t>
  </si>
  <si>
    <t>Rob was proximity flying on sloppy terrain and caught himself without an out. He made a mistake. He impacted with no deployment. Rob had over 900 base jumps in ten years experience. He was conservative as far as proximity flyin goes.</t>
  </si>
  <si>
    <t>BFL179</t>
  </si>
  <si>
    <t>2011-10-21</t>
  </si>
  <si>
    <t>S Bird (Wingsuit)</t>
  </si>
  <si>
    <t>Inexperienced wingsuit BASE attempt</t>
  </si>
  <si>
    <t>The jumper attempted his 3rd wingsuit BASE jump on a very technical line requiring a long turn and passing under power lines. The narrative states he decided to start wingsuiting on his own without mentorship from his wingsuit BASE friends. With only 2 prior wingsuit cliff jumps, attempting such a technical proximity line represents a clear violation of accepted progression norms. He died from impact in terminal freefall with PC entanglement (bridle entangled), indicating a deployment failure during proximity flight.</t>
  </si>
  <si>
    <t>['Emergency low pull', 'Pilot Chute Entanglement - PC in tow', 'Proximity flying']</t>
  </si>
  <si>
    <t>Antoine went for his 3rd wingsuit cliff jump to a very technical jump in the Sixt area involving flying a long turn and passing under power lines. His body was found dead on a ledge under the power lines, entangled in his bridle. He was flying a S-Bird.
Given his lifestyle and accomplishments, it's hard to figure out why he decided to start wingsuiting on his own as he had many friends in the WS base-jumping scene. He was a top-level athlete, very experienced in many aerial sports and has been managing risks in remote alpine environment for years.
He will be greatly missed here, but we can be pretty sure that he's now inventing new sports with his brother up there in the sky.
Antoine was one of the most accomplished athletes in his sport. Born into a family of sportsmen, Antoine grew up in the wide open country between the Lake Geneva and the Alps, and learned to ski from the moment he could walk. He soon got a taste of the wealth of outdoor activities that such an open environment offered.
Antoine was just nine years old when his older brother, Valéry, an experienced hang-gliding and paragliding pilot and a pioneer in speed riding who was killed in an accident in 2006, introduced him to paragliding. He instantly caught the bug and soon became an experienced pilot. After becoming a certified instructor in skiing and paragliding, his love of the mountains and his insatiable appetite for thrills led him to the top of these two sports.
What he loved most of all was to be in the mountains, climbing up the slopes ready to make his descent by whatever means available: extreme skiing, base jumping or speed riding.
His talent was matched only by his imagination for ways to get back down to the valley floor. Even though he achieved some amazing feats, Antoine's exploits in alpine skiing were not widely known. But unlike many extreme skiing purists, Antoine was first and foremost an inventor. He liked finding unlikely routes and blending types.</t>
  </si>
  <si>
    <t>BFL180</t>
  </si>
  <si>
    <t>2011-11-15</t>
  </si>
  <si>
    <t>The narrative and possible factors indicate the jumper extracted the pilot chute too late, resulting in a low pull where the canopy opened but with insufficient altitude to arrest descent. Late PC extraction from a BOC on a slider-down cliff jump is a human error in deployment timing.</t>
  </si>
  <si>
    <t>Holly was BASE #1367
This is the only account of the incident as Holly was jumping alone.external witness report from The Salt Lake TribuneI was hiking in the canyon and saw her fall. I heard the sound of her parachute opening. Her parachute appeared to open all the way but unfortunately not in time to avoid a fairly hard landing. She rolled and slid about 20 feet down a steep slope before coming to a stop. There was no movement for a few minutes but then I saw her sit up and then lay back down again. Rescuers arrived in the canyon in just a few minutes and it took another 15 minutes or so to hike to where she was. A biker had already hiked up to her while I directed the rescue crew to the right spot. When the biker came back down, he said she was breathing but couldn't get a response from her. The rescue crew performed CPR but were unsuccessful. The most frustrating part was that she came so close to making a good jump. Her chute was open but she was about 3/4 of the way down when it did. She needed just a few more feet. It did seem to me to be a rather short cliff to make such a jump but I have no experience. The margin for error seemed to be very small.</t>
  </si>
  <si>
    <t>BFL181</t>
  </si>
  <si>
    <t>2012-02-26</t>
  </si>
  <si>
    <t>Tverska district, Russian Federation</t>
  </si>
  <si>
    <t>Unable to locate pilot chute</t>
  </si>
  <si>
    <t>The jumper was unable to locate and extract his pilot chute from the BOC pocket despite multiple attempts, resulting in ground impact with no canopy deployment. The narrative identifies that winter clothing made reaching the PC more difficult, that the jumper had experienced this problem before with the same jacket, and that he was not well rested. Jumping with known PC-access difficulty from a low antenna constitutes identifiable human error in equipment configuration and decision-making.</t>
  </si>
  <si>
    <t>201C, 202P, 204E</t>
  </si>
  <si>
    <t>Alex was not well rested, had only a few hours of sleep. He had winter closing on him, which made reaching PC more difficult. He already had problems with reaching his PC in that jacket before once, but got lucky that time.
Perfect weather conditions, solid exit. He made 4 attempts to find his PC, hit the ground during the fifth in stable box position, no panic. His PC was found half a meter next to him on the ground, probably thrown out from impact.
Lessons: Rest up, go hand held below 100 meters, especially if you have difficulty reaching your PC. And if you must go stowed, don't stow it all the way, leave some to grab it more easily.</t>
  </si>
  <si>
    <t>BFL182</t>
  </si>
  <si>
    <t>The jumper had a slightly unstable exit that turned his body to the right, remained in this poor position for several seconds before recovering and tracking, then deployed at approximately 7 seconds on a wall where the recommended freefall time was around 5 seconds due to an un-outtrackable ledge at 8 seconds. The late deployment after prolonged failure to recover from the unstable exit constitutes clear human error that directly produced the fatal impact with the ledge.</t>
  </si>
  <si>
    <t>The jump was a slider up tracking jump. This wall has a ledge at about 8 secs which you cannot out-track, recommended free-fall time is around 5 secs. The jump was a 2-way, Sergio went first. This was his 2nd jump from this cliff within a few days. Sergio had a slightly unstable exit which turned his body to the right.
According to pics taken in free-fall by the jumper behind him he stayed in this position for several seconds before slowly recovering to a straight position and then started to track. He deployed his canopy at about 7 secs and impacted the ledge during the opening of the canopy. The canopy did fully inflate but never really started to fly, he impacted the ledge several times before coming to a stop.
Emergency service was called immediately by witnesses on the ground and a helicopter arrived about 30 mins later but the doctor who was dropped could only determine the death of the jumper. His injuries confirm a high-speed impact, he died immediately.
Our thoughts and good vibrations are with his family, his wife and his son</t>
  </si>
  <si>
    <t>BFL183</t>
  </si>
  <si>
    <t>2012-03-30</t>
  </si>
  <si>
    <t>Inadequate skill for object</t>
  </si>
  <si>
    <t>The jumper with reportedly 20-50 BASE jumps attempted a slider-up cliff exit classified as requiring wingsuit or experienced tracking skills. The jumper failed to achieve sufficient forward separation from the cliff, experienced a 180-degree off-heading opening, and struck the wall under canopy. This represents a clear progression error—jumping an object beyond the jumper's skill level—combined with insufficient tracking performance.</t>
  </si>
  <si>
    <t>Report: Jumper is reportedly to have between 20-50 base jumps... Not enough distance from high nose, off heading and impacted wall..
Jumpers should be aware that although High nose has been jumped by many people with intermediate tracking skills, this exit is classed as a wingsuit and experienced trackers only. Please be aware of your own abilities know how to track and pull at a safe altitude.</t>
  </si>
  <si>
    <t>BFL184</t>
  </si>
  <si>
    <t>2012-05-19</t>
  </si>
  <si>
    <t>Apache (Wingsuit)</t>
  </si>
  <si>
    <t>The jumper became incapacitated during flight and tumbled to impact with no deployment attempt. Two plausible explanations exist: a sudden medical event rendering him unconscious, or a dynamic stall during a turn that flipped him and caused loss of consciousness. The narrative explicitly states the cause of the abrupt nosedive will never be known exactly. Neither a human error pathway nor a non-human cause can be established with sufficient confidence over the other.</t>
  </si>
  <si>
    <t>['Health issues', 'Proximity flying']</t>
  </si>
  <si>
    <t>Unstable at pull time , He is a very experienced base jumper and was a leader in the valley for keeping good relations between the base jumpers , media and locals also is part of the Swiss Base Association (SBA), Numerous jumpers have said that he is the most meticulous and safety conscious Jumper they have ever come across and is a huge shock to the jumping commmunity in switerland..
update from Mäthu / SBA
So, here is what happened:
Markus jumped the Via Ferrata alone in late afternoon and in calm conditions, no turbulence. He was flying his Apache that he had been using for quite a while already. He felt comfortable in the suit - that's what he told me on several occasions during the weeks/months before the accident.
A credible eye witness saw Markus flying left after the exit along the wall towards Lauterbrunnen. He was flying stable and with a very impressive glide. At about two thirds of the way to the waterfall and still very high up he initiated a right turn to separate from the wall. After about 70-80 degrees and while still turning he suddenly went steep, respectively nosedived, which resulted in an abrupt "frontflip". The exact kind of flip/rotation and in which position he came out of it cannot be said with enough certainty. After this flip he could have recovered easily as he was still very high. Instead he was tumbling towards the ground as if he was unconscious: no trying to recover, no struggling, no flat-spinn, nothing, just falling like a stone with flapping fabric on it. This tumbling part of the flight was also seen be another witness. Moreover, the coroner mentioned that the body was "unusually relaxed" and not stiff like other bodies of basejumpers that he had treated, supporting the presumption that Markus was unconscious. Markus impacted the field west of the bridge near the waterfall with nothing out and died instantly. We inspected his gear and it is obvious that the pilot chute was still in the BOC when he impacted. Everything on the gear looked okay, including the wingsuit.
What caused the abrupt nosedive resulting in a flip we will never know exactly. Our assumptions are:
1) Markus suffered a sudden health problem, be it a heart attack, a stroke or just a momentary black out.
2) The wingsuit stalled during the turn, went into an aggressive nosedive and with a resulting negative AoA flipped Markus abruptly, rendering him unconscious. This theory could be backed by the fact that Markus' flightpath was considered "very high", meaning he must have been close to stall speed on the polar curve, invariably leading to the danger of a dynamic stall while turning. Additionally, by design a large wingsuit such as the Apache is more prone to radical stall behaviour.
That is all we could find out.</t>
  </si>
  <si>
    <t>BFL185</t>
  </si>
  <si>
    <t>2012-06-11</t>
  </si>
  <si>
    <t>Zakynthos, Greece</t>
  </si>
  <si>
    <t>Inexperience and off-heading object strike</t>
  </si>
  <si>
    <t>The jumper experienced a 180° off-heading opening resulting in object strike on a slider-down cliff jump. The narrative explicitly states the jumper did not have enough experience for slider-down jumping and did not know his limits, indicating human error in the decision to attempt a jump beyond his skill level. Insufficient forward separation on exit further contributed to the fatal outcome.</t>
  </si>
  <si>
    <t>Jumper reportedly jumped alone, had an offheading and being hung up on wall, after beach goers called out he told them he is ok but injured, After 30 mins hanging on wall the canopy dislodged and he fell up to 60 metres to the floor below killing him instantly..
Jumper was reported to not have enough experience jumping slider down ..
Know your limits (Once again another jumper has died because of not knowing his limits)
unconfirmed report:http://www.bbc.co.uk/news/uk-18396623</t>
  </si>
  <si>
    <t>BFL186</t>
  </si>
  <si>
    <t>2012-06-23</t>
  </si>
  <si>
    <t>Loss of glide leading to terrain impact</t>
  </si>
  <si>
    <t>The jumper was wingsuit proximity flying near terrain and experienced a loss of performance (glide) in the second part of the flight, leaving insufficient altitude to clear a plateau. Despite having time to deploy, the jumper either pulled too late or failed to pull, resulting in terminal freefall impact. The decision to continue flying toward terrain without adequate margin and the failure to deploy the parachute when the performance dropped constitute human errors.</t>
  </si>
  <si>
    <t>['Emergency low pull', 'Extracted Pilot Chute too late', 'Loss of speed-glide', 'Proximity flying']</t>
  </si>
  <si>
    <t>Following your request, here is the data (strictly technical) on this fatality, :
(I jumped a few minutes before Hervé and hiked back to where he impacted afterwards)We found no eye witness of the accident.
From this exit you can pass a ridge on your right, then depending on performance you can either fly to the left in two different valleys, or keep flying to the right and try to pass a grassy, flat and long plateau further away and join another valley. If performance is finally not good enough to pass this plateau, you have time to pull and land there.According to jumpers at the exit, Hervé's flight was very performing, he was high above the first ridge on the right. Consequently he was in a good position to try to clear the plateau. What we suppose is that his performance dropped in the second ! part of his flight (it happened to him sometimes) and that he couldn't pass the plateau.
His canopy was retrieved with slider still attached and brakes stowed, due to lack of eye witness we don't know if the impact made the canopy come out of container or if the impact occured at the beginning of opening sequence. So we don't know what exactly happened : no pull / late pull / failed attempt to pull / other malfunction.
The only sure thing, considering the impact location, is that it wasn't a failed proximity attempt.http://www.ledauphine.com/actualite/...A-495120334A94</t>
  </si>
  <si>
    <t>BFL187</t>
  </si>
  <si>
    <t>2012-07-07</t>
  </si>
  <si>
    <t>Vampire 4 (Wingsuit)</t>
  </si>
  <si>
    <t>Wingsuit terrain strike during proximity flight</t>
  </si>
  <si>
    <t>The jumper was flying a tight proximity line near terrain with a wingsuit (Vampire 4) he had limited experience on (~12 jumps). He misjudged his ability to clear a large ledge, attempted a sharp turn he had not practiced in this suit, and impacted the ledge in terminal freefall. The decision to fly a tight proximity line with insufficient experience on the specific wingsuit, and the misjudgment of clearance over the terrain feature, constitute identifiable human errors.</t>
  </si>
  <si>
    <t>Account from Douggs
On the morning of the 7th July 2012 several different groups of experienced jumpers all showed up at the same time to get on the first cable car to go to the cliff Kandersteg. All were in wingsuits.
The weather was perfect. Not too hot nor cold with a slight breeze at the exit point and in the valley below. Perfect conditions.
There were at least 15 jumpers on the exit point and all were in good spirits with a good vibe. Jumpers were exiting and flying both the left line &amp; straight out, with a majority of people flying the right-line. The Deceased, Alan McClandish was about 3 jumpers behind me on the exit. He had mentioned to a fellow jumper that he was a little tired but nothing really out of the ordinary. We joked as perusual and I said to him on exit the standard thing Have a good one with a handshake.
After flying the left line I landed safely at the cafe and proceeded to watch as a couple of other jumpers exited, flew &amp; opened safely.For Alans jump I did not see the exit but I saw the second half of his flight, which was looking excellent with good speed &amp; glide. It also looked as he was flying a very tight line.
The next part of the jump seemed weird because as he flew to where a large ledge was he started a turn and then disappeared out of site for possibly up to 3 seconds. I was expecting him to fly out from the other side of the ledge but instead there was a very distinct sound of an impact as myself,and at least 10 other jumpers watched him bounce down an almost sheer wall. The canopy appeared to be out but it was a ball of shit. He bounced for possibly about 250 meters and came to rest on a ledge approximately 200 meters up.
I instantly called the Rega helicopter and there were there within 15 minutes for what we all knew was body retrieval. It was suggested that all the other jumpers leave, as there was nothing that could be done. Myself and Alans best friend Benny waited for the chopper and instructed the rescue guys and the doctors on what had happened. After less than an hour they retrieved Alans body and we confirmed that it was him.
Initially we had thought he had hit the cliff head on but this was not the case as his head and face did not show this type of impact.After talking with Benny who also saw the impact from below where it happened we came up with this assumption.
Alan was one of the fiercest wingsuit pilots on the planet when he used to fly his S-Fly wingsuit. His flights were unmatched by any other.He had recently started flying a V4 and was having troubles flying it due to the completely different styles of flying. He had made approximately 12 jumps on the suit and the last 2 jumps he seemed to get it to fly very well.
Myself and Benny think that as he was flying so well on this jump that he went back into hardcore mode and decided to fly a tight line to the right. He was higher than most people who fly this line and we think he was trying to get over a large ledge that was also wide. From another angle you can see this very noticeably. We think he realized at the last second that he wasn't going to make it over and he initiated a fairly sharp turn to miss the ledge.Although he could turn on a dime in his S-Fly, he hadn't practiced turning sharply on the V4. We think he impacted on this ledge, which was covered in grass. This also explains the 2-3 seconds where no one saw or heard him as the impact made no sound. We think that after the initial and fatal impact he either slid of rolled down this ledge and back into free fall and it was this time when we all heard and saw the impacting down to where he came to rest on the ledge.
He was wearing a camera and helmet but there were no signs of them from the rescue team.
I want to say a HUGE thank you to the Police and the rescue team involved in this tragic accident. They did an amazing job and were very compassionate and professional throughout the whole event.
Alan was a very experienced base jumper and a very hard-core one at that. He knew the risks involved in this sort of flying and that any miscalculation could result in serious injury or death.
I can only ask that all base jumpers please take care out there, especially the good ones, as it is now the experienced guys dying.
Do you need to be one foot off the ground? Do you need to hit trees? Is that one second of joy worth losing your life for? Do you want to put your friends and family through this sort of trauma?
I urge everybody to just slow down a little and enjoy the bigger picture. Alans passion for base jumping was huge and now he can never jump again!There is nothing wrong with flying at 70-80% of what you are capable of. I personally run at 50-70% most of the time to keep stuff in reserve.
Please be safe out there
BSBD Douggs</t>
  </si>
  <si>
    <t>BFL188</t>
  </si>
  <si>
    <t>2012-07-18</t>
  </si>
  <si>
    <t>Venom (Wingsuit)</t>
  </si>
  <si>
    <t>The jumper exited in a wingsuit and turned left into the cliff wall after approximately 4 seconds, impacting subterminal near the exit point. The narrative identifies an unstable exit as a possible factor, and the immediate leftward deviation into terrain indicates a failure to maintain proper exit trajectory and flight control. This represents a human error in exit execution and/or flight management.</t>
  </si>
  <si>
    <t>['Proximity flying', 'Unstable exit']</t>
  </si>
  <si>
    <t>Jumper Impacted wall after a few seconds from exit point...
Exit, turns left hit cliff after 4 seconds in freefall, canopy opens after impact and he comes to rest in the upper talus at Stabben wall. i do not know where they exited exactly, but think the exit name is Labben next to stabben.
I think he had the Venom wingsuit, but not sure.</t>
  </si>
  <si>
    <t>BFL189</t>
  </si>
  <si>
    <t>2012-07-23</t>
  </si>
  <si>
    <t>Chamonix, France</t>
  </si>
  <si>
    <t>The narrative describes a wingsuit proximity flight resulting in terrain impact, with possible factors listed as katabatic airflow, loss of speed-glide, and proximity flying. However, the narrative lacks sufficient detail to determine whether the impact resulted from a human error (such as a decision error or skill-based error) or from an unforeseeable environmental event (such as unexpected katabatic flow). The vague statement that the jump 'can catch even the most experienced out by losing your margin for safety in a few small moments' does not establish what specifically caused the loss of margin. Without information on the jumper's experience level, specific flight decisions, or whether conditions were forecastable, neither 001HE nor 002OC can be adequately supported.</t>
  </si>
  <si>
    <t>['Katabatic air flow', 'Loss of speed-glide', 'Proximity flying']</t>
  </si>
  <si>
    <t>Jumper is a well experienced and well respected base jumper.He is one of the most well liked Norwegians from the SBK klubb in Kjerag...
Jon Inge had done a few jumps in the one day and on the final jump he Impacted talus , this jump is a highly advanced wingsuit jump and it can catch even the most experienced out by losing your margin for safety in a few small moments...
http://mobile.liberation.fr/depeches...hamonix_835122
http://www.lefigaro.fr/flash-actu/20...-swingsuit.php</t>
  </si>
  <si>
    <t>BFL190</t>
  </si>
  <si>
    <t>2012-08-07</t>
  </si>
  <si>
    <t>Arve valley, France</t>
  </si>
  <si>
    <t>The jumper was proximity flying in 'attack mode' aggressively near terrain and impacted the ground in terminal freefall. The aggressive proximity flying near terrain features, including executing a turn around a corner with insufficient margin, constitutes a human error in flight path management and risk assessment.</t>
  </si>
  <si>
    <t>Aug, 7 "Shane and I awoke from our slumber in the small town of Flaine, a seasonal ski town in france. Around 7 :15 or so we started our trek up the hill. We made small talk and cracked jokes. At one point Shane had me rolling when he tried to demonstrate how he was going to throw his trekking poles in his suit along his legs and they dug in, causing both pole handles to nut punch him at the same time. We hiked and talked and he showed me some huge holes in the rock formations. We reached our exit point at around 9. I remember saying to Shane that I was thankful that he could so accurately appraise my skill level and take me to places I was comfortable. In return he said " I'd much rather have a beer at the bottom with you than get you some cool guy video". We talked about the lines we would fly and when I Get home I can show you them all on a map but for the time being let's just say there was a right and a left line. The left was more technical but Shane insisted I would have no problem with it. There was an easy out to the right before you get to committed. We exited as a two-way with me in front. My extremely timid flying made me want to look on the other side of the hill before going over so I flew at a diagonal to it. After a few seconds I saw Shane's bright yellow apache power up and go blazing by, headed straight for the ridge. He threw me an enthusiastic head nod that any jumper can tell you translates directly to " hell ya!" and then he was back on task flying very aggressively in what base jumpers call "attack" mode. As I passed to the side of the terrain feature I was traveling around I gave one last glance under my wing at shane. He was in a left hand turn around the corner, and then he dissappeared from view. He impacted in a grass field near a chalet. I spent the rest of the day in a SAR helo looking for him. The PGHM which is the search and rescue unit here are amazing. They pulled out all the stops to search for Shane and did him a great honor. I know this is a discombobulated after action report but it's really the meat and potatoes of the whole thing. They found Shane the next afternoon around 3. This has all been a blur. Everyone can take some comfort in knowing there was no pain, one second he was with us and now he is waiting for us. I love you all, I look forward to laughing and crying with everyone over Shane stories and beers."</t>
  </si>
  <si>
    <t>BFL191</t>
  </si>
  <si>
    <t>2012-08-11</t>
  </si>
  <si>
    <t>Phantom 2 (Wingsuit)</t>
  </si>
  <si>
    <t>Proximity flying decision errors</t>
  </si>
  <si>
    <t>The jumper attempted proximity flying for the first time at an unfamiliar cliff, despite deliberating extensively about whether to do it. Multiple decision errors are identifiable: flying proximity on a first jump at the site without having seen the line from the landing area, leading to deployment at a point too close to terrain. The resulting 180° off-heading with line twists left no margin for recovery, causing fatal object strike.</t>
  </si>
  <si>
    <t>201C1, 201C2, 203T</t>
  </si>
  <si>
    <t>['Line twists', 'Proximity flying']</t>
  </si>
  <si>
    <t>Marcus was flying a P2 on this jump, marcus flew a great line and after passing the last wall near the landing area he opened, within seconds he had a 180 with several line twists.. jumper is reportedly to be in line twists and canopy flying towards wall.. Jumper impacted wall multiple times which contributed to this fatality along with line twists..
Report(s) compiled from many first hand accounts (not edited):Here the report of Marcus´s accident.
It was Marcus 336th Base jump, most of them Track jumps, about 30-40 WS jumps on a P2, which he also jumped this day. I had problems with my ribs, so I brought him and the others to the cable-car and waited at the landing. Everything was normal this day, except that Marcus was thinking during the whole hike and also the evening before about flying proximity to the ledge or not.
He was not sure about doing it or not. It was his first jump at Kandersteg. He exited second, had a good exit and was flying a straight 30° left line (report from the jumper behind him). He flew over the ledge and had no problems till this point. I could not see his flight till he passed the ledge. When I heard the opening, which was very loud, I looked up and saw him under canopy about 30m after and 30m under the ledge. He had multiple line twists and opened 160° right. He opened his right Zipper and his left one to the half, then he impacted first time very hard. The wall was not straight down, so he impacted several times till it ended up in a 150m free-fall with collapsed canopy. He had no chance.
Why he opened at this point is difficult to say, but:It was his first time going proximity, his first jump at this cliff, he has not seen the landing and the ledge/jump from the landing area at, he was thinking about doing it or not. In our opinion, all this decisions together resulted in pulling at this point (panic, stress or whatever).The question is if it´s worth to die for a nice video.....
Memorial thread:http://www.blincmagazine.com/forum/post106557.html
Incident Threadhttp://www.blincmagazine.com/forum/post106558.html
Facebook:https://www.facebook.com/marcus.stigo</t>
  </si>
  <si>
    <t>BFL192</t>
  </si>
  <si>
    <t>2012-08-24</t>
  </si>
  <si>
    <t>Packing/Rigging Error</t>
  </si>
  <si>
    <t>The updated report identifies that the pilot chute was entangled with a stash bag compression cord, resulting in PC in tow and only partial canopy extraction. A stash bag compression cord interfering with the deployment system indicates a rigging or preparation error - foreign equipment (the compression cord) was left in a position where it could entangle with the pilot chute during deployment. This represents a human error in equipment preparation, specifically failing to remove or properly secure the stash bag compression cord before jumping.</t>
  </si>
  <si>
    <t>UPDATED: Pilot chute was entangled with his stash bag compression cord.
Hasse exited exit 6 on kjerag doing a two way track wearing a phoenix tracking suit. both jumpers had good separation from the cliff and pitched at a comfortable height. The pilot chute came out and extracted his canopy no lines were visible just roughly 10 feet of canopy that remained long and thin not caching any air. his body appeared to remain belly to earth and he impacted the talus at full speed.
Both jumpers were 1st to arrive at exit point and geared up on their own, they did not check each other and the other jumper did not see Hans checking his gear (not to say it didn't happen, he just didn't see it) Phoenix fly tracking suit, no go pro's apparent.
They were first to jump in a 2way from exit 6, both pulled at a reasonable safe height. Hans experienced only partial canopy extraction, approx 10ft of long skinny canopy not catching any air, being pulled by the pilot chute kept him in a belly to earth position until high speed impact on talus proving fatal.Heli had reached the body before any jumper could, so no initial inspection of gear was undertaken.
Some theories areLeft packing clamps on gearpull up cord left in pins after packingpilot chute in tow
It seems although he did everything right at this stage. pulled at safe height, was not a low puller and also had enough seperation.other factors played in this fatality.</t>
  </si>
  <si>
    <t>BFL193</t>
  </si>
  <si>
    <t>2012-09-09</t>
  </si>
  <si>
    <t>Poland</t>
  </si>
  <si>
    <t>Failed PC deployment in wingsuit</t>
  </si>
  <si>
    <t>The jumper was unable to locate and deploy the pilot chute at sufficient altitude while flying a wingsuit, resulting in impact with no canopy deployed. The narrative identifies the inability to pull the PC as the cause, with the contributing factor that the suit did not fit well. A poorly fitting wingsuit affecting BOC access represents a human error pathway involving equipment selection/configuration and deployment execution.</t>
  </si>
  <si>
    <t>Wioletta Roslan Was an experienced wingsuiter.
She had a few jumps on her new V4 but had told people that it did not fit so well,
Due to a few reasons she was unable to pull the pc at enough height and impacted nothing out.</t>
  </si>
  <si>
    <t>BFL194</t>
  </si>
  <si>
    <t>2012-09-10</t>
  </si>
  <si>
    <t>The jumper was proximity flying close to the wall and lost his safety margin, impacting talus. The narrative describes him 'slowly closing his window of safety fast' while flying close to terrain, indicating a loss of speed/glide during proximity flight. This represents a human error in flight management — flying too close to terrain without adequate margin, consistent with the identified possible factors of loss of speed-glide and proximity flying.</t>
  </si>
  <si>
    <t>George had been Living in the area of brento for a few months and was increasing his flying skills on every jump..
On his last jump he was trying to fly over the smaller talus on the left of this exit point just above the lower landing area also commonly used by trackers....
George was flying the wall close and was slowly closing his window of safety fast..
He impacted the talus just above the quarry..</t>
  </si>
  <si>
    <t>BFL195</t>
  </si>
  <si>
    <t>2012-10-06</t>
  </si>
  <si>
    <t>Loss of speed leading to low pull</t>
  </si>
  <si>
    <t>The jumper lost speed and was sinking out during the second half of his wingsuit flight, consistent with flying too slowly (near stall). He had recently changed wingsuits and was not maximizing the new suit's performance. He deployed his pilot chute too late, resulting in an off-heading opening with insufficient altitude, leading to impact. The loss of speed/glide and late deployment constitute identifiable human errors in wingsuit management and deployment decision-making.</t>
  </si>
  <si>
    <t>"This is information that I received from jumpers on the scene:"
Sean's was the first of a two way and had an effective launch. The first half of his flight appeared normal with adequate forward speed. During the last half of his flight he appeared to lose speed and seemed to be sinking out. He changed his flight path slightly in an attempt to maintain altitude above a gully and kept flying towards the main landing area. After deploying his pilot chute the canopy inflated with a left off heading of about 140+ degrees and after a few seconds he disappeared from sight into the gully and behind a cliff band.By the time Sean was located by other members of the group he had already passed.
Sean had recently changed wingsuits and within the weeks prior to his accident fellow jumpers had noticed he was not maximizing the new suit's performance. Sean was known as a safe and conservative jumper and his passing was a shock to many who knew him.
In this day and age of rapidly evolving wingsuit technology and the boundaries of free flight constantly expanding, pilots need to be aware of their personal capabilities. Wingsuit base jumpers should not venture away from forgiving objects before they have a substantial history of stable, precise and fast flights appropriate to the performance of their chosen suit. Stalling, short or inconsistent flights should be understood as indicators of more training on forgiving objects or better yet from airplanes.
Be aware of your capabilities</t>
  </si>
  <si>
    <t>BFL196</t>
  </si>
  <si>
    <t>2012-10-20</t>
  </si>
  <si>
    <t>X Two (Wingsuit)</t>
  </si>
  <si>
    <t>Unstable wingsuit exit from technical cliff</t>
  </si>
  <si>
    <t>The jumper exited a highly technical, underhung cliff (High Ultimate) in a wingsuit and immediately went head-down with excessive amplitude, lost control, and impacted terrain near the exit. The narrative identifies an overly forceful push resulting in an unrecoverable head-down position, constituting an exit execution error. Additionally, the jumper's experience level (approximately 105 BASE jumps, limited wingsuit BASE experience) at an exit recommended only for experienced tracking jumpers represents a decision error in object selection relative to skill level.</t>
  </si>
  <si>
    <t>Ramp was used
Franck was at- almost 800 skydives, and wingsuit 60 in his X2 - 105 Base jumps Over 1 or 2 seasons. - A few jumps at Brento - 70 base jumps on his X2-35 normal base with tracking and slick
Coming from a jumper on the loadI was at the exit just behind Frank. I closed my leg wing when he said, a smile in his voice "321 Base". I looked up and saw him, a second, poking his head down and his feet quickly exceeded the vertical (with great amplitude). he arched up to try to compensate (I had already seen him before exit in this way and then recover). He disappeared from my sight about 2.5 seconds after exit. I am unable to say whether I heard the impact 4 or 10 seconds is too confusing.
The Ramp was introduced this same day,
Franck went up in his x2 wingsuit to the high ultimate, he pushed off harder then normal and resulted in a head down position... he was out of control and narrowly missed the first ledge whilst trying to regain his flight position where he went into a spin and never regained control and impacted next ledge killing him instantly,
Although he had very few basejumps he was current in the suit as he had been jumping it most of the season..
This fatality is a mirror image of #161 Gary Muppet harbird
Please remember that although you may be experienced wingsuit or tracker every jump is different and just because you nail every exit before there is always a exit you will blow and if you choose an unforgiving exit then this will only stack up your odds of pulling it off if you receive a bad exit.
High Ultimate is also recommended to be a Experienced tracking ONLY exit, just because there is a ramp it is still underhung
Franck was a very highly respected musician and artist, he will be missed by so many that had been involved with him, His smile and positive energy will remain with the many that met him..</t>
  </si>
  <si>
    <t>BFL197</t>
  </si>
  <si>
    <t>2012-12-04</t>
  </si>
  <si>
    <t>The jumper was proximity flying along a wall in a wingsuit and impacted a ledge after 10 seconds of flight, with loss of speed-glide identified as a possible factor. Proximity flying deliberately reduces margin from terrain, and loss of speed/glide during terrain flight represents a failure to maintain adequate energy management — a human error pathway clearly identifiable from the domain reference's extensive discussion of wingsuit terrain flying, available lift, and the dangers of slow flight near terrain.</t>
  </si>
  <si>
    <t>Proxy flying along wall, impacted ledge after 10 secs of flight</t>
  </si>
  <si>
    <t>BFL198</t>
  </si>
  <si>
    <t>2012-12-26</t>
  </si>
  <si>
    <t>Phantom 3 (Wingsuit)</t>
  </si>
  <si>
    <t>Late deployment after performance loss</t>
  </si>
  <si>
    <t>The jumper experienced a significant loss of wingsuit performance (very little forward speed, high fall rate) yet failed to deploy his parachute despite having plenty of altitude at that point. He continued flying until he was very low over trees, deploying too late for the canopy to fully open before impact. This late deployment decision constitutes a clear human error. Additionally, his progression profile (70 BASE jumps, only 10 wingsuit BASE jumps, first jump at this technical cliff) falls well below accepted wingsuit BASE progression norms, indicating inadequate experience for the jump undertaken.</t>
  </si>
  <si>
    <t>201C1, 201C3, 203T</t>
  </si>
  <si>
    <t>Carl was jumping a Phantom 3, had around 70 base jumps including about 10 with a wingsuit. His wingsuit jumps were done in LB, plus one on a more technical french cliff, with good performance.
The fatal jump was from a 300m vertical cliff, with a long talus leading to LZ, total height around 850m. It was Carl's first jump from this cliff, conditions were good.
His exit was stable, beginning of his flight was normal, then his performance rapidly dropped, with very little forward speed and high fall-rate. At this point he still had plenty of altitude to pull. He passed over some low power-lines that are crossing the talus at some point, and pulled around 100m afterwards, very low over trees. We only saw his PC out. The canopy was found outside of the container.
This report does highlight what is slowly beginning to appear as the norm..
Low base jump numbers and flying wingsuit base after few jumps with no experience...</t>
  </si>
  <si>
    <t>BFL199</t>
  </si>
  <si>
    <t>2012-12-29</t>
  </si>
  <si>
    <t>The narrative states the jumper was found at the bottom of the antenna with the canopy extracted but not inflated, and the possible factors field identifies 'Extracted Pilot Chute too late.' The cause of death was low pull, indicating the jumper failed to deploy the pilot chute at a survivable altitude. This constitutes a human error in deployment timing.</t>
  </si>
  <si>
    <t>jumper was found at bottom of the antenna after not calling in ground crew, canopy was extracted.
50 years of age...</t>
  </si>
  <si>
    <t>BFL200</t>
  </si>
  <si>
    <t>2013-02-06</t>
  </si>
  <si>
    <t>Wingsuit exit/flight error</t>
  </si>
  <si>
    <t>The jumper impacted the cliff wall shortly after exit on his second wingsuit BASE jump of the day, indicating a failure to achieve adequate flight performance or separation from the object. With only 10 wingsuit BASE jumps and 40 wingsuit skydives (well below the accepted minimum of 100 wingsuit skydives), the jumper was significantly under-experienced for wingsuit BASE jumping. A witness observed him hit the cliff near the exit point, and the narrative notes a suspected problem with the exit, consistent with a poor exit leading to insufficient flight initiation and subterminal wall impact.</t>
  </si>
  <si>
    <t>202P, 203T, 204E</t>
  </si>
  <si>
    <t>Description: February 6, 2013, Pierrot was equipped with the Phantom 3 wingsuit.Weather conditions were good despite a strong layer of snow (120 cm at the top).Pierrot was about 1400 jumps from plane (approx. 40 jumps in ws) and 170 BASE jumps (approx. 10 jumps in ws).1St jump of the day, Pierrot had gone slightly bent legs, which didn't stop him from making a super flight.For we had discussed. Pierrot was not happy with his jump despite what I had thought of went well. It was Pierrot afterall!-his second jump, as to our habits we don't exchange few words. Everything is done in the quiet.Following the authorisation of Air Glacier, Pierrot is preparing. Good jump my brother. Good jump Pierrot. Think of your legs ! a few moments later he impacted the wall..
Note from Pierre's wife:helloI am the wife of Pierre Grazon; threw with him during the accident. He was with a friend at the nose three. c 'was his second jump of the journée. Il went first. We think he had a problem with the output. a witness saw him hit the cliff. There were 200 basic jump jump jump and 1,500 aircraft. He trained airplane with the wingsuit to better aprivoiser. He did everything with maximum security. I attached a picture of stone.</t>
  </si>
  <si>
    <t>BFL201</t>
  </si>
  <si>
    <t>2013-02-09</t>
  </si>
  <si>
    <t>Argentina</t>
  </si>
  <si>
    <t>Castelo, Brazil</t>
  </si>
  <si>
    <t>The jumper exited unstably from a cliff requiring a decent push to clear a small outcropping, clipped a bush/ledge after approximately 1 second, tumbled into the wall, and impacted fatally. The unstable exit and insufficient push to clear known terrain features represent identifiable human errors in exit execution and/or site selection relative to skill level.</t>
  </si>
  <si>
    <t>Exit unstable clipped bush after 1 sec then tumbled into the wall and impacted (killing her instantly)Stel was not part of the event and had showed up the night before to jump in between the competition,
this exit needs a decent push to clear a small outcropping,please know your limits</t>
  </si>
  <si>
    <t>BFL202</t>
  </si>
  <si>
    <t>2013-03-03</t>
  </si>
  <si>
    <t>Walenstadt, Switzerland</t>
  </si>
  <si>
    <t>The jumper experienced a sudden jolt and uncontrolled oscillation during wingsuit flight for unknown reasons. Possible factors listed include gear failure and proximity flying, but the narrative cannot confirm either. The body was recovered weeks later in extremely difficult terrain, and the cause of the oscillation remains undetermined. There is insufficient information to establish a human error pathway or to positively identify a non-human cause.</t>
  </si>
  <si>
    <t>['Gear failure', 'Proximity flying']</t>
  </si>
  <si>
    <t>['Snow']</t>
  </si>
  <si>
    <t>Jump was a 2 way off sputnik, the other jumper was flying above Paul, so following information is based on 2nd jumpers eyewittness report and his video footage from the jump:
Paul had a good start and uneventful flight until he reached the entrance of the crack rather high, Paul started diving, and after a sudden jolt he started oscillating sideways for unknown reasons, loosing speed and altitude fast. Oscillation got so strong that it maybe flipped him over once (can not be said for sure based on video). 2nd jumper reported that just before he lost him out of sight it looked like he got stable again.
Search was called off a few days after the accident, it was too dangerous for search parties because of avalanches and falling rocks. The Schattenbachschlucht (this is what the "cracks" name) is very difficult terrain and is described as "Difficult High-level Alpine hike" including mixed-climbing pitches in tourguides. The Schattenbachschlucht is very steep, and also very narrow at the bottom, and opening inside is not an option over flying out with the suit, which leads as to the assumption that canopy was not pulled. On Friday, April 26th Pauls body was found in the Schattenbachschlucht, the body had to be recovered by a team of mountain climbers because it was unreachable by helicopter.
Paul was a very experience basejumper, paragliding pilot, and mountaineer. He was know to be very rigorous when it came to gear and had in-depth knowledge of rigging and aerodynamics.</t>
  </si>
  <si>
    <t>BFL203</t>
  </si>
  <si>
    <t>2013-04-28</t>
  </si>
  <si>
    <t>X Three (Wingsuit)</t>
  </si>
  <si>
    <t>Wingsuit terrain flight in adverse conditions</t>
  </si>
  <si>
    <t>Multiple human errors are clearly identified in the narrative: jumping in strong winds whose importance was 'trivialized by confidence,' flying an unflown proximity line decided moments before exit without adequate planning, insufficient experience on the specific wingsuit (only 10 jumps on the suit), physical fatigue from extended hiking, and flying proximity terrain without adequate speed/glide margin. The jumper impacted terrain in terminal freefall without attempting deployment, consistent with loss of speed and glide in headwind conditions that were known but dismissed. These represent clear decision errors and preconditions within the jumper's control.</t>
  </si>
  <si>
    <t>201C2, 201C3, 202P1, 203T, 204E</t>
  </si>
  <si>
    <t>['Crosswinds on exit', 'Loss of speed-glide', 'Proximity flying', 'Strong winds']</t>
  </si>
  <si>
    <t>Three-way wingsuit jump with Fernando as the second jumper. the time was after 11:30am and the wind was quite strong at the exit. Fernando impacted a flat part of the ridge after about 30 seconds of flight. he did not appear to have attempted to pull his pilot chute. there was one witness from the exit. i was the third jumper and had visual on Fernando for most of his jump, excluding the last 2 seconds when i bailed into the canyon to the right not wanting to commit to the terrain. The first jumper had a good flight with plenty of altitude. I felt the strong head wind and subsequent lack of speed on my flight. SPOT devices were activated immediately and the jumper still at the exit hiked higher up the mountain to gain reception and talk with local emergency response directly. fruitless attempts were made from both sides of the ridge to reach Fernando by foot before the helicopter arrived and began it's search.
Variables: - Fernando had only 10 jumps (total BASE and skydive) on this particular suit- the decision to do a three way and the flight path were decided on the exit moments before jumping without time for mental preparation.- this particular line had never been flown before- Fernando hiked twice the day before and commented on "feeling that second hike" as we approached the exit. the hike is about 3 1/2 hours with the entire altitude of the jump done on foot.- later then planned start to the hike had us at the exit after 11am.- wind was discussed, but it's importance was trivialized by our confidence in our "big" suits
Analysis:as in most BASE jumping fatalities a COMBINATION of less then ideal variables brings about the tragic result. change any two of those, probably any one and the result could have been different. terrain-proximity experience, experience level with a particular suit, fatigue levels, wind, jump order, flight plan discussion and preparedness (especially on new exits or lines!) and your gut feeling all need to be considered before jumping. Fernando was a talented climber and jumper and super-psyched dude. he is deeply missed by his family and friends.</t>
  </si>
  <si>
    <t>BFL204</t>
  </si>
  <si>
    <t>2013-05-06</t>
  </si>
  <si>
    <t>Unstable wingsuit exit from technical object</t>
  </si>
  <si>
    <t>The jumper exited a technical, under-hung exit point in a wingsuit and went head-down immediately after leaving the ramp, impacting a ledge below the exit. The narrative identifies an unstable exit, insufficient forward separation, and clipping a ledge as factors. The exit technique (pushed off rather than running, resulting in immediate head-down attitude) represents a human error in execution at a site that preferably required a running tracking exit.</t>
  </si>
  <si>
    <t>The jumper in question is an experienced base jumper and was current in base jumping, But this exit is a technical exit being under-hung and preferably a running tracking exit, Jumper is reportedly pushed off in a wingsuit and went head down straight after leaving ramp and impacted ledge below exit killing him instantly.
Many Many jumpers are against the use of a ramp and a decision is being made whether to scrap the ramp and maintain a policy of do not build your own exits policy.This is the 4th fatality here at High ultimate In a wingsuit...
Tron was a leading member in the SBK in Norway and his workmates and friends will miss his bright smile and expertise in many areas.</t>
  </si>
  <si>
    <t>BFL205</t>
  </si>
  <si>
    <t>2013-05-30</t>
  </si>
  <si>
    <t>Caucasus, Russian Federation</t>
  </si>
  <si>
    <t>The jumper was proximity flying a wingsuit over a ridge and was visibly considerably lower than another jumper flying the same line, indicating loss of speed/glide performance. He impacted terrain in freefall before deploying his canopy. Flying a line over a ridge with insufficient altitude/energy margin to clear it represents a decision and/or execution error in wingsuit terrain flying.</t>
  </si>
  <si>
    <t>Cei-Loam exit point , 9 second rock drop, multiway, excellent start, turned left to take a line over the nearby ridge, and as he approached it, visibly he was considerably lower than the second jumper flying the same line. 30 seconds into the jump they heard an impact sound and his canopy open. Other jumpers called the rescue and jumped after, and as they flew over they saw him lying on the ground with a partially inflated canopy, next to him. As rescuers got to him, they stated he died on impact. Max was a very skilled jumper and he never pushed it.
(example of another jumper flying that exit)http://www.youtube.com/watch?v=5G7fflkoXDc</t>
  </si>
  <si>
    <t>BFL206</t>
  </si>
  <si>
    <t>2013-06-21</t>
  </si>
  <si>
    <t>Moab, United States of America</t>
  </si>
  <si>
    <t>The jumper attempted a double gainer, under-rotated, and deployed while mostly on his back. The canopy snagged on his belly camera during extraction from this non-belly-to-earth body position, resulting in a PC in tow / failure to inflate. The decision to perform an aerial that resulted in an unstable/back-to-earth deployment, combined with the presence of a snag-hazard camera, constitutes identifiable human error.</t>
  </si>
  <si>
    <t>Luke was hitchhiking from the bridge in Idaho down to Moab, and met up with a fellow jumper to head to the Dirty Devil exit (600 ft) before driving the rest of the way to Moab. They arrived really late and Luke didn't have a lot to eat the day before. Before the jump he announced that he was going for a double gainer. He had a good launch, but under-rotated the double. He was swimming a little, and then pitched on his back after 1.5 rotations, while twisting his torso to face the ground again. His pilot chute and bridle passed by the belly camera and appeared to clear, and his canopy extracted while he was still mostly on his back. The canopy snagged on the camera on either the bridle attachment point, or elsewhere. It failed to inflate and Luke was dead upon arrival of the second jumper 2 minutes later.
Luke had over 300 jumps and was jumping very consistently over the last two years. He had been performing aerials for a few months.</t>
  </si>
  <si>
    <t>BFL207</t>
  </si>
  <si>
    <t>2013-07-12</t>
  </si>
  <si>
    <t>Lisboa, Portugal</t>
  </si>
  <si>
    <t>Bridle Misrouting Error</t>
  </si>
  <si>
    <t>The narrative explicitly states the bridle was routed through the lateral flap of the harness, which is an incorrect rigging setup that caused a pilot chute in tow and prevented canopy deployment. This bridle misrouting is a human error in rigging/equipment assembly that directly caused the total malfunction and fatal impact.</t>
  </si>
  <si>
    <t>['Incorrect rigging setup', 'Pilot Chute Entanglement - PC in tow']</t>
  </si>
  <si>
    <t>David was jumping PCA from the cliff by the beach in Nazare, which is 64 meters rock drop and about 100 meters to landing at the beach. Somehow his bridle was routed through the lateral flap of his harness, the strap that goes from the leg harness to the back of his container. He jumped not knowing this, and had a pilot chute in tow until impact. We believe that when the bridle was tightened during the PCA, his bottom pin opened, and some of his canopy was visible from the inside of his container, but there was no chance the canopy would stretch out.
David was a real low jumper, he was thorough in his packing and had a knowledge I've rarely seen before. He was a skilled jumper. Rest in peace, you will always be in our minds.</t>
  </si>
  <si>
    <t>BFL208</t>
  </si>
  <si>
    <t>2013-07-16</t>
  </si>
  <si>
    <t>Unstable wingsuit exit</t>
  </si>
  <si>
    <t>The narrative explicitly states the jumper's exit was unstable and to the left, putting him too close to the wall, resulting in subterminal impact near the exit. An unstable exit in wingsuit BASE is a human performance failure that directly produced the fatal outcome.</t>
  </si>
  <si>
    <t>Paddys exit was unstable and to the left putting him way to close to the wall , he impacted a few seconds later killing him instantly..</t>
  </si>
  <si>
    <t>BFL209</t>
  </si>
  <si>
    <t>2013-07-21</t>
  </si>
  <si>
    <t>Aurland, Norway</t>
  </si>
  <si>
    <t>Proximity flight beyond skill level</t>
  </si>
  <si>
    <t>The jumper was performing proximity wingsuit flying and impacted terrain in terminal freefall. The narrative explicitly states the jumper was flying too close to terrain without adequate experience in proximity flight, was fairly new to wingsuiting, and was rushing progression. This indicates human error in the decision to fly a proximity line beyond the jumper's skill and experience level.</t>
  </si>
  <si>
    <t>This fatality could of been prevented, Another young jumper rushing to base jump and getting into the wingsuit far too early.. He flew the line way to close and impacted with no experience in proxy flight and fairly new to wingsuiting this fatality could easily been avoided if he had of known his limits and slowed down..</t>
  </si>
  <si>
    <t>BFL210</t>
  </si>
  <si>
    <t>2013-07-25</t>
  </si>
  <si>
    <t>The jumper was proximity flying and flew too low through a turn, losing adequate altitude and separation from terrain. He clipped an outcrop, was flipped upside down, and impacted in terminal freefall despite deploying his PC. Flying too low to safely navigate the terrain constitutes a human error in flight path management.</t>
  </si>
  <si>
    <t>['Anabatic air flow', 'Emergency low pull', 'Loss of speed-glide', 'Proximity flying']</t>
  </si>
  <si>
    <t>This jump was his fourth jump of the day, On this jump he was flying very low to make the first turn and after the turn He had put himself down too low to enable him to fly out safely of the gates clipping an outcrop and flipping him upside down, He managed to pull his Pc but impacted on talus with nothing but full inflated PC ...
Please remember that this jump Is an Advanced wing suit jump and that all fatalities have been known to happen in the afternoon when the Airflow has changed and cold air has moved into the valley...</t>
  </si>
  <si>
    <t>BFL211</t>
  </si>
  <si>
    <t>2013-08-13</t>
  </si>
  <si>
    <t>Proximity terrain impact</t>
  </si>
  <si>
    <t>The jumper was proximity flying a wingsuit and attempted to clear a ridge/ledge ('First House of Card') but impacted terrain in freefall with nothing deployed. The narrative indicates loss of speed-glide as a possible factor, and the jumper failed to clear terrain he was attempting to fly over, suggesting a misjudgment of performance margin relative to terrain — a decision to fly a line that exceeded available performance.</t>
  </si>
  <si>
    <t>Florian was the first to go from a 3 way wingsuit from the house of cards... After exit he was flying to cross over the ridge or what is called the First house of card and impacted with nothing out trying to out fly the first ledge... This has rocked the smaller french community from the bourne area and has made everyone think to take a step back....
Flo was a generous and Exciting jumper he will be missed by everyone who spent some time with him..
Please remember that you need to look at your own jumping capabilities and Know your limits...</t>
  </si>
  <si>
    <t>BFL212</t>
  </si>
  <si>
    <t>2013-08-16</t>
  </si>
  <si>
    <t>The narrative states the jumper impacted a ledge during wingsuit proximity flight. However, there is no information about the jumper's experience level, the specific line chosen, conditions along the flight path, what caused the impact (misjudgment, environmental factor, equipment issue, medical event), or any other details that would allow identification of a specific human error pathway versus a non-human cause. 'Proximity flying' is listed as a possible factor but the mechanism of the terrain impact is unspecified, and proximity flying alone is an activity choice, not evidence of a specific error without further context about the line, conditions, or the jumper's qualifications.</t>
  </si>
  <si>
    <t>Whilst flying a line he impacted a ledge in flight and was killed instantly..</t>
  </si>
  <si>
    <t>BFL213</t>
  </si>
  <si>
    <t>2013-08-17</t>
  </si>
  <si>
    <t>Dent de l'Arclusaz, France</t>
  </si>
  <si>
    <t>The jumper misjudged height relative to terrain ('wrong appreciation of the height') while flying a wingsuit proximity line over a grassy dome, resulting in insufficient clearance and fatal impact. This indicates a human error in altitude/terrain assessment during proximity flight.</t>
  </si>
  <si>
    <t>He had flown the normal line flown by experienced jumpers from this exit,BUT wrong appreciation of the height on the way of the grassy dome then too low. Slide and Impact in the grass.
author of the report: Harolds father and his base jumpers friends</t>
  </si>
  <si>
    <t>BFL214</t>
  </si>
  <si>
    <t>2013-08-19</t>
  </si>
  <si>
    <t>Viper (Wingsuit)</t>
  </si>
  <si>
    <t>The jumper impacted terrain during a wingsuit proximity flight that was not witnessed by any BASE jumper, and no information was gained from rescue personnel. The weather was reported as ideal, the line was familiar and not considered challenging for his skill level. Without witness accounts, video evidence, or any information from rescue personnel, there is insufficient information to determine whether human error or another cause led to the fatal impact.</t>
  </si>
  <si>
    <t>The weather was ideal. Light winds, perfect conditions. Mario had flown the line before successfully and it was not, for a pilot of his skill level, a challenging line.Steph exited first, Mario second. Mario did not arrive at the LZ and shortly afterward the rescue efforts began, and were completed quickly. No BASE jumper witnessed the accident, and no information was gained from the rescue personnel.</t>
  </si>
  <si>
    <t>BFL215</t>
  </si>
  <si>
    <t>2013-08-23</t>
  </si>
  <si>
    <t>Proximity flying misjudgment</t>
  </si>
  <si>
    <t>The narrative describes the jumper flying a wingsuit near the wall in proximity, coming too close to a prominent section of terrain, making a sharp turn to avoid it that caused loss of control (going head down), and being unable to recover before impact. This represents a human error in flight path management and terrain clearance judgment during proximity flying.</t>
  </si>
  <si>
    <t>"We were in Switzerland, we made this jump many time before, no complications compared with some that we have these days back. It was a Three way Alvaro was second and me after Him. We were flying near the wall, but in a "safety way" , and you see that at some point it has come too close, seemed about to hit a part of the wall that was more prominent, he has turned to avoid that, but has made the turn too sharp and minced, as when rotating a plane and goes some head down... He could not regain that ground has played with the slope and impacted ...
This is coming from his Beautiful friends
Today we lost a very dear friend. A free spirit, a very big heart and a good and humble man. Alvaro was an athlete of life and has gone doing what he loved most: fly ... and for those who were privileged to know him, his absence leaves a void that can only be closing very slowly, with the memory of his smile.
The men are braver when they imagine that they have nothing to lose, you liked you live as you have lived, in capital letters. But now life has made a jog unexpected.
We can not control our feelings picking the object of our love, and you loved what you loved. So we know that wherever you are, You will keep repeating those words to the wind that always wore your father with you:"Living is not only exist, but exist and create.Knowledge enjoy and suffer, and don't sleep without a dream.Rest ... is to begin to die. "
Sometimes we lose the memory of the words but not the memory of emotions. So Alvaro, You will live forever in our hearts.</t>
  </si>
  <si>
    <t>BFL216</t>
  </si>
  <si>
    <t>2013-08-25</t>
  </si>
  <si>
    <t>The jumper was flying a proximity line and failed to clear trees, impacting in terminal freefall with no pull attempt. The narrative explicitly states he was a novice proximity flyer attempting a proximity line beyond his ability to safely execute, indicating human error in the decision to fly that line and/or in flight execution.</t>
  </si>
  <si>
    <t>Dan was a good wingsuit base jumper and had been getting current over the last season , But he was only a novice wingsuit Proxy flyer... Dan failed to clear some trees on the line he had wanted to fly and was found still in flight mode amongst the trees with No pull..
This last year we have found that some really good wingsuit flyers have been killed learning to fly Proxy lines...
Be safe out there guys..
Friskus base has lost a good friend and all round nice guy...</t>
  </si>
  <si>
    <t>BFL217</t>
  </si>
  <si>
    <t>2013-09-06</t>
  </si>
  <si>
    <t>Proximity flight into dead-end terrain</t>
  </si>
  <si>
    <t>The jumper flew a wingsuit proximity line into a crack in the terrain that was a dead end, mistaking it for a different feature approximately 20 meters further down the valley. This was a decision/execution error in terrain flying — flying into a blind feature without certainty of the exit route, resulting in impact with terrain at terminal velocity.</t>
  </si>
  <si>
    <t>201C1</t>
  </si>
  <si>
    <t>At approximately 4:30 am on the 6.9.13, Five jumpers met at a service station to head out into the Austrian Alps for an experienced wingsuit jump. There were 4 local Austrian jumpers and myself, an Australian jumper. All jumpers were experienced and 3 out of the 5 jumpers had previously jumped this particular object. All were proficient wingsuit flyers.
Although early, the mood was very cool and exiting. We arrived at the start of the hike to find quite a lot of early morning fog, which obstructed the view of the top of the mountain but as a group we decided to start the hike with the hope that the fog would lift. Although a long hike (3 hours approx) it was not a dangerous one and we could turn back at any time if the weather got worse.
The hike took us directly up the same line that we would soon fly so the whole way we knew the gradient of the terrain. The terrain was quite smooth but also slightly flat in some sections and was a jump for big suits only. Because of the coming and going cloud cover on the walls of the valley, there was no way for the 2 jumpers that hadn't jumped this wall before to get 100% view of the different lines that could be flown. The deceased jump had flown this jump just 1 week before.
After a long and pleasant hike with friends we arrived at the top and the gear up area to mixed cloud cover and only glimpses of the ground below. It was not too cold as the sun was coming out on occasion so we decided to wait on the exit point until it cleared up. We sat on the exit point for approximately 1 hour. The mood was still great as we joked and told stories.
At one point, the deceased went to go and look for another exit point and was gone for some time. During this time the sky opened up and was clear and safe to jump. The four of us remaining geared up and went down to the exit point, which was a very clean and safe exit point. The rock drop was between 7 &amp; 8 seconds.
Not knowing if the cloud would come back in again, we decided to start jumping before the deceased returned. The first two jumpers exited and had good, safe flights disappearing around the corner. I was finishing my gear up when the deceased arrived back. He came to the exit point to watch the last two of us jump but was not geared up himself. I went next and had a good exit and a great overseeing flight. I personally understood after exiting that this jump was not so much a proximity flight but just a beautiful flight in the Alps. I decided not to go to close to anything but to fly over everything and check it all out. The talus was long and not so steep.
From here on in it is not 100% sure what happened but we are also pretty certain..
The last jumper exited and had a safe flight to landing. I flew to another landing area further down the valley and waited there for some time for the last 2 jumpers. I only saw 1 jumper. After some time I went to the trail to find one of the jumpers walking back to try to contact the deceased jumper by phone as they had not seen him fly out and should only have been no more than 10 minutes behind us.
The question was asked that maybe he had gone to jump the new exit point that he had found in which case we wouldve kicked his butt but this was just an assumption and we were almost certain this would not be the case.
Eventually we all walked out to the car park and one of the jumpers headed back to the landing area with a radio in hope the deceased would land there. In time though we knew something was not right and the rescue helicopter and police were called in to help with the search.
We were all content to bring emergency crews in, in hope that this would just be an embarrassing moment for us base jumpers.
This took way longer than we thought and we all became worried for the worst. The rescue chopper finally came and flew straight up into the gorge to start the search. After approximately 10 minutes the chopper came back and landed. This is when we received confirmation that Bernie was dead.
The Assumption..
The deceased was a very experienced &amp; talented skydiver and was just getting into wingsuit proximity flying. After viewing his camera angle it appeared he had a good exit and flight but whilst proxy flying the right line he turned right into the terrain up a crack. However this was the wrong crack and it came to a dead end with no way out. The line he should have flown was another 20 meters further down the valley.
After viewing my head cam angle from flying above all the features, it is clear to see the dead end crack into which he flew.
Something to think about
It is so important to know the lines you are flying and to not go too hard on them until you have a full understanding of where you are going. Turning around blind features is extremely risky unless you know exactly what is around the corner.
So many wingsuit fatalities could have been prevented if the people just slowed down a little and checked out the terrain properly. You dont have to do everything this year, you can save something for the future. Longevity is the key.Douggs</t>
  </si>
  <si>
    <t>BFL218</t>
  </si>
  <si>
    <t>2013-09-08</t>
  </si>
  <si>
    <t>The jumper was proxy flying and lost height awareness, resulting in impact with talus in terminal freefall. Loss of altitude awareness during proximity wingsuit flight is a human error in situational awareness and flight management.</t>
  </si>
  <si>
    <t>['Altitude awareness', 'Loss of speed-glide', 'Proximity flying']</t>
  </si>
  <si>
    <t>Trond was proxy flying this exit and lost height awareness Impacted talus.</t>
  </si>
  <si>
    <t>BFL219</t>
  </si>
  <si>
    <t>2013-09-14</t>
  </si>
  <si>
    <t>Unskilled exit from advanced object</t>
  </si>
  <si>
    <t>The narrative explicitly states the jumper's exit was 'too steep (unskilled)' and he was unable to get his wingsuit flying in time, resulting in subterminal impact with nothing deployed. The jumper attempted one of the most advanced wingsuit BASE exits in the world without the requisite skill, constituting clear human error.</t>
  </si>
  <si>
    <t>Jerad's exit was too steep (unskilled), and he was not able to get his wingsuit flying in time to out fly the bottom and impacted nothing out.
This Jump is in the top 3 of advanced jumps for any wingsuit pilot in the world.... Please guys if you need to jump this exit then do your homework... You must have no issues with exiting or flying without stalling.. This is not a forgiving exit and it has killed many wingsuit pilots (Even Advanced with 100's of wingsuit base jumps)
Just because the exit is there doesn't mean you MUST jump it......</t>
  </si>
  <si>
    <t>BFL220</t>
  </si>
  <si>
    <t>2013-09-19</t>
  </si>
  <si>
    <t>Rushed progression wingsuit BASE</t>
  </si>
  <si>
    <t>The jumper attempted a wingsuit BASE jump with only 23 total BASE jumps (only 10 prior to this trip), grossly insufficient for wingsuit BASE which requires a minimum of 100 BASE jumps. The jumper flew head-high and slow (likely stalled), extracted the pilot chute too late, and impacted the ground at an object with insufficient altitude for wingsuit flight. Multiple human errors in progression, object selection, and execution are clearly identified.</t>
  </si>
  <si>
    <t>Report that has come to light is that Jumper had shown up in Lauterbrunnen with his experience in base jumping at 10 slider down base jumps prior to this base trip...
Jumper was a very experienced skydiver with AFF rating and tandem master and a few thousand skydives...
Which is why the base community cant understand why he felt the need to rush into base jumping and jump a wingsuit on his 10th base jump. Witnesses stated Max made 12 jumps in the valley in the days, leading up to the incident.
The jumper exited from yellow ocean, an object that has a 350^ meter rock drop and only 425 meters to the landing area. His Flying in his wingsuit (venom) was very head high and slow and therefore likely flying in a stall.
The canopy gets to line stretch but at the same time he hit the ground the canopy and bridle draped over the power lines (lower voltage).
There was 2 joined possible causes for death... Impacting ground at extreme force was the primary cause of death (possible low pull or pc caught in burble).
1.) This jumper had only 10 low altitude BASE jumps and ignored all advice from his fellow travelers and jumpers in the valley at the time.
2.) This jumper didn't register for the Landing card making it hard for Police to identify him and contact his family. He had no information from the SBA nor informed himself on the various exits and their profiles.
3.) This jumper assumed yellow ocean was a suitable exit for beginners, not considering that this exit doesn't have sufficient height to practice Wing-suit flights!
4.) Excellence in skydiving experience can help awareness and reactions in BASE, but it doesn't substitute proper training and preparation in this very different environment!
This fatality could of easily been prevented if the jumper had of slowed down and re-evaluated his jumping...</t>
  </si>
  <si>
    <t>BFL221</t>
  </si>
  <si>
    <t>2013-10-08</t>
  </si>
  <si>
    <t>Zhangjiajie, China</t>
  </si>
  <si>
    <t>Vampire 5 (Wingsuit)</t>
  </si>
  <si>
    <t>Loss of control during proximity flying</t>
  </si>
  <si>
    <t>The jumper lost speed and altitude after slipping sideways and going up on a wingtip during a competitive proximity wingsuit flight through gates. This represents a human error in flight management: the jumper flew a line that required precise maneuvering near terrain, lost airspeed during a turn (a recognized fatal failure mode in wingsuit BASE), and impacted terrain in freefall without deploying. Flying at speeds and angles that left insufficient margin to recover from the disruption constitutes a decision and skill-based error.</t>
  </si>
  <si>
    <t>Victor was one of the extremely well liked and characters of the wing suit base community..He always had a smile and would always be heard laughing around the exit points ...
His Accident in the world wingsuit league has been shown across the world on full view and from this video we have seen that
He had a good exit and started moving fast he then somehow after the 1st turn, he has set up for the 2nd gate in which he had slipped sideways flat and went up on his wingtip turning right and then lost speed and height and disappeared into the trees.
He will be missed by many of the Competitors, family and friends...
After this accident there are many talks about how the events should be focussed more on pilot safety instead of having a extreme line to fly.. As well as having rescue paramedics on standby and helicopter evacs as well...</t>
  </si>
  <si>
    <t>BFL222</t>
  </si>
  <si>
    <t>2013-11-07</t>
  </si>
  <si>
    <t>R bird (Wingsuit)</t>
  </si>
  <si>
    <t>Unsuitable exit site for new wingsuit</t>
  </si>
  <si>
    <t>The jumper flew a new, larger wingsuit (R-Bird) for the first time from Via Ferrata, which is explicitly described as 'Not a Beginners Wing suit Exit,' despite having planned to test the suit at a more forgiving site (Brento). He exited unstable and never controlled his flight, impacting terrain subterminal. Peers noted his exits in his previous suit were already too head-high with insufficient speed. The decision to fly an unfamiliar larger suit from an unsuitable exit, combined with the unstable exit itself, constitutes clear human error.</t>
  </si>
  <si>
    <t>Skydives 2000+ Base jumps 230 (100 Slider up/ 50 in Prodigy)
Reports are coming in that the jumper was experienced at slider down jumps roughly 130 and had 100 slider up jumps and half of these in a prodigy wing suit.
Andy planned to head to the valley and get current on his prodigy for a few days before meeting his friends for more jumps in Brento where he was going to start flying the R-Bird.
After a few jumps in his prodigy , Andy decided to put on the r-bird and do his first jump on this slightly larger suit at Via Ferrata (Not a Beginners Wing suit Exit).
He exits unstable and never controls his flight until impacting talus (Killing him instantly) this causes the canopy to release ...
Jumpers in the valley commented that most of his exits in his prodigy are too head high and he is not flying as quick as he should be when exiting instead falling straight down...
Jumpers are reminded that If you are going to perform a new Wingsuit then its best to travel to the appropriate site... Beginners wingsuit exits are well known, here is just a few ..... Kjerag (exit 6 Norway) , Brento Original Exit (Italy)
The sad thing about this was the jumper in question told everyone he is going to the valley to just fly his prodigy and that 5 days later will be travelling to Brento in Italy to test the R-bird......
He was an experienced skydiver of 20 years and a tandem master , He was known for being safe and cautious and one of BBC (Berlin Base Crews ) Nice guys..
He will be missed very much by his family, his long term girlfriend, German skydive community and Berlin base crew.
Know Your Limits....</t>
  </si>
  <si>
    <t>BFL223</t>
  </si>
  <si>
    <t>2013-11-23</t>
  </si>
  <si>
    <t>Late deployment from missed pull</t>
  </si>
  <si>
    <t>The jumper missed his first pull attempt and was unable to locate the pilot chute in time, resulting in impact at line stretch. The inability to locate and extract the pilot chute on the first attempt from a slider-down cliff object constitutes a human error in deployment execution, as the narrow altitude margins required a successful first pull attempt.</t>
  </si>
  <si>
    <t>The Reports are that he was 4th in a 8 way jumping from G-Spot. He had a good exit, maybe a little head high but still a good exit he then attempted to pull and missed his first attempt... He managed to find it straight after but it was too late and impacted at line stretch and killed instantly.
Jumper in this fatality was a much liked and good guy from the locals in Moab. Will be missed by his family and friends...</t>
  </si>
  <si>
    <t>BFL224</t>
  </si>
  <si>
    <t>2014-01-24</t>
  </si>
  <si>
    <t>Aura 1 (Wingsuit)</t>
  </si>
  <si>
    <t>The jumper died from impact during wingsuit proximity flight. The pilot chute was out of the BOC but the container remained closed, indicating a deployment attempt that failed to extract the canopy. However, the narrative does not provide sufficient information to determine why the deployment failed or why the jumper was in a position requiring an emergency pull. While proximity flying is noted and the jumper was progressively flying lower, the specific mechanism — whether pilot error (misjudging terrain, flying too slowly, PC/bridle entanglement from poor deployment technique), equipment malfunction (pin lock), or another cause — cannot be determined from the available information.</t>
  </si>
  <si>
    <t>['Emergency low pull', 'Proximity flying']</t>
  </si>
  <si>
    <t>Doctor David Stather, from Calgary, Canada died during a wingsuit proximity flight from a remote exit point in Northern Arizona on Friday 23rd January 2014.
The last time I saw Dave alive he was relaxed and smiling, sat in the sun on the exit point. His intention was to gear up and jump after watching our flight. From the landing area it is possible to see the exit point and most of the flight line. As we stashed our gear we repeatedly looked back up the wall expecting to see Dave standing on the edge in his red Aura and watch his exit. Somehow we missed it, 45 minutes later I was still waiting, somehow hoping that he had changed his mind and walked back to the cars. Not knowing what had happened but hoping he had not jumped we hiked the 3 hours back out. On Arrival back at the car it was obvious Dave was not there. It took us 30 minutes of studying the talus from above to locate what we believed was Daves red wingsuit.
He was in an inaccessible location 1500ft below the exit. We called 911 and requested search and rescue assistance.
Due to a lack of remaining daylight a rescue helicopter was not able to reach the area until early the following morning. When the aircraft arrived, it quickly located Daves body and confirmed he had died from massive injuries resulting from impacting rocks at high speed. Death is believed to have been instantaneous.
The pilot chute was out of the BOC but the pins and the container were still closed. The position of his body on the talus was consistent with him impacting the terrain about 15  20 seconds after exit, while in low level proximity flight. This was Daves third flight in the last three days, down the line he was flying. As always he started conservatively and got progressively lower. There had been a lot of discussion about the lines we were flying, the outs and the visual illusions created by the different sized rocks. The angle of the terrain is such that at almost any point on the line he was flying it should have been possible for him to gain altitude for a safe deployment.
Sitting around our camp fire the night before Daves death he could not have been happier. He talked about his life, his work and the days jumping with equal enthusiasm. It is my belief that he loved where he was in life.
Daves death will be a loss to everyone who knew him and everyone who now wont get the chance to meet him.
Fly free Dave, forever free.
Ralph G.</t>
  </si>
  <si>
    <t>BFL225</t>
  </si>
  <si>
    <t>2014-01-25</t>
  </si>
  <si>
    <t>Sale, Victoria, Australia</t>
  </si>
  <si>
    <t>Late deployment from altitude loss</t>
  </si>
  <si>
    <t>The jumper deployed his pilot chute far too late, resulting in canopy extraction but no inflation before ground impact. The narrative and witness account indicate he tracked for too long and deployed right before impact, with speculation of lost altitude awareness or object fixation. This represents a clear human error in deployment timing.</t>
  </si>
  <si>
    <t>201C1, 201C3</t>
  </si>
  <si>
    <t>Ash and I decided to a 2 way exit with him on the left and me on the right. His plan was to start a track and then roll over onto his back facing back up towards me, then roll back over to his belly and at this point he'd track left and I'd track right for deployment.
We left the tower at the same time straight into a track... his angle was slightly steeper than mine so he dropped below me. He rolled over onto his back and then back again onto his belly. At this stage he was still a bit too under me so I tracked hard away as I didn't want to be above him when he deployed.
I deployed. He continued to track for too long, deploying right before impact. He had lines and canopy out but no inflation. It took me a few minutes to get down and over to him. He was killed instantly.After we reviewed his footage we can only come up with the speculation that he has either lost altitude awareness or become fixated on an object as this is where he came to rest next to the only tree in the paddock.
I've jumped with Ash a bit over the Christmas period and we had just become good mates. He was a talented guy and Im so sad and sorry that we have lost another amazing human. My thoughts and condolences go out to Ash's family and close friends through this very tough time.</t>
  </si>
  <si>
    <t>BFL226</t>
  </si>
  <si>
    <t>2014-02-08</t>
  </si>
  <si>
    <t>Zion national park, United States of America</t>
  </si>
  <si>
    <t>Low pull in wingsuit flight</t>
  </si>
  <si>
    <t>The jumper lost altitude awareness during wingsuit flight and reached back to deploy far too late, impacting before the pilot chute was thrown. The narrative explicitly identifies altitude awareness loss and late extraction as factors, constituting human error in deployment timing.</t>
  </si>
  <si>
    <t>['Altitude awareness', 'Extracted Pilot Chute too late']</t>
  </si>
  <si>
    <t>Jumper and Amber were jumping in southern Utah. Amber was doing her first wingsuit base jump. She had a good exit and was stable but did not build up much foreword speed and was not out flying the tallus. She must have lost altitude awareness. She reached back to pull around 15 seconds in to the flight but was much too low and impacted before she threw her pilot chute. This is a big loss to everyone who knew Amber. Our thoughts go out to Amber's family and Jumper. Please try to stay safe out there everyone</t>
  </si>
  <si>
    <t>BFL227</t>
  </si>
  <si>
    <t>2014-03-13</t>
  </si>
  <si>
    <t>The narrative provides only a URL link and no substantive details about the circumstances of the fatality. The cause of death is impact in terminal freefall (no canopy deployment), but there is no information about what led to this outcome — no details on experience, conditions, equipment state, or sequence of events. There is insufficient information to determine whether human error or other causes were involved.</t>
  </si>
  <si>
    <t>http://www.ukclimbing.com/news/item.php?id=68802
If you have any information regarding this fatality please contact us</t>
  </si>
  <si>
    <t>BFL228</t>
  </si>
  <si>
    <t>2014-03-21</t>
  </si>
  <si>
    <t>Late pull after failed aerial</t>
  </si>
  <si>
    <t>The jumper attempted a double gainer from a slider-down cliff object. He completed the first rotation but stalled the second, losing altitude awareness. By the time he was belly-to-earth and initiated deployment, there was insufficient altitude remaining. The canopy was extracted but lines were still stowed at impact, confirming a low pull. The decision to attempt the aerial despite visible fear and hesitation, combined with failure to maintain altitude awareness and deploy in time, constitutes clear human error.</t>
  </si>
  <si>
    <t>201C1, 201C2, 201C3</t>
  </si>
  <si>
    <t>We spent the day at Mineral Bottom, had two great jumps from Mari's Gash, the wind picked up so we decided to pack, look for a different exit point and see if it dies out. He wanted me to jump Sweet Spot as I'm not an experienced jumper and it's massively overhung with a great landing area. We looked for a while but couldn't find it, we found Enterprise though and I decided that we should jump this instead. We sat there waiting for the wind to die, He didn't seem so conviced by it and say he was going for a walk, I guess he was worried about me and wanted to find Sweet Spot. While I was waiting with our friend Evgenii at the exit point we saw him on another fin, he was screaming that he found it. He came to get us and I walked, ran, hand in hand with him to the exit point... We were stoked, Sweet Spot is a Sweet Spot... He asked Evgenii to go first so I was not the first one to jump and he could be with me when I exit. He checked everything my gear and the wind and I went. He had planned a double gainer, as his friend Daniel Moore, who passed a few month ago, had done his first double from this exit point. He was scared, shaking. Evgenii and I waited a long time for him to jump, he kept going back and fourth, turning his camera on and off, screeming "fuck!" a few times. Finally, he jumped. He completed his first rotation but stalled the second, by the time he was back belly to earth he said "Oh shit!", pulled, I heard the loud sound of impact. The canopy was out but the lines still stowed.
People should learn from this and remember two very basic rules: If you don't feel it, don't do it, and whatever you are doing keep your altitude in mind, better pull on your back than too late.
He was most definitely the best human prototype, genuinely stoked about life and always ready to help anyone without excepting anything in return. He will be greatly missed by those who lives he touched.
Sarah Taz</t>
  </si>
  <si>
    <t>BFL229</t>
  </si>
  <si>
    <t>2014-03-30</t>
  </si>
  <si>
    <t>Failed to turn away from cliff</t>
  </si>
  <si>
    <t>The narrative explicitly states the canopy opened on-heading (facing Lauterbrunnen, parallel to the cliff) and the jumper did not turn the canopy away from the cliff. Flying parallel to a cliff without initiating a turn to gain separation is a clear failure to execute object avoidance, resulting in impact with the talus slope.</t>
  </si>
  <si>
    <t>Ricki did a 5-6 second freefall and opened the canopy facing the direction of Lauterbrunnen . The canopy opened straight (facing direction Lauterbrunnen). Afterwards she didn't turn the canopy and was flying parallel to the cliff. After a few more seconds she Impacted the tallus and slid down....!REGA Arrived 8-10 Minutes later with her, but they couldn't do anything for her.</t>
  </si>
  <si>
    <t>BFL230</t>
  </si>
  <si>
    <t>2014-05-24</t>
  </si>
  <si>
    <t>The jumper made two sequential errors during proximity wingsuit flight: turning approximately 100° instead of the planned 70°, which left him low, and then attempting a sharp right turn to still clear the ridge rather than deploying or aborting. The companion's account explicitly identifies these as the two decisions that consumed all available margin, resulting in terrain impact in terminal freefall.</t>
  </si>
  <si>
    <t>Account from the second jumper.
It was the second time that we did that jump that day. We knew the second part of the flight because there is another exit from which you can enter the same line. We did that lower jump about 20 times already.
The plan on the second jump was to connect these two jumps.
The second part should have looked like this: Fly underneath the exit of the lower jump and fly along the wall. Make a 70° turn to the left and fly over the ridge. (Its a ridge of about 120m length with trees on its left and right, above its a bit flatter and after the ridge it goes down into a canyon which is too steep as that you could fly into it)
The first part of the flight went as planned. So we flew underneath the exit along the wall. Now the turn. For unknown reason, he turned about 100° instead of only 70° to his left. Maybe he just wanted to make a bigger turn to get another angle towards the ridge. He was already low after that turn.
For another unknown reason he tried yet to get over the ridge. So he turned sharp right and lost even more altitude. I separated from him already after the left-hand turn as it wasnt exactly what we planned. I looked down and saw him doing the right-hand turn. He vanished behind the trees and hit the ridge with nothing out. He tried to flare out but he didnt make it for a few meters. The canopy popped out on the impact and he stopped in the little canyon.
What should we learn from this accident.We all say that we fly with range for errors. But how many errors in a row can you do? 1, 2, 3?
When Murphy's law hits you, you need more than just space for one error. In this case happened two things: 1. Turned too much.2. Still turned right to get over the ridge. He had space for the first decision. But not for the second.Look forward as camera flyer. I had more than one situation in which I was happy I didn't do the same as the pilot in front of me. Dont fly blind behind without having an idea of whats going on. If youre concerned about losing a good shot: Walk up and do it again.</t>
  </si>
  <si>
    <t>BFL231</t>
  </si>
  <si>
    <t>2014-06-01</t>
  </si>
  <si>
    <t>The jumper suffered a 180° off-heading opening with line twists and insufficient separation from the cliff, resulting in fatal object strike under canopy. With only 30 BASE jumps and 1 season of experience, jumping a slider-up cliff object indicates the jumper was at an early stage of progression where off-heading management and object separation skills may not have been adequately developed.</t>
  </si>
  <si>
    <t>['180 Offheading', 'Line twists', 'Not enough separation from object']</t>
  </si>
  <si>
    <t>Two jumpers were supposed to jump one after the other, from Bournillon cliff in Vercors (French Alps) everything went fine for the first but the second one never landed. First jumper went back to the top to look for him, did not find him went down and called rescue at 10:45am Sunday. Rescue teams looked for him all day without success.
https://www.francetvinfo.fr/…/isere-la-depouille-d-un-base-…
https://www.ledauphine.com/…/choranche-un-base-jumper-porte…
 http://www.charentelibre.fr/…/le-charentais-toujours-porte-…</t>
  </si>
  <si>
    <t>BFL232</t>
  </si>
  <si>
    <t>2014-07-17</t>
  </si>
  <si>
    <t>Aerial at night with equipment interference</t>
  </si>
  <si>
    <t>The jumper performed an aerial (gainer) from an antenna at night with inadequate lighting, resulting in either late pilot chute extraction or bridle/equipment entanglement leading to a total malfunction. Multiple human errors are identifiable: performing an aerial at night (greatly increasing disorientation and altitude awareness loss), jumping with a stash bag whose elastic strap could interfere with deployment, and choosing an awkward exit position that contributed to poor rotation. The domain reference explicitly identifies loss of altitude awareness and bridle entanglements as known risks of aerials, compounded here by darkness.</t>
  </si>
  <si>
    <t>201C3, 202P1, 204E</t>
  </si>
  <si>
    <t>He was going off alone at the top, had ground crew at the bottom, but nobody knows for sure what happened.
Zack was an experienced jumper, and had recently been to Malaysia, where he had made 40+ jumps, most with aerials. He was a confident but generally conservative jumper, had sound judgment, and was current.
His last jump at this site had been a gainer, but he been frustrated by some off-axis rotation on the jump and wanted to try it again. This evening, due to winds he likely exited from an area that makes the jumper bend down a little bit on exit. It appears that he either stalled or had a slow over-rotation, possibly from the awkward exit position. The pilot chute was extracted, but the pins were not pulled, suggesting either bridle wrap or late pull. Additionally, he had placed his stash bag on his back with the rig over top (big-wall style). This stash bag had an elastic adjusting strap in the middle that had ~6 inches of free slack when the bag was empty. The elastic line was pulled taut when he was found, and so he may have inadvertently pulled the line with his PC, delaying the extraction of his PC.
The site itself is a very dark area, and the ground lighting has not been recently replaced. I believe the moon was low on the horizon or already set, not offering a lot of light. Aerials can be disorienting on a sunny day, and with the low light of this site, it's possible that he lost orientation or lost altitude awareness during the rotation.
Zack was a very well-liked jumper, a great guy, and someone who I admired for his strength and perseverance. He'll be sorely missed.</t>
  </si>
  <si>
    <t>BFL233</t>
  </si>
  <si>
    <t>2014-08-01</t>
  </si>
  <si>
    <t>Off-heading and surge into cliff</t>
  </si>
  <si>
    <t>The jumper experienced a 180° off-heading opening on a slider-down cliff jump, corrected heading with rear risers, but upon releasing the riser the canopy surged forward into an underhung portion of the cliff. The forward surge upon riser release indicates the deep brake setting may not have been properly tuned — per the domain reference, a correctly tuned DBS should have the canopy flying as close to stall as possible, minimizing forward surge. This points to a human error pathway in equipment configuration or deployment/correction technique.</t>
  </si>
  <si>
    <t>The incident was basically an off heading opening resulting in a strike. The jumper was able to give rear riser input and correct heading, but when he released the riser the canopy dove forward (Away from the cliff) and surged him into an underhung portion of the rock below the opening area. He then slid the remainder (approx. 200 feet ) Of the distance to the ground .
First aid and CPR were rendered at the scene, but he was pronounced dead by emergency responders shortly thereafter (still at scene)</t>
  </si>
  <si>
    <t>BFL234</t>
  </si>
  <si>
    <t>2014-08-06</t>
  </si>
  <si>
    <t>Unstable exit caused wall impact</t>
  </si>
  <si>
    <t>The jumper exited unstable from a cliff and impacted the wall seconds after exiting, with insufficient forward separation. The unstable exit and failure to achieve adequate object separation represent human error in exit execution, directly causing the fatal wall strike.</t>
  </si>
  <si>
    <t>The jumper in question exited unstable and impacted the wall only a few seconds after exiting , killing him instantly...
Julien was a much loved person by many in the world he has a page here if you would like to say something..
https://www.facebook.com/pages/Memor...33643366925108</t>
  </si>
  <si>
    <t>BFL235</t>
  </si>
  <si>
    <t>Pyrenees, France</t>
  </si>
  <si>
    <t>Delayed deployment during wingsuit flight</t>
  </si>
  <si>
    <t>The jumper continued wingsuit flight despite progressively losing altitude and being low relative to terrain. He had 'plenty of time to open safely' but delayed deployment until approximately 20m above ground, resulting in a fatally low pull. This represents a human error in the decision to continue flying rather than deploying the canopy when the deteriorating situation was apparent.</t>
  </si>
  <si>
    <t>['Low level clouds', 'Medium winds', 'Sunny']</t>
  </si>
  <si>
    <t>Arnaud just arrived in southern France with his family to spend some vacations. He was excited and really motivated to jump with the locals.
The weather forecast for wednesday was good for pic du Midid'Ossau on the french side of the Pyrénées so we decided to go there. Arnaud hadplanned to use his phantom 2 and this was suited to the jump (proper exit,expected glide ratio on the line ok, a few backup landings on the way, it waseven possible to complete the line under canopy if needed). Arnaud had startedbase jumping in 2004 and was an experienced jumper. He was in shape (running often and some climbing) but it was a while since his last jump.
After a short night we started to hike at 5h15. We werethe first ones that day to reach the top at 9h15. We found the exit ratherquickly, we had a rest and we decided to jump because some clouds were startingto grow. We had some north-west wind (around 10 and 15 km/h at 2880m) but theoverall conditions were excellent.We started together (1,80m/80kgs/Phantom 2vs1,76m/64kgs/Vampire 4) and 10s later I was flying right above him but80mhigher. He looked quite low for me but I was not sure based on that kindof visual.After 30s we reached 50% of the line, the distance between uswas around 150m at that moment and he was a bit ahead (meaning good speed forthe P2).When we reached 75% of the line I saw him opening and halfa second later hitting some trees. I was thinking about opening as welland landing close to him but that part of the talus was not appropriate forlanding so I finished the flight and landed on the targeted field. Network wasnot available for my carrier so I went away to call the rescue team not knowing if he was ok, wounded or even worse.
He was found dead on the crash site by the rescueteam.Later on that day, I've been able to watch his footage. Rightafter the exit he was already low (Around 120m to the ground) and then he wasslowly and regularly loosing altitude. Based on the footage and the visual itwas obvious that he won't clear the end of the talus and he had plenty of timeto open safely. Unexpectedly he kept flying and going down instead of opening.He tried to open when he was around 20m from the ground.Maybe he didn't want to hike too much to get down, maybehe was not jumping regularly enough to realize he was in a bad situationright after the exit, maybe he wanted to enjoy the ride as long as he could,maybe he had some kind of brain lock, maybe a bit of all of this, his behaviorhere is almost inexplicable. He had plenty of time to evaluate his trajectoryand to open safely but he did not do it, he waited for the last moment to openbut it was too late.</t>
  </si>
  <si>
    <t>BFL236</t>
  </si>
  <si>
    <t>2014-08-11</t>
  </si>
  <si>
    <t>Jumped in excessive wind at night</t>
  </si>
  <si>
    <t>The jumper chose to jump in conditions that exceeded site safety limits - winds were 'beyond the measures they have in place for this site' and it was near nighttime (9pm). The narrative describes an unstable track, poor body position at deployment, line twists, and resulting cliff strike, but the decision to jump in conditions explicitly violating site rules constitutes clear human error.</t>
  </si>
  <si>
    <t>['180 Offheading', 'Line twists', 'Unstable exit']</t>
  </si>
  <si>
    <t>The jumper had arrived by herself for this base trip, She had previously 70 base jumps and this was her first jump of the trip (and last of her life unfortunately). She did a good exit , front flip, followed by poor unstable track, pulled having a bad body position , line twists , slow to react and cliff strike ! Died immediately
This jump happened late in the afternoon roughly 9pm and the winds were beyond the measures they have in place for this site...
The site rules are there for peoples protection please follow them and don't be in a rush to jump because it is getting dark....</t>
  </si>
  <si>
    <t>BFL237</t>
  </si>
  <si>
    <t>2014-08-16</t>
  </si>
  <si>
    <t>Loss of speed/glide during proximity flight</t>
  </si>
  <si>
    <t>The jumper was flying a technical wingsuit proximity line and experienced a loss of speed-glide, resulting in insufficient altitude/separation to clear terrain (the Zebrata/climbing wall). The panic pull just before reaching the terrain feature indicates the jumper recognized the situation too late. Flying a technical proximity line that resulted in inadequate clearance from terrain constitutes a human error pathway, as the jumper placed himself in a situation requiring performance that was not achieved.</t>
  </si>
  <si>
    <t>Abraham exited solo in his V4 with leg pouch PC and was flying a technical line. About 15/20 seconds later jumpers watching him from the exit point began swearing in shock and said he panic pulled just before reaching the Zebrata/climbing wall and had disappeared behind it.
He died on impact.
Abraham will be missed by many jumpers as he has been in the Base scene for the last few years always smiling and enjoying his time in the Mountains..</t>
  </si>
  <si>
    <t>BFL238</t>
  </si>
  <si>
    <t>2014-08-17</t>
  </si>
  <si>
    <t>Mt Granier, France</t>
  </si>
  <si>
    <t>The jumper failed to achieve adequate forward separation from the cliff during the exit/track and extracted the pilot chute too late, resulting in impact with a ledge 250-300m below the exit point during terminal freefall. Multiple witnesses and the narrative identify poor projection/tracking and delayed PC extraction as the contributing factors, both of which are human performance errors.</t>
  </si>
  <si>
    <t>The jumper in question
Had a Running exit off the Granier in slick, first impact was on the ledge which is 250-300m down.He pitched but way too late and impacted just when the canopy left the container.He died at the first impact. He Continued to fall and dive and impacted twice again before the canopy completely Opened but with a 180 and finished at the bottom of the cliff in amongst the scree on the talus.
More information sent in today...11/09/14
I was at the landing area and I saw the accident. I had jumped 30 min before and I was packing, good weather with perfect conditions in the face (450 m)Jump from the running exit, projection or track too poor and he likely impacted deadly the ledge 250/300 m below while trying to open (canopy out of the rig) two more impacts and the canopy opened off heading and kept facing the wall down to the talus.Weak track or projection (impact in the middle of the ledge) and too delayed PC extraction</t>
  </si>
  <si>
    <t>BFL239</t>
  </si>
  <si>
    <t>Wingsuit control loss during proximity flight</t>
  </si>
  <si>
    <t>The jumper was flying a proximity line with a newer wingsuit whose flight characteristics at highly aggressive angles differed from his previous suit, and he lacked sufficient experience with the new suit at these angles. During the flight, he exposed too much top surface to relative wind, then made an abrupt AoA correction that caused a high-speed stall and fatal tumble. This sequence reflects identifiable human errors in suit familiarity, line selection, and in-flight technique.</t>
  </si>
  <si>
    <t>Shaun was nearing the end of a three-month BASE tour in Europe. He was an experienced wingsuit BASE jumper flying Line 2 at Brevent, with several jumps from this exit the previous season, flying the same line and others.
This year, he was flying a new suit known to have flight characteristics that differ from his previous suit. One of the notable differences, when comparing the two suits, is how a pilot would fly a very steep line, such as those found at Brevent. Shaun was hyper-current this season, on his current suit; however, it was said that he did not have as much experience flying this particular suit at the highly aggressive angles required to fly the Brevent lines. While turning left above line 2, he began a hard dive to get down to the terrain. Shaun stopped his dive around 3-4 meters above the line, just before a slight right turn, where it appeared he exposed too much of the top surface of his wing to the relative wind, causing a downward force on his flying. To counter this, Shaun made an abrupt change in his angle of attack, which resulted in a high-speed stall, where he lost stability and tumbled to impact.</t>
  </si>
  <si>
    <t>BFL240</t>
  </si>
  <si>
    <t>2014-08-27</t>
  </si>
  <si>
    <t>Exit in hazardous conditions</t>
  </si>
  <si>
    <t>The jumper exited from a wet, muddy exit point that was still draining water, at a site described as lacking suitable handholds for wingsuit flyers. The jumper slipped on exit, struck positive cliff terrain immediately, tumbled, and never recovered. The decision to jump from a known-wet exit point in rain conditions, at a site unsuitable for wingsuit exits, constitutes human error in judgment.</t>
  </si>
  <si>
    <t>After many rainy days in the valley, everything was very wet and muddy. The exit point was still draining water at the time of the incident. Low ultimate does not have any hand holds suitable for wingsuit flyers.
The jumper in question appeared to slip on exit and immediately hit positive cliff.
This sent him into a tumble and he never recovered.</t>
  </si>
  <si>
    <t>BFL241</t>
  </si>
  <si>
    <t>2014-08-31</t>
  </si>
  <si>
    <t>Oslo, Norway</t>
  </si>
  <si>
    <t>The narrative confirms a PC in tow / PC-bridle entanglement as the cause of death, but provides no information about what caused the entanglement. The possible factors list mentions 'gear failure' alongside 'pilot chute entanglement,' but the narrative does not clarify whether this was due to a deployment technique error (weak toss, holding PC too long), equipment malfunction independent of human error, or some other cause. Without information on the jumper's experience, equipment condition, or deployment execution, there is insufficient basis to determine whether human error or a non-human cause produced the fatal PC in tow condition.</t>
  </si>
  <si>
    <t>The jumper in this accident jumped on the other side of the building where he would not get any extra altitude because of the hill he went in with pilot in tow.</t>
  </si>
  <si>
    <t>BFL242</t>
  </si>
  <si>
    <t>2014-09-02</t>
  </si>
  <si>
    <t>The jumper exited from a technical exit requiring clearing a ledge and achieving efficient flight. Despite a strong push, his trajectory did not match his push, resulting in a head-low, left-bank body position almost immediately after exit. His corrective action (dropping leg wing) stalled the suit, causing a flat spin and fatal impact with the ledge and talus below. The exit body position failure at a known technical exit constitutes a human error in execution.</t>
  </si>
  <si>
    <t>On the afternoon of Sept 2nd, a group of international wing suit pilots and friends hiked to the exit of Crois de Fer on the France/Swiss border. The exit overlooks the town of Triente and the town of Martigny in the distance. The exit provides a couple of obvious choices to jump from and each involves a technical start that requires clearing a ledge and getting to full flight efficiently in order to have a safe jump.
Several of the pilots had decided not to jump or were undecided as the remainder of us suited up. Rob Herron, Hartman Rector, Scotty Bob and I were geared up and standing just behind Nathan Jones and Alex Duncan, who were standing on independent exits and psyched to do another two way. Both Nate and Alex were very current, skilled, and had been flying together a lot over the previous two months.
After the count, they both exited with strong pushes, Alex, a very, very strong push. It was apparent there was a problem as Alex's trajectory didn't match his push and he was almost immediately in a "head low, left bank" body position. As Nate started flying, Alex dove head low and left toward the ledge. He dropped his leg wing aggressively to avoid the ledge but this, in a split second, flattened his body position out, stalling the suit and caused a clockwise flat spin. He impacted the ledge and then the talus below. He died instantly.
Alex Duncan was one of the best wing suit pilots in the world and was known for his humor, bold lines, fast starts and deep friendship. He lived with no regrets and inspired many. He will be missed.</t>
  </si>
  <si>
    <t>BFL243</t>
  </si>
  <si>
    <t>2014-09-07</t>
  </si>
  <si>
    <t>The jumper was proximity flying a line described as demanding good control that 'does not allow loss of flight,' and impacted terrain after losing speed/glide. Choosing to fly a line with zero margin for error and subsequently failing to maintain adequate flight performance constitutes human error in both decision-making and execution.</t>
  </si>
  <si>
    <t>He wanted to fly the left line (over the paraglider take off site) which demands good control and does not allow loss of flight. Impacted after crête de la Chalavreu.</t>
  </si>
  <si>
    <t>BFL244</t>
  </si>
  <si>
    <t>2014-09-13</t>
  </si>
  <si>
    <t>Montana, United States of America</t>
  </si>
  <si>
    <t>The jumper was alone and there were no witnesses. The narrative explicitly states that the circumstances at the exit are 'only speculation' and the proposed scenario of an exit problem leading to off-heading/object strike is described as 'total speculation.' While possible factors are listed (anabatic airflow, unstable exit), these are speculative rather than evidence-based. There is insufficient information to definitively identify a human error pathway or to establish a non-human cause.</t>
  </si>
  <si>
    <t>['Anabatic air flow', 'Unstable exit']</t>
  </si>
  <si>
    <t>Beau hiked up to the summit exit on Mt Siyeh, Glacier National Park in Montana. Conditions at the top of the mountain are only speculation as Beau was by himself and because of it's location and height, Siyeh is often effected variably. He hiked in the afternoon, designating a "turn around time" with his girlfriend and his parents, who were hiking to the landing area. When Beau didn't arrive, they hiked out to presumably meet him. He never arrived. Rescue was called the following day and Beau was discovered approximately 1000-1200' below the summit, on the lower slabs, wrapped up in is parachute with head and facial trauma. He was wearing a new tracking suit and I know this was his first jump on it. Beau was an accomplished tracker and although not current, was a hyper current BASE jumper, jumping technical objects often with skill and good judgement. The most likely scenario is that Beau had a problem with his exit and had an off heading/object strike. That is of course total speculation but is really the only scenario that makes sense based on the object, the height (4,100' overall), his intention to track it slider up and where he ended up coming to rest. Beau was a passionate jumper, an inspiring and caring person, wise for his years and a genuine and honest man. He was my good friend and will be missed dearly by everyone who had the luck to know him</t>
  </si>
  <si>
    <t>BFL245</t>
  </si>
  <si>
    <t>2014-09-14</t>
  </si>
  <si>
    <t>Mexico</t>
  </si>
  <si>
    <t>Vampire Race (Wingsuit)</t>
  </si>
  <si>
    <t>Wingsuit stall during proximity flight</t>
  </si>
  <si>
    <t>The narrative reports that the jumper appeared to stall his wingsuit approximately 600 meters before the entry to a crack during proximity flying and was unable to recover, resulting in impact in terminal freefall. Flying too slowly near terrain leading to a stall is a well-documented human error pattern in wingsuit BASE, where slow flight near stall depletes available lift and makes recovery impossible. The domain reference explicitly identifies slow-speed flight near terrain as a recognized fatal error mode.</t>
  </si>
  <si>
    <t>According to their observation it looks like he stalled his Wingsuit about 600 Meters before the entry to the crack and was not able to recover. As said, this is only information from non jumpers and could be inaccurate. Gabo was an experienced jumper who started Wingsuit base over 10 years ago.
If you have any credible information to add to this report please contact us .</t>
  </si>
  <si>
    <t>BFL246</t>
  </si>
  <si>
    <t>2014-09-20</t>
  </si>
  <si>
    <t>Chile</t>
  </si>
  <si>
    <t>Continued proximity line too long</t>
  </si>
  <si>
    <t>The jumper continued flying a proximity line toward a ledge despite losing altitude/glide margin, and by the time he recognized he would not clear it, attempts to fly away and deploy were too late. The narrative explicitly identifies the failure to abort at a reference point as the lesson learned, indicating a decision error in continuing the line beyond the point of safe recovery.</t>
  </si>
  <si>
    <t>To cut all speculations and rumors , i will write a Brief description of what happened.
I was on the load and made a 2-way with Ramon but didn't actually see the accident/impact (like anyone else).
Exit on this jump is not super difficult and either is the flight as well. You have to clear one ledge but you can always abort and fly away from it at the right time to gain altitude and have more time because it drops to one side. Unfortunately Ramon continued to fly and when he realized he will not make it over he tried to fly away but it was too late and he pulled but it was too late. He hit ground just after opening or during and died instantly. Found 2-3 min after by our friend which was watching jump. We called the rescue services which came really fast.
The hike, day and all was OK. There was no wind or anything else. Conditions was perfect. Ramon did this jump a few days before and flew in the same place much higher. He was current with his wingsuit.
Lesson to learn like on many similar accidents is to have a reference point where you abort your line or pull. If you go too low just pull or fly away and come back to repeat the jump.
It's not easy to write this and please respect Ramon.</t>
  </si>
  <si>
    <t>BFL247</t>
  </si>
  <si>
    <t>2014-09-23</t>
  </si>
  <si>
    <t>Valais, Switzerland</t>
  </si>
  <si>
    <t>Colugo (Wingsuit)</t>
  </si>
  <si>
    <t>Misjudged terrain proximity line</t>
  </si>
  <si>
    <t>The jumper attempted to fly a left line too early, misjudging the start arc which was longer than anticipated. This resulted in loss of speed/glide during proximity flying and high-speed terrain impact. The decision to commit to a terrain-proximity line that exceeded the jumper's available performance margin constitutes a human error in flight planning and execution.</t>
  </si>
  <si>
    <t>He died after high speed impact. he was trying to fly left line too early start was longer than he thought.</t>
  </si>
  <si>
    <t>BFL248</t>
  </si>
  <si>
    <t>2014-10-03</t>
  </si>
  <si>
    <t>Insufficient exit push into terrain</t>
  </si>
  <si>
    <t>The jumper failed to execute a sufficiently strong exit push from an exit point that commanded a hard push, as demonstrated by rock-throw timing and the first jumper's technique. This weak push resulted in insufficient separation from the cliff, causing the jumper to strike a ledge approximately 100 meters below the exit at around 4.5 seconds. The decision to jump was influenced by watching another jumper succeed rather than independently assessing his own ability to execute the required exit.</t>
  </si>
  <si>
    <t>201C1, 201C2</t>
  </si>
  <si>
    <t>On Friday, October 3, Donald and four of his friends went on a trip to Les Diablerets in western Switzerland near the French border to jump a newer exit, close to the gondola. Once they came to the top, there was a bit of a down climb from the observation deck to the actual exit point. One of the guys wasnt feeling great to begin with and took the gondola down and headed back to the landing area. Three of them climbed down and were throwing rocks for a while and got 4,5 seconds on a toss to 7 and even 8 seconds with a solid throw. Wind conditions were ideal. After 30 minutes or so of checking it out, one of the guys jumped. Donald watched him and felt more confident about it. Two of the guys were working on a project, so they came back up to the restaurant and were later going to go to the other known exit. They told him if he didn't feel like jumping this one, he could just join them at the other exit.
The two guys spent about 40 min in the restaurant, and as Don hadnt come back, they called the guys on the ground to ask if he was down. They said no one else had come down so one of the guys went back to the observation deck to check. Donald was standing on the exit point, geared up and waiting for the clouds to open up. He yelled down to him multiple times to try to get his attention. After about 7-8 times Don notices, and says he can't hear him because of the music. He continued to yell to him to try to tell him to turn it off, and he repeats that he cant hear him. About 20 seconds later the sky opens up and he walks to the edge and jumps. After 4-5 seconds the guy on the observation deck hears the first impact and then the suit flapping until he comes to rest a few hundred meters below.
this exit commanded a strong push as was evident with the rock throw. The first jumper pushed hard but Donald did not. As Donald is 90kg he just did not take off fast enough, and with the lack of push he did not make it past the first ledge at 100 meters (4.5 seconds).He said he didnt really like it and instead of coming up with the other guys he probably decided to jump because the first guy did and made it. Donald probably got the confidence to jump by watching the first guy get off, but as they never got to communicate with him due to the music, he could not ask what his reasoning was and how he felt about it..
Always know your own limits and compare other peoples performance only if you intimately know them.
Never judge an exit by other peoples performance as it does not relate to what you will do!
Donald was relatively experienced and had the opportunity to turn around with relative ease, but chose not to because of what he saw and felt. Keep the facts real and dont let small variables convice you to go beyond your own comfort zone!</t>
  </si>
  <si>
    <t>BFL249</t>
  </si>
  <si>
    <t>2014-12-08</t>
  </si>
  <si>
    <t>Late deployment during proximity flight</t>
  </si>
  <si>
    <t>The jumper was proximity flying in a tracking suit along a known line and failed to deploy with sufficient altitude. The narrative explicitly states he extracted the pilot chute too late and there was not sufficient altitude for deployment, indicating a human error in deployment timing and/or flight path management.</t>
  </si>
  <si>
    <t>['Extracted Pilot Chute too late', 'Proximity flying']</t>
  </si>
  <si>
    <t>Tracking left line to helicopter field, a line which he had done before.
He realized he was low and turned slightly right to pass the sloping ridge with more height but he was still too close to the terrain, he pitched but there was not sufficient altitude for deployment.</t>
  </si>
  <si>
    <t>BFL250</t>
  </si>
  <si>
    <t>2015-01-14</t>
  </si>
  <si>
    <t>Michigan, United States of America</t>
  </si>
  <si>
    <t>The narrative is absent ('None'), and the structured fields provide only minimal details: wingsuit BASE from an antenna with snow conditions and a possible factor of 'extracted pilot chute too late' leading to a low pull. Without a narrative or supporting detail, there is insufficient information to deduce a clear human error pathway or to confirm a non-human cause. The 'possible factors' field alone is not a confirmed finding.</t>
  </si>
  <si>
    <t>BFL251</t>
  </si>
  <si>
    <t>2015-02-02</t>
  </si>
  <si>
    <t>Static Line Misrigging</t>
  </si>
  <si>
    <t>The jumper rigged his static line system using degraded break cord, potentially compromised by tearing rather than cutting, with attachment points far toward the end of the bridle increasing dynamic forces, and without a pilot chute as backup. The primary static line knot slipped free and the secondary break cord broke prematurely, resulting in the canopy not reaching full line stretch. These rigging decisions and equipment choices constitute human errors in setup and configuration.</t>
  </si>
  <si>
    <t>Channing and his jumping partner had been very active lately, exploring many new options in the local area. That morning they opened an 180ft cliff with a long canopy flight in rolling green hills. In the afternoon, they elected to scout another exit in the same range. The cliff was 140 ft above a steep talus with a large meadow at the bottom. Channing went first. He chose to static line without a pilot chute for backup. Using a piece of spectra and a rock as an anchor, he rigged one piece of brake-chord to a loop tied in his bridal, and a backup piece of brake-chord to the pc attachment at the end of the bridal. Upon exit, his container was opened, but his canopy was not brought to full line-stretch. Local search and rescue was contacted immediately, while myself and two other jumpers made our way to the sight. Channing's partner made his way down, and sent us a gps waypoint of their location. All efforts to retrieve him went well, and we had everyone off the mountain within a few hours. An inspection of his gear shed some light on the events that unfolded. One length of break-cord was strung through a loop tied ~1 ft. from the end of his bridal. No knot was present suggesting that the knot he tied may have slipped free. (note: there was a 30% nick in the break-cord about 1/2 inch from the end.) Tied to the end of his bridal was a second length of break-cord. We believe that he used two shorter pieces tied together to make one length. He then tied that to the spectra anchor, and then again to his bridal. We believe this cord broke right at the edge of the intermediary knot between the anchor and the bridal loop.
The reason the primary static line knot may have slipped free remains a mystery. As to why the secondary static line broke prematurely, several factors may have contributed: 1. The condition of the brake-cord appeared old and degraded. 2. It was reported by his partner that Channing broke his break-cord apart, rather than cutting it. This may have compromised the integrity of the break-cord prior to its use. 3. Both his primary and secondary static line setups were far towards the end of his bridal, potentially causing higher dynamic forces when loaded. 4. The direction of force applied to the cord as it entered the intermediary knot between the spectra and bridal may have reduced the tensile strength of his break-cord. Although all his lines were removed from the tail-pocket when he came to rest, his canopy was found with the tailgate still intact. Had Channing used a pilot chute as a last line of defense, he may have survived that day. Incidents like this highlight the importance of using a pilot chute when static lining and sticking to tested and trusted methods of rigging. It is with great sorrow that I report this. Channing was a good friend and coworker. His smile was infectious and his sense of humor unmatched.</t>
  </si>
  <si>
    <t>BFL252</t>
  </si>
  <si>
    <t>2015-03-09</t>
  </si>
  <si>
    <t>Misrigged bridle/container lock</t>
  </si>
  <si>
    <t>The jumper experienced a closed-container impact caused by a container lock (pin lock malfunction). Multiple human error factors are identifiable: the jumper constructed his own bridle with a floating pin design, the closing loop was found large enough to admit the pin eye (indicating improper loop sizing or rigging), packing was rushed, and no gear check was performed prior to exit. The domain reference identifies floating pin bridles as having known fatal malfunction tendencies, homemade equipment modification as dangerous, and gear check omission as a failure to catch existing problems.</t>
  </si>
  <si>
    <t>201C2, 202P</t>
  </si>
  <si>
    <t>Bryan Turner was killed in a BASE jumping accident on March 9, 2015 at approximately noon.Bryan was jumping from the regular exit point of the Perrine Bridge over the Snake RiverCanyon in Twin Falls, Idaho, USA. He experienced a closed container impact in deep water. Hewas unconscious from impact onward, but was breathing upon initial recovery. His breathingstopped after recovery onto dry ground, and CPR was initiated by jumpers on the sceneapproximately 5 minutes after impact. Professional rescuers arrived via helicopter shortlythereafter and Bryan was transported to St Lukes Magic Valley Medical Center. He waspronounced dead by a physician in the Emergency Department around 1:30pm.
Bryan took a short delay (approximately 1.5 seconds) with a closed container and the pilot chute(PC) stowed in the bottom of container (BOC) pouch.Bryans PC throw was normal and the pilot chute inflated as expected, achieving full inflationand bridle extension.The PC exerted appropriate pull force, as demonstrated by the bridle clearing the channel on thebottom flap of the container (clearly visible on the video).The bottom pin remained in the closing loop until impact at approximately 5.25 seconds. Duringthe freefall, Bryan was in various body positions, beginning slightly head high, then rotatinghead low, and finally rolling onto his left side, which was his body position at impact. The bridlewas pulled in various directions by the full force of the PC. In addition, Bryan managed to grasphis bridle in his hand for approximately .75 seconds near the end of the freefall, but was unableto manually extract the bottom pin.On gear inspection, the top closing loop was found intact, and the bottom loop was foundbroken, which almost certainly indicates that the bottom pin was still in the loop at impact, butthe top pin had cleared the top loop.The cause of the container lock cannot be determined with complete reliability. Variousmalfunction modes have been discovered on another container similarly configured, and aredetailed in a separate document.
Weather:The weather at the time of the accident was mild, with temperatures around 60 degrees (F) andvery light winds. Wind at exit was approximately 3-4 miles per hour in the tailwind direction.Winds at landing were negligible.
Equipment:Container: HeliumSize: He-5Serial Number: 1373Date of Manufacture: September 2011Manufacturer: Morpheus Technologies, Zephyrhills, Florida, USACanopy: Troll MDVSize: 265Serial Number: 39380304Date of Manufacture: March 2004Manufacturer: Atair, Skofja Loka, SloveniaPilot Chute: Zero Porosity A/V (apex vent)Size: 42Date of Manufacture: Approximately 2013Manufacturer: Asylum Designs, Auburn, California, USABridle: 2 pinTop pin fixed, bottom pin floatingThe bridle was constructed by Bryan Turner (the jumper) sometime in the summer of 2014.Closing Loops:The intact closing loop on this rig was found to be large enough to admit the eye of the pin onthe bridle.
Other factors:Bryan packed this rig at Centennial Park (at the bottom of the canyon). He was slightly rushedto finish his pack job, because the other jumpers there had finished packing and were returning tothe bridge and he wanted to ride in their van back to the top.Bryan did not receive a gear check from any other jumper prior to exit.This report was compiled by Tom Aiello from video, jumper interviews and gear inspectionimmediately following the accident.</t>
  </si>
  <si>
    <t>BFL253</t>
  </si>
  <si>
    <t>2015-05-04</t>
  </si>
  <si>
    <t>The jumper extracted the pilot chute too late, resulting in impact at line stretch. The narrative and possible factors explicitly identify altitude awareness failure and late PC extraction as contributing to the fatal low pull.</t>
  </si>
  <si>
    <t>The jumper in this fatality pulled low and impacted at line stretch.</t>
  </si>
  <si>
    <t>BFL254</t>
  </si>
  <si>
    <t>2015-05-07</t>
  </si>
  <si>
    <t>Late separation and low deployment</t>
  </si>
  <si>
    <t>The jumper performed a burning parachute cutaway stunt and separated from the burning parachute too low, resulting in insufficient altitude for his normal BASE canopy to inflate before impact. The late separation represents a human error in timing/execution of the deployment sequence during a self-planned high-risk maneuver.</t>
  </si>
  <si>
    <t>Jim was attempting a burning parachute cutaway jump.
He planned to jump with a parachute that had been lit on fire, separate from the burning parachute, and deploy a his normal BASE canopy in freefall. Jim exited the bridge with the burning parachute, according to plan.
He separated from the burning parachute too low, and although he deployed his normal parachute normally, there was insufficient altitude for the canopy to inflate prior to impact with the water below the bridge.
Jims container opened and his canopy achieved line stretch, but with insufficient inflation his descent rate at impact was not survivable. Jim was retrieved by other jumpers to the pick up boat, but was not breathing and had no pulse on retrieval. His body was transported by boat to Centennial Waterfront Park, and he was declared dead there and his remains transferred to the Twin Falls County Coroners office</t>
  </si>
  <si>
    <t>BFL255</t>
  </si>
  <si>
    <t>2015-05-14</t>
  </si>
  <si>
    <t>The narrative identifies an unstable (head-low) exit and late pilot chute extraction as contributing factors. The jumper deployed too late to achieve a functioning canopy before impact, resulting in death from a low pull. The witness did not hear a canopy opening, and the jumper was found wrapped in his canopy 60 meters from the cliff base, consistent with deployment at insufficient altitude.</t>
  </si>
  <si>
    <t>Information coming from his friend who was on exit :Wind was about 5 mph from arco, don't know which cardinal direction that is. There were some clouds at the exit, but not very thick. There were always some holes in the clouds, so everybody waited for a hole in the clouds. My friend also waited for a hole, but a second after his exit the hole closed immediately, so I didn't see him. He was a little head low. I didn't hear his canopy opening. So I was a little worried, but thought it is everything alright and I didn't see anything through the clouds.
A short time later a rescue party was called in after he was not found at the landing area
He was found wrapped in his canopy 60 metres from the base of cliff..</t>
  </si>
  <si>
    <t>BFL256</t>
  </si>
  <si>
    <t>2015-05-16</t>
  </si>
  <si>
    <t>Both jumpers died from impact during wingsuit proximity flight through a terrain feature ('the notch') that required near-perfect execution with minimal margin. The decision to fly a line where clearing the ridge by only ~200ft in the best case constitutes a human error in flight planning and execution. Graham made an unexplained hard turn into the right side of the notch and impacted; Dean likely impacted a tree on the downhill side, suggesting insufficient clearance through the notch.</t>
  </si>
  <si>
    <t>101D, 103II</t>
  </si>
  <si>
    <t>Coming from a jumper who was closet to both jumpers in this double fatality:
There words are my own and I do not give permission to use them in any other context.
Dean and Graham jumped from Taft point just after sunset. The exit there is not very technically difficult and was opened by myself, dean, and stanley several years earlier. They chose to fly a line through what had been nicknamed "the notch". This location is not particularly small, but does require an exit and flight that very few people in the world are capable off. If you have a perfect exit and perfect glide, you will pass over the ridge at around 200ft. If you look at the notch from exit, it looks absolutely impossible, and we used to joke that we would know wingsuits are ridiculous when we can fly over that. Dean had flown through it twice previously, Graham several more than that. I had just had a conversation with dean last week that I thought it was a bad idea and you gained nothing really in the flight by taking that line. He argued that you didnt have to decide until about 15 second if you had to stay committed to the line, and he would only do it if he felt he was flying perfectly. The only proximity involved in this line was however high you could cross the ridge. After you pass through the notch the terrain drops off a cliff.
Deans gf was on exit taking photos. Dean exited first with graham a second or two later. Graham passed dean early in the flight and was setting up on the left side. Graham made a sudden hard right towards the notch for unknown reasons. He passed in front of dean and slid into the right side of the notch where he impacted. Dean made it through the lower portion of the notch to the downhill side, but likely impacted a tree.
Deans gf did not see the impact, but thought they looked lower than normal flying that line. She thought she heard the sound of a parachute opening and rockfall. When she didnt hear from them in 10 minutes she called me concerned that something was wrong. Dean always texted her even before he stashed gear. After 2 hours of no word, yosar was called.
Its unclear if graham made the turn intentionally, because he thought he could not clear the upper ridge, to set himself up for a line through the notch, or because of some unknown weather condition. It is impossible to know if dean was burbled, or was just very low in the notch already. In the best case scenario, this is still an extremely challenging flight. Graham was hyper current and had just returned from a trip opening many exit points in moab including wingsuiting dragons nest. Dean was very current in the valley as well.
I will keep my personal thoughts and memories of these two private, but I appreciate those who have reached out. They were two unbelievably talented wingsuit pilots, most know deans accomplishments, and many would soon know about grahams. It just makes me angry that I had told them both that I thought that line wasnt worth it. It was the new standard of being an alpha male in the valley though. Like moths to a flame.</t>
  </si>
  <si>
    <t>BFL257</t>
  </si>
  <si>
    <t>Both jumpers chose to fly a wingsuit line through 'the notch,' a terrain feature requiring near-perfect exit and glide with approximately 200ft of clearance over a ridge. The narrative describes this as an extremely challenging flight that 'very few people in the world are capable of,' and a fellow jumper had warned them the line 'wasn't worth it.' Graham made an unexplained hard turn toward the notch and impacted the right side; Dean made it through the lower portion but likely impacted a tree, indicating insufficient altitude/glide. The decision to fly this high-risk proximity line with minimal margin constitutes human error.</t>
  </si>
  <si>
    <t>['Burble from other jumper', 'Loss of speed-glide', 'Proximity flying']</t>
  </si>
  <si>
    <t>BFL258</t>
  </si>
  <si>
    <t>2015-05-28</t>
  </si>
  <si>
    <t>Ingushetia, Russian Federation</t>
  </si>
  <si>
    <t>The narrative reports a wingsuit proximity flight ending in terrain impact with no parachute deployment, but critical details are missing: the jumper's experience level, the specific flight line, what caused the loss of flight performance, and the camera (which would have contained evidence) was lost on impact. While 'Loss of speed-glide' and 'Proximity flying' are listed as possible factors, there is insufficient information to determine whether this resulted from a human error (such as flying too slowly, poor line choice, or inadequate experience) versus an unforeseeable event, as the evidentiary basis for any specific causal mechanism is absent.</t>
  </si>
  <si>
    <t>we jumped from Miat loam together as a 2-way. I jumped first after landing I didn't see him and called for a helicopter. we found him on the slope around the middle from the starting point to the landing site. the cause of death was collision with the earth. the parachute was not applied. His camera has been missing since impact</t>
  </si>
  <si>
    <t>BFL259</t>
  </si>
  <si>
    <t>2015-06-04</t>
  </si>
  <si>
    <t>Loss of speed and failed deployment</t>
  </si>
  <si>
    <t>The jumper flew a wingsuit he had not used in over a year, flew too slowly (loss of speed-glide), went off route, and was unable to successfully deploy his parachute until it was too late, impacting at line stretch. The decision to fly an uncurrent wingsuit and the resulting slow flight, off-route deviation, and failed pull attempts constitute identifiable human errors.</t>
  </si>
  <si>
    <t>The jumper in this fatality was current on his Aura but on this day he decided to Fly his old X2 wingsuit, without 1 year flying it. He had a stable exit , but he was a little bit slow. He went slightly off route, then when he realized he wouldnt be able to keep on he tried to pull twice without succeeding, then he went to the third pull finally pulling but without enough height He impacted at Line stretch..
He will be strongly missed by the tight Brazilian crew</t>
  </si>
  <si>
    <t>BFL260</t>
  </si>
  <si>
    <t>2015-06-07</t>
  </si>
  <si>
    <t>Alberta, Canada</t>
  </si>
  <si>
    <t>Ghost (Wingsuit)</t>
  </si>
  <si>
    <t>Insufficient experience, loss of speed-glide</t>
  </si>
  <si>
    <t>The jumper was on only his second wingsuit BASE flight, far below the accepted minimum of 100 regular BASE jumps and 100 wingsuit skydives before attempting wingsuit BASE. He flew too slowly/head-high after exit, never achieved adequate performance from his suit, maintained minimal separation from terrain throughout the flight, and was unable to deploy his pilot chute (found still in BOC after impact). This represents a clear progression violation and inadequate skill for the task, constituting human error.</t>
  </si>
  <si>
    <t>Comments from jumper on exit with Him...
Gabe arrived late afternoon packed and met us after we had made 2 fights with the afternoon load being poor winds. He opted to camp with us for the evening and hike in the morning. We spent the evening listening to stories from Gabe and his grand plans for the summerhe was excited about life, his kids, BASE, and his plans for the summer. We started hiking at 7 am and Gabe was STOKED about the jump. We geared up and neither of the other jumpers on the load checked his gear prior to exit (We did review on video and it looked good). The first Jumper exited and had a great flight, Gabe and I jumped next, he left first and I followed 1 second later. His exit looked good with him ending up a little head high. The following is opinion from video of my flight with Gabe and the other jumper watching the entire flight from the ground following his flight. After exit he really didnt start flying his suit until 100ft over the trees at the end of the talus and the suit was not performing well, this was the start of a 30 sec flight maintaining this distance for the remainder of the flight, with not enough separation we assume he had a problem reaching his BOC.
Ramrod impacted the way he lived his life .FULL SPEED..NOTHING OUT.. We were the first to reach Gabe and found his Pilot chute was still inside the BOC after impact.Ramrod was a legend around here and was well known around the world anyone that knew him will feel this for a long long time.
Gabe was in a Ghost WS with an Apex Summit container and a Blackjack. It was his second BASE WS fight. (the first was from the same exit). The jump on a V5 yields a 55 sec flight with a 500ft deployment.Gabe WAS the fucking guy!!! I miss him already</t>
  </si>
  <si>
    <t>BFL261</t>
  </si>
  <si>
    <t>2015-07-03</t>
  </si>
  <si>
    <t>Colombia</t>
  </si>
  <si>
    <t>The narrative provides only a link to an external article and states 'more details to come after investigation.' The possible factors listed (crosswinds on exit, not enough forward separation on exit) suggest potential human error pathways (decision to jump in crosswind conditions, poor exit technique), but the narrative lacks sufficient detail to confirm whether the crosswinds were foreseeable and the jumper chose to jump anyway (decision error), whether the exit technique was flawed (skill-based error), or whether conditions were unforeseeable (other cause). The cause of death—subterminal impact near exit—indicates a catastrophic failure in the exit/flight phase but without details about the jumper's experience, the specific conditions, or the sequence of events, a well-supported classification cannot be made.</t>
  </si>
  <si>
    <t>['Crosswinds on exit', 'Not enough forward seperation on exit']</t>
  </si>
  <si>
    <t>http://www.telegraph.co.uk/news/worl...itzerland.html
More details to come after Investigation</t>
  </si>
  <si>
    <t>BFL262</t>
  </si>
  <si>
    <t>2015-07-04</t>
  </si>
  <si>
    <t>The narrative provides only minimal details: a wingsuit BASE fatality from terminal freefall impact with possible factors listed as loss of speed-glide and proximity flying. However, there is no detailed accident narrative, no experience data, no weather information, and the report explicitly states 'more details to come after investigation.' There is insufficient information to determine whether human error or other causes led to the fatal outcome.</t>
  </si>
  <si>
    <t>https://www.vrs-asa.ch/f/association/news-detail/juerg-liniger-avis-de-deces.html
More details to come after Investigation</t>
  </si>
  <si>
    <t>BFL263</t>
  </si>
  <si>
    <t>2015-07-10</t>
  </si>
  <si>
    <t>Uri, Switzerland</t>
  </si>
  <si>
    <t>The jumper impacted terrain during a wingsuit proximity flight with nothing deployed, approximately 2/3 through the flight path. The narrative identifies 'Loss of speed-glide' and proximity flying as possible factors, and notes the jumper did not have many skydives or BASE jumps in this suit. Per the domain reference, insufficient experience in a specific wingsuit, flying proximity lines without adequate suit mastery, and loss of speed/available lift near terrain constitute human error pathways in wingsuit BASE flying.</t>
  </si>
  <si>
    <t>These details are coming from someone who was on the load and is in fact now deceased.
Damian was jumping an Aura , the conditions were perfect and Damian was in his usual upbeat loving life mood.This was his 3rd or 4th time jumping here.Damian jumped second with a good exit and was seen flying around the first corner in fine form. His body was found approx 2/3 through the normal flight with nothing out.We have no video and see no point in speculation.
More information is that Damian did not have many skydives or base jumps from this suit.
http://www.lematin.ch/faits-divers/a...story/18003835</t>
  </si>
  <si>
    <t>BFL264</t>
  </si>
  <si>
    <t>2015-07-21</t>
  </si>
  <si>
    <t>Israel</t>
  </si>
  <si>
    <t>PC Entanglement During Deployment</t>
  </si>
  <si>
    <t>The narrative describes a pilot chute entanglement resulting in PC in tow, which is a known malfunction mode in wingsuit BASE. The domain reference identifies PC/bridle entanglement as caused by improperly deployed PC (weak toss, holding PC too long) or heavy PC design, and emphasizes that the PC must be deployed into clean air with clear intent. The deployment failure during extraction from the BOC pouch indicates a human error in the deployment process.</t>
  </si>
  <si>
    <t>Jumper in this Fatality had a normal flight, Whilst extracting Pc from pouch the pilot chute had entangled and did not start the sequence of bridle stretch to extraction of canopy Jumper tried 3 times to extract canopy by hand but impacted ground trying.</t>
  </si>
  <si>
    <t>BFL265</t>
  </si>
  <si>
    <t>Erzincan Province, Turkey</t>
  </si>
  <si>
    <t>Aerials with wet gear and bridle entanglement</t>
  </si>
  <si>
    <t>The jumper performed 3 backflips (aerials) before deploying, which is a known risk factor for bridle entanglement with limbs. The bridle entangled with his foot during deployment, resulting in a horseshoe malfunction and fatal impact. Additionally, the jumper had previously landed in the river and was jumping wet gear, which the domain reference explicitly states should never be done ('Never jump wet equipment'). Performing aerials with wet equipment that could delay PC inflation represents identifiable human errors contributing to the fatal outcome.</t>
  </si>
  <si>
    <t>Cable car jump over river. Ultralight OSP 240 slider up with a 36 PC. Ian exited facing the cable car and completed 3 backflips before deploying at about 4-5 seconds. Upon deploying the bridle entangled with his foot. He turned on his back to clear the entanglement. This put him in a leg high, head low body position. At some point during his attempts, the pins popped and the canopy came out. As the PC continued to pull up wards, the bridle attachment point was pulled flush against his leg, turning the canopy upside down. This horse shoe configuartion prevented the canopy from inflating. He impacted just a few feet from the water still entangled and tumbled into the river. It is noteworthy that prior to this jump, Ian had landed in the river and gotten his gear wet. This extra weight and small PC may have contributed to the incident in two ways. The entanglement may have been the result of an over rotation that resulted from a delayed PC inflation due to it being wet. Further, the extra weight of the parachute due to it being wet, coupled with a relatively small PC for a 4ish second delay might have contributed to the entanglement not clearing in time.</t>
  </si>
  <si>
    <t>BFL266</t>
  </si>
  <si>
    <t>2015-07-24</t>
  </si>
  <si>
    <t>Rio de Janiero, Brazil</t>
  </si>
  <si>
    <t>Wingsuit impact near exit</t>
  </si>
  <si>
    <t>The jumper chose to fly a wingsuit from a new exit with a 'considerably short' rock drop and impacted the terrain seconds after exiting. Selecting an exit with insufficient vertical relief for wingsuit flight represents a human error in site/exit evaluation. The outcome was a subterminal impact near the exit point, indicating the object did not provide adequate altitude for the wingsuit start arc.</t>
  </si>
  <si>
    <t>Jumper in Question was jumping a new exit behind the normal exit on the mountainside of Gavea, The rock drop was considerably short.
He impacted Some secs after exiting</t>
  </si>
  <si>
    <t>BFL267</t>
  </si>
  <si>
    <t>2015-08-22</t>
  </si>
  <si>
    <t>The jumper died from impact in terminal freefall while flying a wingsuit proximity line ('the Barn Line') he had not flown before. The narrative identifies 'Loss of speed-glide' and proximity flying as possible factors, indicating the jumper failed to maintain adequate speed/glide margin while flying close to terrain on an unfamiliar line. Flying an unfamiliar proximity line without confirmed in-depth research of its requirements, combined with the loss of speed-glide leading to terrain impact, constitutes a human error pathway.</t>
  </si>
  <si>
    <t>Magnus was an experienced jumper with more than 400 Base jumps and 10 years in the sport. He was well known for making good decisions. He was a natural leader and mentor amongst friends, therefore many jumpers followed his judgement calls. Magnus had been in Walenstadt on privious trips and flown the Crack several times. On this trip, Magnus chose to travel alone. The evening before he spoke with friends and told that he had flown above the Trench Line late in the afternoon, doing reconnaissance at an height he had never done before. He was stoked! This was probably one of the reasons why he chose to fly the Barn Line the next day. He had previously mentioned that he wanted to try this line, but it is unclear if he had done any in depth research of what was required to fly this line.Magnus was with another jumper just before the exit. They started to talk and it became apparent that they both where going to fly the Barn Line. Hence, they decided that Magnus would follow the other jumper since he had not flown this line before. The other jumper saw later through his rear facing camera that Magnus went to exit but stopped and never followed. This behaviour was not uncommon for Magnus, since he normally where focused on doing a perfect exit with the Aura. After a brief few minutes the jumper on the ground watched a rescue helicopter land up around the barn area. Bike riders had called in stating they had found a jumper deceased in the vicinity of the barn area.Everyone who crossed his path will remember him for being very kind, including and generous. RIP</t>
  </si>
  <si>
    <t>BFL268</t>
  </si>
  <si>
    <t>2015-08-27</t>
  </si>
  <si>
    <t>Cruise (One Piece Tracking Suit)</t>
  </si>
  <si>
    <t>The narrative states only that the jumper 'impacted ledge trying to out track,' resulting in terminal freefall impact. This provides no information about why the jumper was unable to clear the ledge — whether it was a decision error (choosing a line requiring mandatory perfection), a skill-based error (poor tracking technique), an environmental factor (unexpected wind conditions), or something else. The jumper had substantial experience (600 BASE jumps, 6950 skydives), and proximity flying near terrain is an inherent aspect of terminal cliff jumping with tracking suits. Without details on the specific line chosen, terrain geometry, conditions encountered during flight, or what went wrong with the track, there is insufficient information to distinguish between human error and other causes.</t>
  </si>
  <si>
    <t>Impacted ledge trying to out track</t>
  </si>
  <si>
    <t>BFL269</t>
  </si>
  <si>
    <t>2015-09-09</t>
  </si>
  <si>
    <t>The jumper was proximity flying a wingsuit along terrain and impacted through a small tree/bush during a technical part of the line, dying from terminal freefall impact. Proximity terrain flying involves deliberate flight near terrain where loss of speed/glide or misjudgment of the flight path constitutes a human error in flight management. The possible factors of 'loss of speed-glide' during proximity flying indicate a failure to maintain adequate margin from terrain.</t>
  </si>
  <si>
    <t>The jumper in this Fatality was flying an Aura wingsuit, exit point Aiguille du Midi 3842m 09/09/2015 13:28 winds at exit: light &lt;5kph
Dave was current having more than 60 Brevent flights in the previous month + other hiked jumps.
He loved flying terrain but did so in a conservative style usually following more experienced jumpers from a safe distance in order to learn a line. This is what Dave had done on this line later flying it solo as on the jump that took his life. He exited later in the group of 14 wingsuiters at the exit that did a mix of group jumps &amp; solos. The first jumper came back for a second run &amp; spotted Daves canopy open on a technical part of the line amongst mixed rock &amp; small trees just below the tree line.
Rescue was called immediately upon landing. He was dead upon their arrival.The rescuer later stated there was an obviously impact spot through a small tree/bush 50m uphill from where Dave was found.
51, retired, living the dream, a simpler life filled with flight &amp; the mountains, he was happy... Daves last words to this world were a scream of joy while leaping off the exit "VIVE LA FRANCE!</t>
  </si>
  <si>
    <t>BFL270</t>
  </si>
  <si>
    <t>2015-09-10</t>
  </si>
  <si>
    <t>The jumper was proximity flying near terrain, was observed to be lower and slower than the lead jumper, and impacted the mountainside while attempting to clear a ledge. This indicates a loss of speed/glide during proximity flight resulting in insufficient margin to clear terrain, consistent with human error in flight management and/or decision-making regarding the chosen flight line.</t>
  </si>
  <si>
    <t>The jumper in this fatality was part of a two way with the deceased jumping second only a few seconds after the first jumper.
Some hikers up there had seen the whole thing. The jumper in question was lower than the first jumper and not flying as well/fast he came around a ledge and tried to clear it and hit the mountain side in full flight. His canopy opened on impact, and flew down to the valley floor below by itself.
This information has come from people who were there...</t>
  </si>
  <si>
    <t>BFL271</t>
  </si>
  <si>
    <t>2015-09-12</t>
  </si>
  <si>
    <t>Turkey</t>
  </si>
  <si>
    <t>Inadequate exit from technical object</t>
  </si>
  <si>
    <t>The jumper had a bad push/exit from a very technical exit point requiring advanced wingsuit BASE skills, resulting in insufficient forward separation and impact with a ledge seconds after exit. The narrative explicitly identifies the bad push and insufficient separation as factors, and notes the exit was not appropriate for beginner or intermediate wingsuit BASE jumpers, indicating a human error pathway in either exit execution or object selection.</t>
  </si>
  <si>
    <t>Information has come to light that Mehmet had a bad push and impacted the first ledge only seconds after exit killing him instantly..
This is a Very Technical exit with a few second rock drop not for a beginner or intermediate wingsuit basejumper.</t>
  </si>
  <si>
    <t>BFL272</t>
  </si>
  <si>
    <t>2015-10-01</t>
  </si>
  <si>
    <t>Wingsuit exit in extreme winds</t>
  </si>
  <si>
    <t>The narrative explicitly states the jumper jumped in 'extremely high winds' which 'played a huge factor in this fatality.' The domain reference establishes that few objects are good in winds &gt;10 mph and no objects are good &gt;20 mph, and that weather conditions must be evaluated before jumping. Choosing to exit in extreme winds is a decision within the jumper's control, constituting human error. The jumper flipped after exit, could not recover, and impacted near the exit point.</t>
  </si>
  <si>
    <t>['Clipped ledge after exiting', 'Strong winds', 'Unstable exit']</t>
  </si>
  <si>
    <t>Reports are stating the jumper in this fatality jumped in extremely high winds and this played a huge factor in this fatality
More information : Jumping in High winds , Flipped after exit and could not recover in time.</t>
  </si>
  <si>
    <t>BFL273</t>
  </si>
  <si>
    <t>2015-10-05</t>
  </si>
  <si>
    <t>Grenoble, France</t>
  </si>
  <si>
    <t>Inadequate wingsuit progression</t>
  </si>
  <si>
    <t>The jumper flew a new wingsuit with only 2 skydives on it, far below the accepted minimum of 40-60 wingsuit skydives with the specific suit before wingsuit BASE jumping. The jumper experienced a failed start from a technical exit and impacted subterminal with nothing deployed, indicating the unfamiliar suit contributed to the inability to recover from the exit and deploy.</t>
  </si>
  <si>
    <t>The jumper in this fatality was jumping a new wingsuit at which was reported he had only skydived 2 times..
Jumper was missing for a few days and when found was reportedly found beneath a technical exit impacted nothing out..Impacted after a fail to a short start</t>
  </si>
  <si>
    <t>BFL274</t>
  </si>
  <si>
    <t>2015-10-26</t>
  </si>
  <si>
    <t>Corsica, France</t>
  </si>
  <si>
    <t>The jumper was wingsuit proximity flying a technically demanding line and impacted terrain with only an emergency pull achieved (one pin popped). While proximity flying a line described as having a 'technical glide ratio' and being 'one of the most technical jumps to fly' suggests possible decision or execution errors, the narrative provides no information about the jumper's experience level, what specifically went wrong during the flight (whether a flight error, unexpected conditions, equipment issue, or other factor caused the terrain impact), or why the emergency pull came too late. Without knowing what caused the jumper to be in a position requiring an emergency pull, neither human error nor other cause can be adequately supported.</t>
  </si>
  <si>
    <t>This jump has a technical glide ratio and for the area is one of the most technical jumps to fly, The jumper in question was found with pilot chute pulled with 1 pin popped Impacted branches before hitting rocks . This was an emergency pull.
Information coming from rescuers</t>
  </si>
  <si>
    <t>BFL275</t>
  </si>
  <si>
    <t>2015-10-30</t>
  </si>
  <si>
    <t>Colugo 2 (Wingsuit)</t>
  </si>
  <si>
    <t>The jumper reportedly slipped on exit and was unable to establish stable wingsuit flight. He was observed falling straight down with only his pilot chute out, impacting the talus near the wall beneath the exit point. The unstable exit and failure to recover stable flight before attempting deployment constitute identifiable human error in the chain leading to the fatal outcome.</t>
  </si>
  <si>
    <t>Information about this fatality has come to light that the jumper in question has possibly slipped on exit and unable to maintain a stable flight he was found underneath the exit in the trees.
More information from his friends "he was seen falling straight down with only his pilot chute out when he impacted on the tallus.
He was wearing a colugo 2 wing suit. He was found not very far out from the wall, suggesting that he never did get the wing suit flying stable.
Here is a great video made by his friends on the type of guy he was
https://www.youtube.com/watch?v=oXiU...c#action=share</t>
  </si>
  <si>
    <t>BFL276</t>
  </si>
  <si>
    <t>2015-12-26</t>
  </si>
  <si>
    <t>Wingsuit stall into terrain</t>
  </si>
  <si>
    <t>The jumper was flying a wingsuit proximity line, reached to make a challenging entrance point on the terrain, stalled the wingsuit, and lost flight, resulting in fatal impact. Multiple human error factors are identifiable: flying a line with insufficient familiarity (only flown a few times, uncertain of waypoints, changed appearance due to snow), flying in katabatic conditions that made the already challenging line more difficult (after 3:30pm in shadow), being distracted by a phone conversation via bluetooth during flight, and possible motivational pressure from wanting to impress a companion jumper. The stall and loss of flight during proximity flying represents a decision/skill error in managing speed and angle of attack near terrain.</t>
  </si>
  <si>
    <t>201C1, 201C2, 202P1, 204E</t>
  </si>
  <si>
    <t>['Katabatic air flow', 'Proximity flying']</t>
  </si>
  <si>
    <t>On December 26 at around 3:30pm Philippe Jean attempted to fly line 7 from the Brévent, one of the most western gullies accessible by wingsuit. There is a particularly nice entrance at the top of the line with a tree gate and a grassy slope that provides a visually stunning entrance but can be challenging to access. After reviewing video from Philippe Jeans recovered camera, we know he impacted this grassy slope (altitude ~ 2000m) after reaching to make this point, stalled and lost flight.
I'd like to preface my thoughts by saying, if family and friends of Philippe Jean are reading, that I make the following comments with the intention of sharing a potential lesson with my fellow wingsuit BASE jumpers in an attempt to save lives. It is not my intention to place blame or criticism. We participate in a sport that is still in its infancy and every lesson is extremely valuable to the evolution of our sport. That being said,
The lessons learned here are not new, but perhaps an additional warning to others as more and more people will come to fly their wingsuits at the Brévent.
There are four main factors that I believe are worth mentioning:
- After 3:30pm, at this time of year, line 7 is in shadow with radiational cooling up slope causing katabatic flow, making an already challenging flight to that location much more difficult.
- Philippe Jean was part of a two way. The other jumper exited first and took a very wide right turn while flying conservatively over open terrain, as this was his first time flying so far west. Philippe Jean exited immediately after, looked briefly at the first jumper, passed him and went straight for his line. I believe Philippe Jean held this other jumper in high regards, and he had told me earlier that day that he was excited to show him line 7.
- Philippe Jean was on the phone with a third person via a bluetooth communicator. I have not spoken to the person who was on the other end of that conversation, and don't know the level of communication that was going on, but we all know talking and flying is challenging and potentially distracting.
- Philippe Jean had only flown this line a few times and had not familiarized himself with the visually changing waypoints/landmarks. This was compounded with addition of snow to the terrain; simply, the mountain does not look the same when it has snow on it. We flew this line together once two days before, and he had mentioned after that he was unsure where he was before making the entrance. When we had jumped together I had briefed him at the mid station on how I count three ridges, and look for a rock outcropping on my left and judge my speed and position in reference to that point. Unfortunately we did not discuss how or when we would abort if things did not go as planned.
Philippe Jean sent me a text at 3:25 saying they would jump in the next 5 minutes as I was waiting for two jumpers at the landing area. We had shuttled cars that morning, and I had opted out of the last jump of the day. After the second jumper landed we attempted to call Philippe Jean on the phone. Unsuccessful, we quickly got in my car, checked and alternate landing area, then drove to the PGHM (heli mountain rescue) to report him missing. After a brief search by the heli team, Philippe Jean was located.
Philippe Jean will be missed by many in the jumping, alpine climbing, and High Mountain Military School communities. He had never ending energy, excitement and an infectious enthusiasm for wingsuit BASE jumping. I spent a lot of time with him during the last week of his life and I can say that he fit more adventure, stoke and high fives in that time than some do in a lifetime.</t>
  </si>
  <si>
    <t>BFL277</t>
  </si>
  <si>
    <t>2016-01-12</t>
  </si>
  <si>
    <t>The narrative states only that the jumper was following two others in a 3-way wingsuit jump and impacted a ledge during flight. There is no information about experience level, specific flight decisions, equipment state, environmental surprises, or what caused the impact. The cause of death (terminal freefall impact with terrain during proximity flying) could result from multiple pathways—misjudged line, insufficient speed/margin, environmental factors, or following error—but the narrative provides no evidence to distinguish among them. Neither a human error pathway nor a non-human cause can be clearly supported.</t>
  </si>
  <si>
    <t>3 way wingsuit jump With the deceased following 2 others and impacting ledge..</t>
  </si>
  <si>
    <t>BFL278</t>
  </si>
  <si>
    <t>2016-01-20</t>
  </si>
  <si>
    <t>Poor conditions and site selection</t>
  </si>
  <si>
    <t>The jumpers chose to jump in poor conditions including steady tailwind, violent winter swell at near high tide, and a smaller than usual landing zone. The narrative explicitly states conditions were poor during prejump and setup, and the jumper lacked the canopy penetration to overcome underestimated winds, resulting in landing in ocean wash and drowning. Jumping in these clearly observable adverse conditions constitutes a decision error.</t>
  </si>
  <si>
    <t>Although 2 jumpers died at this location only one is recorded as the second jumper landed safely and took off all base gear to save the other..
Below is a statement from someone who is very close to both jumpers and is as accurate as anyone can write...
[hr]Bixby creek bridge: base fatality and a heroes death
Rami and Katie left to go to Bixby creek bridge. They told friends they planned to jump there, but had a number of other locations planned as well. Phones do not work in that coastal area. They did not return on Friday as they had told people and planned, which was very out of character. On Saturday, Katie was not back in time for work and our concerns turned to fear.
Friends and family did everything they could to talk to people that had heard from them, seen them last, or had plans to see them. A lot of information was offered. If someone contacts you looking for base friends, do not turn the conversation into you trying to get facts unless they are asking for your help on that level. Offer only facts, or at least say this is merely opinion/speculation/possibility or ideas, then be patient and optimistic. Our community is curious and wants information, that is fine, but do not add or interfere with the stress, rescue, investigation. Information will come, helping the situation and our peers is what matters. Protecting objects future jumping potential when friends may be in distress at that location is against everything we stand for as a community. Nothing matters but helping our friends.
A missing persons report brought police to Bixby creek bridge on Saturday evening where they had noted a car in the parking lot for several days. The rental car was registered to Rami. They also spotted what turned out to be Rami's canopy and helmet/camera in the beach below the bridge. The following morning search and rescue went to work. They did not recover anything else. Nothing. Rami was recovered 11 days after the initial Accident sadly Katie has not been recovered to date.
What I have been able to confirm is that his camera turns on and they discuss and plan the jump. Katie will jump first and be pca'ed. Rami will jump second. They choose a small landing area to the jumpers right of the stream that dissects the already small landing area. The area they choose is very small but allows them not to cross the stream, therefor staying dry . This area is smaller and closer to the ocean, however. The conditions were poor during their prejump and set up. There was a steady tailwind and violent winter swell at near high tide with a smaller than usual LZ. This object appears to be paradise, it is very much a blue to black diamond (using resort skiing technical rating).
Katie was pca'ed. She let out a celebration "wahoooo," then flew the right hand pattern discussed. She turned facing back towards the bridge and simply does not have the penetration expected due to under estimated winds and lack of wing loading. She landed in the wash Of the waves. Her canopy fell behind her in the breaking waves. She was immediately in a struggle in which she was outmatched, as most anyone would have been. Other jumpers have lost canopies on much better conditions. No evidence of the cutaway handle being used or if it would have helped in this situation. She had one on her rig.
Rami briefly watches from the top and didn't say anything, but realizes the situation and appeared to rush his jump. He free fell the jump in a hurried manner. He had a short flight, but clearly is dealing with wind and panic. He had a falling hands, arms, and knees down landing. He stripped his gear. That is where the facts end. Everything else is speculation. Their jump was on Wednesday, the concerns began Friday, the search party began Saturday evening, the search and rescue worked on sunday. After reviewing video and knowing a violent front had moved through for days they called off the search after one day. There was nothing they could do. Simply the ocean, weather, area, and overall situation was far too extreme.
It's nice to call such a respected jumper a hero, but i would rather call him alive. An early lesson in any emergency response training is not to make things worse by putting yourself in harms way. It only complicates matters for the original victim, the attempted rescuer, and further rescue. Of course, what he did is what legends are made of and nothing can take that away from him or us, but we should all think deeply on whether we would want someone to give their life for our own. This may be speculation too. Simply, we don't know how we will respond in these situations until we are in them. We are a community of extremes, life and death, not living to norms, and going against our fears. I understand and love that.
Rami IS a hero. ...But keep in mind, that losing more life only makes things worse.</t>
  </si>
  <si>
    <t>BFL279</t>
  </si>
  <si>
    <t>2016-01-24</t>
  </si>
  <si>
    <t>Failed PC extraction due to technique</t>
  </si>
  <si>
    <t>The jumper collapsed his wingsuit wings before initiating the pull, causing excess fabric to cover the BOC/PC handle. This prevented him from locating and extracting the pilot chute, resulting in a total malfunction (closed container impact). The detailed post-accident analysis by his peers confirmed that collapsing wings before the pull created a fabric obstruction over the BOC, constituting a deployment technique error.</t>
  </si>
  <si>
    <t>Our friend Ulli had an accident on Sunday afternoon.We were a group of four wingsuiters, who exited from Paganella. The exit was dry without snow or ice. Exit: 2-way wingsuit, wingsuit solo and Ulli also solo.The flight in the 2-way was a bit wobbly with wind from the north (headwind).The 2-way landed in the designated landing area without any problems.The solos followed 5 minutes afterwards. The first solo had his canopy already open when Ulli appeared. Ulli flew in his wingsuit close to the landing area and initiated the opening. It looked as if he had collapsed all his wings. He stayed for several seconds in that position and then went into an unstable headdown position, which didnt change til impact. PC or canopy were never visible. On the ground the PC was still in the BoC, the container was closed.At the moment we try to find the cause for this no pull.
Ulli Wambach was a master rigger with 9700 skydives and 468 Base jumps, he was my mentor in Base and Wingsuit flying.
UPDATE PLEASE RE-READ."After three weeks of thoughts and discussions of all involved friends we think we should say this about the accident:
As we dont have a video from Ulli at the exit point and of his flight we must reconfigure this just by personal views and puzzling.I personally had been present, had already landed and watched Ullis last flight from the ground.
Just for the record:It was the forth jump of the day. Ulli jumped always without gloves and as usual he collapsed his leg wing to a certain degree before he pulled.
According to what I saw we tried to simulate and rehearse the situation on the ground with the same container and suit.
Our conclusion:
With especially the leg wing collapsed by tighter and slightly bent knees there is excess fabric that can move in front of the BOC. When all the forward speed is gone, there is also a trapdoor effect. By this the body is going more downwards and the resulting airstream presses the fabric against the container with additional force, making it even harder to find a PC handle if it is behind it.With a normal pull, with inflated and stretched leg wing there is no difficulty to reach the BOC/PC.With the outcome in mind we therefore would like to advise everybody (even if it is common sense to most of us now) not to collapse the wings, neither arm nor leg, on any wingsuit anymore before initiating the pull (like someone may have learnt it at the beginning). Plus that the pull hand should always be intentionally above the arm wing at the pull move by acting clearly over the wing towards the BOC/PC handle. That way no one has to sort through fabric even if the wingtips are released before the pull move is initiated.
The lesson learned from this accident is, that a wingsuit pull is a complex move and should be done out of an open flight configuration with a straight and wide leg position, just folding the arm wing with the pull move as needed.Of course the flight could be slowed down by flaring the suit a bit just before the pull move itself. But at no time the flight should be slowed down before the pull by collapsing the wings or even stalling the suit.Then, after the PC is thrown with power and dynamic sideways to avoid the big low pressured burbled space behind the wing, everybody is free again to collapse the wings, bend the knees or decrease arms.Should there occur an increased opening shock of the canopy, the solution should be searched in better wing collapsing instantly after the pull but at no time before reaching or throwing the PC handle.Finally there is to state that at no time in this accident there was any evidence pointing towards suit or gear failure.
He will be missed and his spirit will fly on with us</t>
  </si>
  <si>
    <t>BFL280</t>
  </si>
  <si>
    <t>2016-03-13</t>
  </si>
  <si>
    <t>Wingsuit terrain impact in poor weather</t>
  </si>
  <si>
    <t>The jumper exited in bad weather with low-level fog and medium winds, which reduced visibility and likely contributed to clipping a ledge after exit due to insufficient forward separation. Jumping in conditions with low visibility and clouds obscuring the flight path represents a decision error, as the conditions were observable before the jump and a competent BASE jumper could have assessed them as unsafe for wingsuit terrain flying.</t>
  </si>
  <si>
    <t>['Low level clouds', 'Medium winds']</t>
  </si>
  <si>
    <t>Initial police report states,
At the time of the deceased jumping there was bad weather in the area with lots of low level fog. This could of increased the chance of impact from low visibility.
The deceased was found in the valley below the jumping point impacted.
Please note that If you are going to jump by yourself always have a check in and out procedure , either telling your loved one a message will be sent before and after or better still jump with others,
This helped the initial investigation as this is exactly what patrick had done every jump with his Friends having a message before and after the jump and the rescuers found Patrick in a timely fashion..
One more thing on PatrickHe was a highly experienced and skilled big wall alpine wingsuit jumper and very familiar with this exitpoint in question (as he had opened it and jumped it years before it came into the general public´s knowledge)</t>
  </si>
  <si>
    <t>BFL281</t>
  </si>
  <si>
    <t>2016-03-31</t>
  </si>
  <si>
    <t>Georgia, United States of America</t>
  </si>
  <si>
    <t>The jumper exited a guyed antenna at night in strong winds (31 knots at jump altitude, 20 knots at midpoint) with a slider-up configuration on a short delay, which the domain reference identifies as yielding very poor heading performance. Forecasted winds aloft were well beyond the accepted safe range for BASE jumping (few objects good above 10 mph, none above 20 mph), and the decision to jump in these conditions constitutes a human error. The cause of death was object strike under canopy, consistent with wind-driven off-heading into guy wires.</t>
  </si>
  <si>
    <t>['Medium winds', 'Night time', 'Strong winds']</t>
  </si>
  <si>
    <t>Brandon Action Jackson, 38 years, ~6 feet, 210 pounds, 15+ years of Martial Arts, Master Sergeant, Special Forces, Instructor, Tandem Master, Demolitions Expert, Spoke Arabic, Masters Degree in Engineering, father of a 2 year old child, super duper heads up solid man and of course absolutely zero alcohol or drugs in his system. He was jumping "Slick". BASE jumping is dangerous Guyed wires are dangerous Strong winds that are not perfect add risk Weak Exit and/or Weak Track can be deadly Short delay deployments of slider-UP pack-jobs have very poor heading performanceForecasted Winds Ground: 4 to 6 MPH Half-way, 20 knots1600 feet: 31 knots</t>
  </si>
  <si>
    <t>BFL282</t>
  </si>
  <si>
    <t>2016-04-04</t>
  </si>
  <si>
    <t>Aura 2 (Wingsuit)</t>
  </si>
  <si>
    <t>The narrative reports line twists leading to object strike under canopy, but provides no information about the jumper's experience level, specific actions, equipment configuration details, or the cause of the line twists. Line twists can result from multiple causes (packing, body position at deployment, wingsuit asymmetry, equipment issues) and the narrative lacks sufficient detail to determine whether human error or another cause was responsible. The report is based on secondhand observation and explicitly requests additional information.</t>
  </si>
  <si>
    <t>It was a solo wingsuit jump in Aura2, stronglite ibex. From people there he had numerous line twists and he hit the cliff at the bottom and fall down along it. If anyone has additional information, please contact us.</t>
  </si>
  <si>
    <t>BFL283</t>
  </si>
  <si>
    <t>2016-04-20</t>
  </si>
  <si>
    <t>PTS Tracking suit two piece (Tracking Suit)</t>
  </si>
  <si>
    <t>Late deployment / low pull</t>
  </si>
  <si>
    <t>The jumper deployed his pilot chute too late, at an altitude insufficient for the canopy to fully inflate before ground impact. The narrative explicitly identifies the late/low pull as the cause of death, with the canopy inflating only moments before impact. Contributing factors suggest the jumper may have prioritized tracking distance over altitude awareness, resulting in deployment below a survivable altitude.</t>
  </si>
  <si>
    <t>201C1, 204E</t>
  </si>
  <si>
    <t>It was the 5th or 6th jump on the trip. It was a three way track from High Nose. It was the first jump in the morning, it was sunny and no wind. The mood of the group cheerful. Roy was jumping in the middle and counting down. He exited first. Good exit and start. Went a bit steeper than the rest of the group. He was going faster and lower than the rest of the three way. He started to pull over the road or very close to it. He was low by then. The canopy inflated right before he impacted in the field crop around 30 meters on the other side of the road. We will never know for sure why Roy Kenneth pulled so low, but there is a couple of elements that might have been contributing factors. Roy Kenneth had felt improvements on his tracking, maybe that was the reason he pushed it to far. The road is a landmark on that jump and its common for people to want to track past it. Also he had complained about his ski-googles he jumped with not being optimal to see through. Roy Kenneth was a good friend, very positive and full of life and an all around awesome guy. He is greatly missed by family and friends.</t>
  </si>
  <si>
    <t>BFL284</t>
  </si>
  <si>
    <t>2016-05-13</t>
  </si>
  <si>
    <t>Rigging/Equipment Error Leading to Total Malfunction</t>
  </si>
  <si>
    <t>The jumper experienced a pilot chute in tow malfunction resulting in closed-container impact. Investigators found a hole in the pilot chute netting and a broken zipper on the harness, with the bridle appearing caught on something. The jumper packed her own equipment, and the combination of equipment deficiencies (damaged PC, broken harness zipper) and the resulting bridle entanglement/snag indicates human error in equipment inspection, maintenance, or rigging prior to the jump.</t>
  </si>
  <si>
    <t>TWIN FALLS A Canadian woman who died BASE jumping off the Perrine Bridge last week packed her own parachute prior to the fatal jump, and investigators discovered a hole in her pilot chute and a broken zipper on her harness.Kristin Renee Czyz, 34, of Calgary died May 13 when her parachute failed to open on her fifth jump of the day. Witnesses in boats near the bridge pulled Czyz from the Snake River, started CPR and called 911. They met emergency responders at the docks at Centennial Waterfront Park where the woman was pronounced dead.
The Twin Falls County Sheriffs  Office investigated the incident and closed the case as an accident â€¦ Sean Chuma, a local BASE instructor and a witness to the incident, told investigators it appeared only Czyzâs pilot chute deployed, Stewart said. Chuma also helped a deputy inspect the parachute.They discovered a hole in the netting of the pilot chute and a broken zipper on the right side of the harness,Stewart said Friday. This seemed to be consistent with a witness that stated it appeared the bridle was caught on something.Investigators found Czyz packed her own chute prior to the deadly jump, Stewart said. But it is unknown who the chute belonged to.</t>
  </si>
  <si>
    <t>BFL285</t>
  </si>
  <si>
    <t>2016-06-05</t>
  </si>
  <si>
    <t>Unstable exit technique</t>
  </si>
  <si>
    <t>The jumper used a two-move dynamic exit technique where he advanced his right foot and then pushed, likely stepping on his leg wing and losing grip with his right foot. This caused an immediate unstable exit with a 45-degree bank within one second, leading to loss of control and subterminal impact approximately 200 meters below the exit point. The exit technique was inappropriate for a large wingsuit.</t>
  </si>
  <si>
    <t>['Crosswinds on exit', 'Strong winds', 'Unstable exit']</t>
  </si>
  <si>
    <t>From what we know Brito arrived at 02:00pm at exit point with another SD jumper. Brito was flying his VRACE and had several jumps on it. They waited at the top approximately for 2 hours because it was too windy. They decided to jump and briefing was a 2 way where Brito exiting a few seconds later would do a flyby at his friend under canopy. But Brito didn't exit and his friend called him from landing. He said winds got gusty and that he would wait. After 15 min he sends a message saying he was exiting in 3 min. After 10 min his friend called and there was no answer. We found his body the next day, hiking because weather became too bad for choppers. He was about 200mts below exit. Camera (selfie mounted) was found 2 days after but just now I saw the video. It looks like he SLIPPED. After the push, less than a sencond after, he's in a 45 degree bank to the LEFT (opposite side of the line); then about 2 seconds after he's kicking and struggling not to turn on his back as he's at a 90 degree bank. He does not barrel, but recovers, already facing north (line is to the south) and continues to turn left till he finishes the whole 270 and tries to fly away. Video stops seconds before impact. Winds were visible on the grass at the exit, possibly moderate. But I don't think he would have made it even with perfect conditions, just may opinion. He used to exit with his right foot in front. He would advance his right foot and push, in a 2 moves exit. He probably stepped at his legwing and lost grip at his right foot.
Lesson here is very simple. Todays big suits do not allow this kind of exit. I called it DYNAMIC EXIT, if theres another name please correct me. EXITING SHOULD BE ONE MOVE. If you want to exit with one foot ahead, just place it ahead, make sure its clear of the legwing and THEN exit.Brito had aprox 320 jumps from Gavea alone. He was simply the best of the brazilian crew. An amazingly positive and kind person that hosted a whole lot of people from everywhere at his place. He will be deeply missed, specially by the brazilian community.Thanks for respecting Brito, OPSMAYuri
Gavea is a 6sec rock drop jump and we are very pleased to share information about it with anyone that shows up, so please ask.</t>
  </si>
  <si>
    <t>BFL286</t>
  </si>
  <si>
    <t>2016-06-10</t>
  </si>
  <si>
    <t>The narrative states only that the jumper entered low-level clouds and impacted terrain mid-flight. While proximity flying in clouds suggests possible human error (flying near terrain without visibility), the narrative provides almost no detail about the jumper's experience, specific flight plan, decision-making process, or the exact mechanism of the impact. The report itself solicits additional information. There is insufficient detail to confidently distinguish between a decision error (choosing to fly in clouds), an environmental event, or other causes.</t>
  </si>
  <si>
    <t>Dario had jumped into some low level clouds and impacted halfway through his flight.
If anyone has additional information, please contact us.</t>
  </si>
  <si>
    <t>BFL287</t>
  </si>
  <si>
    <t>2016-06-23</t>
  </si>
  <si>
    <t>Wingsuit terrain flight error</t>
  </si>
  <si>
    <t>The jumper was proximity flying a wingsuit near terrain and deviated from his planned flight path, flying into a gulley where he lost speed/glide and impacted terrain at high speed. The cause of death was impact in terminal freefall, with gear evidence showing only a low/emergency deployment attempt. The deviation from the planned direct flight path into a gulley during proximity flying, combined with the listed possible factor of loss of speed-glide, indicates human error in flight path management and energy management.</t>
  </si>
  <si>
    <t>At 3pm on June 23rd, 2016, Chris jumped solo from Torri del Vajolet, attempting a wingsuit flyby of the restaurant/rifugio, Rifugio Preuss Hütte. Chris had free-solo climbed several hundred feet to the exit point, no other jumpers were present that day and this was his first jump from this exit point. His original flight plan was a more direct path towards the rifugio and to remain visible to the ground crew during the entire flight and deployment. Outside video shows him flying initially towards the east, then turning south, towards the rifugio where he disappears from view of the camera. Other witnesses saw him flying down a gulley, east of the rifugio, then lost sight of him. When he did not land at the primary LZ, ground crew hiked downhill from the rifugio looking for him. Italian Alpine Rescue found his body via helicopter approximately 2 hours later, at the bottom of the gulley, southeast of the rifugio. He struck a tree approximately 60ft uphill, at a 45-degree angle, from where his body was found.
Gear inspection shows the canopy sustained damage from the tree, but the slider was still at the top of the lines, suggesting a low/emergency deployment. The closing loops were intact, evidence the PC had opened the container, not the impact. Injuries sustained and equipment damage suggest a high speed impact. His GoPro was recovered, shattered, without the SD card. Hours were spent searching the impact area on June 25th, but no SD Card was found. The weather conditions were described as light winds from the south, no clouds. The altitude difference between the rifugio (his planned flyby location) and his primary LZ was approximately 300ft. The location where his body was found was at a similar altitude to the Primary LZ.Chris had jumped that morning, from a different exit point and performed a flyby of a cross next to the rifugio. He landed south(downhill) of the rifugio, on a trail. The planned flight for the second jump was a more direct path to the Primary LZ.</t>
  </si>
  <si>
    <t>BFL288</t>
  </si>
  <si>
    <t>2016-06-25</t>
  </si>
  <si>
    <t>Bridle misrouting caused pin lock</t>
  </si>
  <si>
    <t>The jumper discovered a dislodged bottom pin at the exit point and re-closed the container without removing the bridle and pilot chute from their stow, routing the bridle inside the closing loop. This misrigging created a pin lock malfunction: the pilot chute deployed and extracted fully but could not pull the pin, resulting in a total malfunction and high-speed impact. This is a clear human error in rigging/packing.</t>
  </si>
  <si>
    <t>"The Jumper in question, whilst on the exit point, had realized his bottom pin had become dislodged. After taking off his gear and re-adjusting his pin into the closing loop, he had packed himself a pin lock malfunction. As you can see, it seems that whilst the jumper was on the exit point closing his bottom pin back, he has not taken the bridle and pc out of its stow and continued packing it differently as to how you would whilst packing after a jump. Because of the pilot chute still in its stow and the bridle tucked away under the bottom closing flap, he has effectively closed it with the bridle on the inside of the closing loop..This caused the pilot chute when pulled would expand in the air and start the sequence but stopped when it reached the pin because of the way it was figured.
The jumper died immediately after pilot chute/bridle fully extracted and impacted at high speed.
Please, as a warning to others whilst base jumping, take the time to slow down and remember to do all the things you have been trained to do and not skip any steps whilst packing your ONLY parachute."
https://apexbase.com/its-way-easier-to-cause-a-pin-lock-than-you-think-preventing-deadly-bridle-misrouting/?fbclid=IwAR0nHheH1m52FAHJQFUHSM0oz1MHhmk06QZgWcxf0MGyUslDV551zBKGP_0</t>
  </si>
  <si>
    <t>BFL289</t>
  </si>
  <si>
    <t>2016-06-26</t>
  </si>
  <si>
    <t>British Columbia, Canada</t>
  </si>
  <si>
    <t>Slow wingsuit flight, low deployment</t>
  </si>
  <si>
    <t>The jumper flew his wingsuit at very low forward speed from exit, consistent with flying at too high an angle of attack near stall. His speed decreased further as he attempted to clear power lines, leaving him with insufficient altitude to complete canopy deployment. The extended narrative reveals the jumper was operating well beyond his wingsuit BASE experience level, had demonstrated a stalled flight on the previous day's jump, rejected mentoring and progression advice, and proceeded to jump again in the same manner, constituting clear human error in both the decision to jump and the flight execution.</t>
  </si>
  <si>
    <t>201C2, 201C3, 202P1, 203T</t>
  </si>
  <si>
    <t>Gary was first to exit. The jump occurred around 10 AM. The conditions were calm on exit with a slight right to left wind in the LZ. The face and talus is shaded at this time of day. Gary exited and started to fly with very little forward speed. He continued to fly at this speed as he approached the two sets of high tension power lines between the exit and the LZ. The forward speed decreased as he attempted to fly over the lines. He cleared power lines and deployed immediately. The pilot chute opened the container and canopy extraction began to occur as he impacted before line stretch.
Please see an update from someone who was there and witnessed it 
Gary Kremer passed away on June 26, 2016.  I wrote the BFL incident report as I was the only eye witness to the entire jump from exit to impact.  At the time I only included the information from Gary’s exit to impact.  
Today is May 21, 2022.  I recently listened to the Exit Point Podcast episode hosted by Matt Blank and Laurent Frat with guest Brad “Patto” Patfield.  As most know, Brad maintains the BFL.  During the interview a discussion regarding outside factors that may contribute to an incident (example, partying the night before,  landing jet lagged and not resting before the first jump on a trip, etc).  For years I have held what I thought to be my opinions vs the simple facts to myself.  After much thought I have decided to add all context leading up to the incident, with the intention of educating either the jumper who finds themselves in Gary’s shoes, or a jumper who finds themselves in my shoes.
I recently moved to Seattle, Washington from Washington DC.  The idea of being able to do legal wingsuit base jumps near where I live was so extraordinary to me at the time I was only focused on me, not those I was jumping with.  I say this because it is a part of how I ended up at the Chief with Gary.  
I had met Gary only in passing before I moved to Seattle.  He was one of the first jumpers in the area I became friends with.  Shortly after I moved Gary asked if I wanted to do a weekend road trip to Canada to do some wingsuit jumps off the Chief.  I was 100 percent in, the excitement was high.  All I knew about Gary’s wingsuit experience was that his FB profile was a picture of him exiting Mount Baring in an Aura.  My excitement stopped me from asking or thinking about what Gary's experience actually was.  I was only thinking about myself and getting to do wingsuit base locally and knowing a new exit point location.    
For those who knew Gary he was a jokester.  On the drive to the Chief I was inquiring to understand as much information about the jump.  Gary told me over and over that it was basically like Brento. I pushed for the jokes to end and he just reiterated that it was like Brento, a gigantic wall with a straight out easy flight.  I knew this wasn't correct and I got the correct information from another friend via text.  I stated this to Gary and he said that was wrong and it was similar to Brento.  To this date I look back and think that Gary might have been serious, and I do not know if he had ever been to Brento.  Gary also stated that when we returned he was going to immediately book a trip to France to jump Brevant.  
The next day we met a couple locals and hiked to the exit.  I did a two way with an experienced local, Gary exited last.  The other jumper and I waited and Gary never landed.  We hiked back to the parking lot and found that Gary had landed on the shoulder of the highway.  This concerned me.  I have attached a video of another jump I did at the chief for a visual of the jump profile.  
We decided one jump was enough for the day and went to a local coffee shop.  I asked to see Gary’s video and he gave me his GoPro.  In 2016 plugging a GoPro into a computer and trying to play the file usually resulted in choppy results and I copied the file to my desktop.  Gary tried to stop me and asked why I was taking his video, he stated that he did not give me permission to get a copy.  This immediately concerned me as I took it to mean a mistake was made and he did not want it to get out.
I watched the video and immediately knew Gary exited and was immediately in a stalled flight.  He had to pitch in an emergency pitch and landed on the highway.  At this point I knew Gary was in over his head and should probably not execute this jump again. I still did not ask Gary about his history with Wingsuit Base.  
At this point in my BASE career I had approached people that I felt were doing things above their experience level by just telling them they can’t do it and never had good results.  I decided the approach I would take would be to provide as much knowledge I had at the time regarding Wingsuit BASE.  Exit technique, angle of attack, what it meant to be jumping in the morning when the talus was shaded with no thermic activity.  Most of the information I was provided was well received, but brand new to him.  I felt by education he would realise he had some progression to work on and it would lead him to a decision to not jump, or jumper slider down.   
That evening we met a non jumper who had a camera that was odd to us.  It was a first generation 360 camera and the person was there to capture video of sunrises etc. The camera had the ability to attach to a GoPro mount.  He asked if I would jump with his 3000 dollar camera.  I said I would and we would plan something that would be a great shot.  This pertains to what you will read below.  
The next morning another friend from Washington and two more locals joined.  The person with the camera hiked with us.  I planned a jump for one local who was tracking to exit first, and set up for a threeway wingsuit flyby.  I would buzz the canopy with one wingsuit on my left and the other on my right in formation.  
Gary packed the slider up and brought his wingsuit.  When I saw this I intentionally hiked next to him and reiterated all the information I provided the day before and asked him to think about if he should jump or go down.  He wanted to jump.
As we geared up Gary asked me if he could join the formation flyby.  This is when I realised all my efforts had no effect on Gary’s decision.  In fact he wanted to add himself to a very technical multiway.  I told Gary sternly that if he decided to jump it must be a solo.  After the flight the day before he needed to focus on his exit and have a safe flight to the LZ opening with sufficient altitude.  I explained that joining our jump would add many distractions and impede his ability to perform, as well as be a potential danger to us.  
I recall Gary being upset and telling me I was just an elite ‘athlete’.  He quickly said sorry and asked if could hang off the rope to watch his flight and give him feedback when we debriefed and I agreed.  What happened next is written below in the original report.  
I recall watching and hearing the impact and turning around and saying “God damn it I KNEW that would happen and I didnt stop it”.  I almost jumped and the local stopped me and said it would only potentially cause more problems if I got hurt.  
We all called rescue and down hiked.  
After years of guilt and remorse I accepted that the decision to jump was his and not mine.  Even if I had stopped him that day unless there was a drastic change of his approach an accident would happen.  But what could I have done differently if I felt so strongly that this was a likely outcome??
If I could go back in time I would have told Gary my true thoughts and that I was just going to drive back to Washington and not join the load because I did not want to be a part of something I felt so strongly against.  Maybe this would have stopped him, maybe it would have led to the same result. The difference is I would not have been there to watch and deal with years of PTSD and guilt for not doing more.  
I should also note gary had taken a break from jumping to recover from an injury.  I cannot remember the details or how long he had between his break and jumping again.
Over the years I have forgiven myself but it still haunts me. I am adding this information to the incident report for two reasons:
If you find yourself in Gary’s shoes, be humble and allow yourself to say to a group that you want to take a step back and progress at a safer site.  If you find yourself in my shoes, do what you can do to stop the incident and remove yourself from the situation.  Do not allow yourself to be part of something you feel so strongly should not happen.  Do not allow the excitement of being in a new area to not pay attention to your jump partners. I could have stopped the trip before we left Washington
Original BFL Report, written by Chris Mort
Gary was first to exit. The jump occurred around 10 AM.
The conditions were calm on exit with a slight right to left wind in the LZ.
The face and talus is shaded at this time of day.
Gary exited and started to fly with very little forward speed.
He continued to fly at this speed as he approached the two sets of high tension power lines between the exit and the LZ.
The forward speed decreased as he attempted to fly over the lines.
He cleared power lines and deployed immediately.
The pilot chute opened the container and canopy extraction began to occur as he impacted before line stretch.</t>
  </si>
  <si>
    <t>BFL290</t>
  </si>
  <si>
    <t>2016-06-29</t>
  </si>
  <si>
    <t>Wingsuit terrain flight errors</t>
  </si>
  <si>
    <t>The jumper flew into the lead jumper's burble approximately 4 seconds after exit, causing loss of speed and lift. Despite prior discussion about not following closely, JVH pushed on the same axis as the first jumper rather than maintaining adequate separation. The resulting loss of power at low altitude near terrain left insufficient margin for recovery, leading to subterminal impact. The exit angle selection and flight path constituted human errors in multi-way wingsuit terrain flying.</t>
  </si>
  <si>
    <t>202P, 204E</t>
  </si>
  <si>
    <t>['Burble from other jumper', 'Loss of speed-glide']</t>
  </si>
  <si>
    <t>JVH Incident Report - Brevent - 29 Jun 2016On the cable car ride up to Brevent, JVH and another jumper decided to do a two way, JVH would follow in whichever line the other jumper wanted to fly. The other jumper proposed the rockstar line, which JVH had followed him on once previously. They then discussed exit positions and angles, and flight procedures for when someone is camera flying". (Jumper on the left jumps first, pushes more perpendicular to the rock, takes the turn around the pilar wide, and flies at 70-80% in the transition before turning it on and entering the line. Jumper on the right exits second, and pushes parallel to or at slightly more of an angle than the first jumper, then cuts the corner so as to catch up to the first jumper as quickly as possible.) JVH expressed that he would not be following closely behind though, instead he would give a couple seconds and follow loosely to just observe the other jumper flying the line. On previous multi-ways on Brevent, JVH had given at least 1-2 seconds before following off, and would not fly aggressively, usually staying above the treetops.
At the top, as they were gearing up, since JVH didnt want to follow closely anyway, the other jumper asked which side he preferred to exit from. JVH chose the right, so the other jumper took the left. The other jumper then proposed that since John didnt need to catch up to him, he would exit off and fly the line as he usually would without a camera flyer, and John agreed. Although on the way up they had discussed exit angles from these positions when the jumper on the right is flying camera, there was no further discussion at the exit regarding exit angles.
The first jumper makes his countdown and pushes off with nothing out of the ordinary. JVH jumps approximately 1.5 seconds after, and basically pushes to the same axis as the first jumper. About 4 seconds into his jump he hits the first jumper's burble. There is some shaking and a clear loss of power, and he swerves slightly left by about 10 degrees. John makes two grunts, likely realizing that he is in trouble. At a pitch (AoA) nose up he turns very quickly right, about 90 degrees, and decides to try to fly it out. Shortly after his pitch and direction change, at around 7-8 seconds, we hear what sounds like leg wing flapping. He doesnt advance more than 120m horizontally from the point where he turned, and impacts 10 seconds into his jump in the snow in the bottom of the couloir.</t>
  </si>
  <si>
    <t>BFL291</t>
  </si>
  <si>
    <t>2016-07-01</t>
  </si>
  <si>
    <t>Serbia</t>
  </si>
  <si>
    <t>Slow flight into terrain</t>
  </si>
  <si>
    <t>The jumper flew his wingsuit progressively shallower trying to stay above terrain rather than turning toward safer ground, resulting in loss of speed and glide (a recognized fatal pattern in wingsuit BASE). He realized too late he was unable to clear the ridges and his emergency deployment did not complete before terrain impact. Multiple human errors are identifiable: insufficient experience on the specific wingsuit (only 2 skydives on the V3 before BASE jumping it), choosing a terrain-proximate turning line despite unsteady performance on prior jumps, and flying at progressively higher AoA near stall rather than maintaining speed or executing an escape route.</t>
  </si>
  <si>
    <t>Jimmy exited solo, last of load of 5 from Casale near Brento in perfect weather conditions around midday. Equipment, a PF V3 purchased recently to fill the time gap waiting for his Freak. This was the last planned jump of this trip, and thus the last planned jump on this suit.
Jimmy was highly experienced skydiver, 3500+, tandem and AFF, but only around 100 WS, almost all P3. Jimmy put only 2 skydives on the V3 before taking it to the mountain. In previous days he did 12 BASE jumps, 11 from Brento, one yesterday from Casale, but straight out from exit. Many of his Brento jumps were not very good, rather unsteady.
However two steady straight out jumps yesterday, one Brento and one Casale, gave him confidence....
Today he chose to exit and turn round to the left, taking him over the most flown line over some ridges, to then turn 180 right toward main landing in soccer field where other jumpers were waiting. Jimmy exited well, but shortly after making a gentle left turn he began to try to plane the suit out to stay above the terrain, rather than turning out towards safer ground. Jimmy pulled the suit progressively shallower, over a period of 10-15 seconds, until severe lateral instability set in and he was dropping out. He kept it flying this way for a bit longer, and then realized too late he was in deep shit.
Jimmy pitched but impacted the last of the ridges before inflated canopy, dying on impact. As he had option of going straight, and using alternative landing, other jumpers waited for him at soccer field as planned, after some time passed and he was unreachable by phone they went to alternative landing and called rescue after seeing no sign of him (approx. 90 mins after jump).
Rescue located jumper quickly but he was dead at scene. Jimmy was wearing Rhino cam, footage clearly shows the above...</t>
  </si>
  <si>
    <t>BFL292</t>
  </si>
  <si>
    <t>2016-07-19</t>
  </si>
  <si>
    <t>Netherlands</t>
  </si>
  <si>
    <t>Afferden, Netherlands</t>
  </si>
  <si>
    <t>Rigging Error Under Fatigue</t>
  </si>
  <si>
    <t>The bridle separated from the canopy on deployment, indicating a rigging error (misrigging) that resulted in a total malfunction. The narrative explicitly identifies incorrect rigging setup as the cause and points to extreme fatigue from a night shift, minimal sleep, and ten prior skydives as contributing to the rigging mistake.</t>
  </si>
  <si>
    <t>['Incorrect rigging setup']</t>
  </si>
  <si>
    <t>That day, Tessa had worked a night shift as an air traffic controller (stressful job), slept for only a few hours, then did nine tandems, and one fun jump.After that, she went to inspect her gear, to prepare for the jump.
Tessa had two rigs packed prior to this jump. She opened both rigs to inspect them before jumping, and inspected them in a lit area.
This was a Slider down jump, hand held with 46" pilot chute.
On opening the pins opened the rig but the bridle separated from the canopy.
Very likely a rigging error, the cause of how and by whom being unknown. But all information points toward extreme fatigue played a large role in this rigging mistake
She was an active tandem and AFF jump-master at Teuge dropzone.</t>
  </si>
  <si>
    <t>BFL293</t>
  </si>
  <si>
    <t>2016-08-06</t>
  </si>
  <si>
    <t>Ledge strike after exit</t>
  </si>
  <si>
    <t>The jumper attempted a wingsuit BASE jump from a known difficult exit requiring a downhill run with a ledge at 300 feet that previous jumpers barely cleared. The jumper failed to clear the ledge, resulting in subterminal impact near the exit. The decision to jump this highly technical exit—described as 'super sketchy' by the narrative, previously vowed never to be repeated by one prior jumper, and jumped solo in post-rain conditions—constitutes a human error pathway.</t>
  </si>
  <si>
    <t>Jump occurred on Saturday around 4-6pm. Details still unclear as far as timing.It started raining hard at 11:15 am for 3-4 hours. Another group that included myself,hiked out from a great base jump with great weather minimal winds earlier that morning.The winds remained calm most of the day under 5mph at most.
The jumper who previously completed a solo jump that day on a new exit decided tohike again to a Jump that had been completed before by two jumpers a few years back,one who vowed he would never jump it again and one who later went missing a few mountains away.
The reason for the difficulty is a downhill exit requiring many steps with a small ledge at 300'which the previous jumpers missed by inches their first and only jump. It appears that the jumperdid not clear the ledge and at this point that is all that matters.
Lessons Learned:1./ Carry a Spot Beacon Transmitter at all times to avoid a 3 day Search by your loved ones.If you jump with in the Alberta Mountain Area this will be a pre-requisite for all jumperswho want to choose to jump this area. The Park officials have made this Fairly Clear to us inthis search and the one prior which lasted a month and is still unresolved.
2./ Even if you are sure you can do it alone, maybe text a friend andtell them your intended jump and flight Path.
3./ If a jump is super sketchy ... maybe think about what you want out of your lifeand the people's lives you touch. Base jumping is supposed to be fun, it is possible bedone safely and with longevity if you make choices that make sense.There are a few older jumpers that show that you can enjoy a longer career.</t>
  </si>
  <si>
    <t>BFL294</t>
  </si>
  <si>
    <t>2016-08-07</t>
  </si>
  <si>
    <t>Tube 3 (Tracking Suit)</t>
  </si>
  <si>
    <t>Failure to deploy parachute</t>
  </si>
  <si>
    <t>The jumper impacted in terminal freefall with nothing deployed. The narrative indicates he was flying a borrowed tracking suit he was having trouble getting to fly correctly, suggesting loss of altitude awareness or inability to deploy due to suit-related difficulties. Jumping with equipment he was known to have trouble controlling constitutes identifiable human error in decision-making and/or execution.</t>
  </si>
  <si>
    <t>Two way tracking jump, Information has come in that Gage was having some bad experience flying a borrowed tracking suit which he was having trouble getting it to fly right, He impacted with nothing out.</t>
  </si>
  <si>
    <t>BFL295</t>
  </si>
  <si>
    <t>Freak (Wingsuit)</t>
  </si>
  <si>
    <t>The jumper was flying a committing wingsuit proximity line and impacted terrain at the ridge crossing point. The narrative identifies multiple human error factors: flying a committing line in late afternoon when thermal lift had diminished compared to earlier jumps, operating at the highest margins of ability, and insufficient speed/glide to clear the ridge. The jumper had been progressively getting lower on previous passes and the conditions (reduced afternoon lift) made the line unviable, yet the jumper committed to the same flight path.</t>
  </si>
  <si>
    <t>Incident Report07 August 2016Brevent - Chamonix, France
Weather was pretty much ideal. Sunny, no clouds, 30C, slight breeze on exit, but nothing significant. Dave was jumping a Freak.At 16:15 on Sunday, Jumper was doing his fourth jump of the day on Brevent. His previous three jumps that day had all been solos in line 3, where he started off doing a high pass, and was gradually working on feeling out the line, familiarizing himself with the terrain, and getting slightly lower in it. On this jump, a second jumper was following him. Dave exits first, nothing unusual, and the second jumper follows about a half second behind. The second jumper cuts the corner around the pillar and catches up to him quickly, hits the brakes a little too hard and looses the speed necessary to stay on Jumper's glide ratio.
The second jumper turns slightly left to go for a lower point on the ridge. Dave maintains his intended flight path, aiming to cross the ridge at the highest point of line 3, as he had done on his previous three jumps.He is slightly lower on this jump though and he does not have the necessary speed to make the ridge. He sinks out and impacts as he's crossing the ridge, nothing out.
Dave survives with no major bodily injuries, but severe brain trauma.
He is flown, unconscious, to the hospital in Annecy where he is officially pronounced brain dead at 17:30 the next evening. On Tuesday morning he is operated on for organ donation. His organs saved six lives.
Being a late afternoon/early evening jump, there was less lift than on the previous jumps of the day. On his previous jumps, Dave had been 10-15 meters above the same point on the ridge. The highest possible entrance point to line 3 is very committing though, as the ridge is flat at that point.
If you realize too late that you're not going to make it, you can't just bail and cross the ridge at a lower point, you would have to make a sharp 90-110 degree turn to the left. And if you're already sinking out, that kind of a turn would likely be difficult or impossible to achieve without sliding or dropping into the terrain.
The biggest lessons to take away:1.Don't fly committing lines in the afternoon. There is less lift and it's more turbulent.2.Never operate in the highest margins of your own ability.3.Just because you've made a particular ridge or point on previous jump, dont assume that you will make it again.4.Speed is everything. Don't ever lose focus on your speed trying to get a certain amount of glide.</t>
  </si>
  <si>
    <t>BFL296</t>
  </si>
  <si>
    <t>2016-08-11</t>
  </si>
  <si>
    <t>Insufficient terrain clearance during tracking flight</t>
  </si>
  <si>
    <t>The jumper impacted terrain (the top of a notch/ridge) during a tracking flight without deploying a parachute, indicating she committed to a low flight pattern and failed to clear mandatory terrain features. The site required out-tracking specific notches, and the evidence (steep trajectory, no deployment attempt, impact at the notch) indicates a loss of speed/glide resulting in failure to clear terrain — a flight path management error. Conditions were reported as calm and ideal, ruling out unforeseeable environmental factors.</t>
  </si>
  <si>
    <t>(Katherine Donahue), or better know as Kat to the flying community, made her last human flight around 9:50 AM on August 11, 2016. The conditions in which she exited from Croix des Têtes in France were calm and peaceful. The hiking approach took a little over 2 hours accompanied by a large group of local jumpers and a few intimate friends. The moving pace was both relaxed and joyful since there was a dense cloud layer which obstructed a clear view of the landing areas below. There was no rush to arrive at the summit until weather conditions improved... Upon arriving at the exit point the groups energy became excited as the clouds parted, allowing for a majestic reveal of the stunning mountainscape around us and the entire flight path to the landing areas.
The group exited the cliff at a relaxed pace while Kat, julie and myself intentionally waited to be the last jumpers. We wanted to fully enjoy the peaceful setting of being on a mountain alone. I had carried two radios with me on the hike to communicate with our group and in case of an emergency. It was decided that I would jump first, Julie second and Katlast, as she insisted she wanted to go last. I exited from the mountain, had a smooth tracking flight and windless landing. Shortly thereafter, I radioed up to Julie and Kat that the conditions were ideal, the wind was very calm and my landing pattern was from right to left at the tracker landing location. The batteries in Kat's radio died shortly after my last communication of conditions (of which I was not aware) and I saw Julie exit from the cliff with a good flight and safe canopy opening.
Approximately 30 seconds after Julie exited, I witnessed Kat push off the cliff cleanly and into a steep track. I was able to clearly watch her body fly for about 7-8 seconds before it disappeared behind a ridge line that concealed a section of the jump. From my perspective, Kat appeared to be flying in a steep trajectory away from the vertical section of wall. I waited to see her emerge around a second notch in the terrain, either still tracking or under canopy depending on her flight decisions. After waiting a couple of minutes I didnt see any evidence that she had cleared the second notch and I began trying to contact her on the radio. With no response after 5 minutes I immediately ran down to where Julie had landed and we attempted to reach Kat twice on her cell phone, leaving messages and updates to our actions and concerns. It was assumed she had either pulled low and was up on the talus, unable to communicate effectively or both devices had been lost or damaged somehow. At that point we called a rescue helicopter to assess the situation from an aerial perspective.
To the best of our knowledge it appears that Kat impacted the top of the first of two notches that a tracker must out fly while tracking Croix des Têtes. After examining her gear and the resting spot of her body we suspect that she died on impact without deploying a parachute or pilot chute. There seems little reason to think there was any case of bridle wrap. Both toggles were still found in the stowed position and the slider remained up. Three of her lines had been broken near the connection point to the canopy, likely from snagging on a tree or cliff edge on the top of the notch. Her initial impact is most likely what caused the parachute to come loose from the container. Based on evidence of minor tears in her track suit, grass and mud stains found on her gear (on both the interior and exterior of her container) we assume she committed to a low flight pattern and attempted to out track the first notch, but was unsuccessful in doing so. Her body then fell to its resting place at the base of the notch/waterfall with her canopy draped over her body. Due to the visibly steep angle of her track and the proximity of the notch where she impacted, she collided at high speed, suggesting no prolonged suffering. Further evidence supports this as her helmet was not found on her head, or anywhere near the body.</t>
  </si>
  <si>
    <t>BFL297</t>
  </si>
  <si>
    <t>Homemade One Piece TS (One Piece Tracking Suit)</t>
  </si>
  <si>
    <t>Unstable exit with environmental factors</t>
  </si>
  <si>
    <t>The jumper impacted subterminal near the exit point, indicating failure to achieve a flyable configuration after exiting. The narrative reports snow on the exit point causing a likely slip, combined with a homemade tracking suit as a possible contributing factor. Jumping from a snow-covered exit point represents a human error in evaluating conditions, and the resulting unstable exit led directly to the fatal impact.</t>
  </si>
  <si>
    <t>Olivier was involved in a two way and information from his family is that there was snow on the exit and they believe he has slipped.
More information has been received stating that his one piece suit could of also been a factor in this fatality.</t>
  </si>
  <si>
    <t>BFL298</t>
  </si>
  <si>
    <t>2016-08-13</t>
  </si>
  <si>
    <t>Unstable wingsuit exit into ledge</t>
  </si>
  <si>
    <t>The jumper exited unstable with legs going over his back, resulting in impact with a known ledge shortly after exit. The narrative explicitly identifies an unstable exit as the producing mechanism. Additionally, strong winds were present, and the jumper chose the higher exit with a known dangerous ledge rather than the lower, more forgiving exit, indicating human error in both execution and decision-making.</t>
  </si>
  <si>
    <t>Jumper in question is jumping the higher exit on Titlis, he has exited and his legs have gone over his back causing him to exit unstable only a few seconds later he impacts the ledge that is only a few secs after this dangerous exit.
There is a lower exit only a few mins below that does not have a ledge as dangerous as the higher exit, If you are planning on jumping the high exit remember that a bad exit at this altitude will cause your body to impact the ledge.</t>
  </si>
  <si>
    <t>BFL299</t>
  </si>
  <si>
    <t>Lake Garda, Italy</t>
  </si>
  <si>
    <t>Misjudged proximity line</t>
  </si>
  <si>
    <t>The jumper elected to fly a left line over a ridge and misjudged his position, lacking the height or glide to clear it. He failed to make an emergency pull and impacted in full track. This represents a decision error in line selection and a failure to deploy the parachute when clearance was not achievable.</t>
  </si>
  <si>
    <t>Lee Jackson was tracking the exit Cima Capi. After exiting 3rd, he elected to fly a left line which took him over a ridge. He didn't have the height or glide to clear it , having misjudged his position and failed to make an emergency pull, impacting in full track.
For those of you who had the pleasure of meeting Lee, you could not help but notice just how much of a naturally talented BASE jumper he was. He had an effortless style, a carefree attitude and his antics and thinking outside of the box on a lot of jumps were refreshing and fun. He will be sorely missed by many. Fly Free Lee.</t>
  </si>
  <si>
    <t>BFL300</t>
  </si>
  <si>
    <t>Lolo (One Piece Tracking Suit)</t>
  </si>
  <si>
    <t>Proximity tracking impact</t>
  </si>
  <si>
    <t>The jumper was proximity flying a 'very positive' cliff described as lacking any margin for suboptimal parameters. He clipped a ledge after exiting and impacted terrain in mid-track without deploying a parachute. The decision to fly a line with zero margin for error constitutes a human error pathway, as the object's characteristics made any deviation from perfect performance fatal.</t>
  </si>
  <si>
    <t>Laurent jumped Chapeau de Napoléon next to Dent-de-l'Arclusaz with his one piece tracksuit and impacted in mid-track, presumably without pulling. He had been recently training mostly with his wingsuit but saying he was not current at tracking anymore would be largely implausible. This jump is a modern very positive "one piece tracking" one, lacking any sort of margin for human or environmental suboptimal parameters.
Lolo was an extremely talented jumper as well as a bright minded enthusiast, thinking out of the box and coming out with innovative design concepts. His uncommon approach lead him to build his own tracksuits dubbed the "Lolo Suits". He inspired many and showed the community what what possible to achieve through the concept of single piece tracking suits (onesies). Recognized as one of the best trackers out there he achieved many lines that were before believed to be specific to wingsuits only, and notably tracked the Brévent exit in summer 2015 with his friend Veush</t>
  </si>
  <si>
    <t>BFL301</t>
  </si>
  <si>
    <t>2016-08-17</t>
  </si>
  <si>
    <t>Jedei 3 TT (Wingsuit)</t>
  </si>
  <si>
    <t>Aggressive maneuver caused loss of control</t>
  </si>
  <si>
    <t>The jumper attempted a radical 90-degree right turn toward the base flyer to close an altitude gap, misjudged closing speed, and the resulting collision avoidance maneuver (closing right arm wing and bending right leg) put the wingsuit into an unrecoverable diving right turn into the wall. The narrative explicitly identifies that he chose a non-standard technique to lose altitude and executed the maneuver too aggressively, constituting a human error in flight execution.</t>
  </si>
  <si>
    <t>Uli was performing a 3 way wingsuit flight from the black line exit. Weather conditions were good. The brief was to turn right after exit flying parallel to the wall, in a loose stair-step formation to the left of the base. The exit was clean, Uli exited 2nd after the base with the 3rd flyer following after.The base flyer initiated a 50 degree right turn towards Lauterbrunnen, flying parallel to the wall at a safe distance (20 - 30m).Uli made a good start and followed the base. About 10 seconds into the flight he was approximately 10m directly over the top of the base.At this point Uli swept his arm wings probably in an attempt to dive down to the base but without success.He then slid left approximately 10m and initiated a radical 90 degree right turn towards the base. He immediately began to straighten his trajectory to be parallel with the base but appeared to misjudge his closing speed.The base saw Uli arriving from their left at high speed and the base flared to try to avoid the collision.Uli passed under the base on head level and there was light contact between the jumpers left feet. As Uli passed under the base he closed his right arm wing and bent his right leg, probably in preparation for the collision, which in the end was mild.Uli's body position put the suit in to a hard diving right turn directly towards the wall, he struggled to regain control of the suit in a near vertical position but impacted the wall a few seconds later.In the previous jumps Uli had commented on having difficulty diving down to the base and how he often used an 'S' turn to lose altitude.The base was flying a smaller class suit (Scorpion) compared to Uli (Jedei 3) which likely contributed to the level issues.Uli had around 60 BASE jumps on the suit in question, over 2000 BASE jumps total and was current.He was regarded as one of the best wingsuit pilots in the world, opening some of the most technical short start exits to date as well as flying through a 3m metal ring and a 2m cave. Whilst we can never be 100% sure of Uli's intention it would seem he chose a non-standard technique to lose altitude and executed the maneuver too aggressively.</t>
  </si>
  <si>
    <t>BFL302</t>
  </si>
  <si>
    <t>The narrative describes an exit that was 'too head low and not far away,' resulting in the jumper clipping a ledge with his feet approximately 2 seconds after exit. This unstable exit threw the jumper head-down, from which he never recovered, impacting the terrain with nothing deployed approximately 7-8 seconds later. The poor exit technique constitutes a human error that directly produced the fatal outcome.</t>
  </si>
  <si>
    <t>The rock was dry but the mud was still a bit slick, 3 jumpers. He went last. I saw him exit. The exit looked unusual, too head low and not far away. Shortly after exit there was a jolt in his body position (2 seconds in). I suspect he clipped the ledge with his feet. His body was thrown head down and he remained in that position until he impacted with nothing out about 7-8 seconds later right above the tree ledge. At this point the canopy came out and he had another wall strike before tumbling and coming to rest on the talus.</t>
  </si>
  <si>
    <t>BFL303</t>
  </si>
  <si>
    <t>2016-08-20</t>
  </si>
  <si>
    <t>Belarus</t>
  </si>
  <si>
    <t>Karbardino - Balkaria Mountains, Belarus</t>
  </si>
  <si>
    <t>The narrative provides only that the jumper impacted terrain in full wingsuit flight during proximity flying. No details are provided about experience level, equipment configuration, specific flight decisions, environmental conditions beyond 'light and variable' winds, or the mechanism that led to terrain impact. There is insufficient information to determine whether human error or an unforeseeable cause produced the fatal outcome.</t>
  </si>
  <si>
    <t>Impacted Terrain in Full flight.</t>
  </si>
  <si>
    <t>BFL304</t>
  </si>
  <si>
    <t>2016-08-22</t>
  </si>
  <si>
    <t>Aerobatic maneuver into terrain</t>
  </si>
  <si>
    <t>The jumper was performing an aerobatic maneuver (barrel roll or corkscrew roll) during a wingsuit proximity flight and impacted trees during the maneuver. Performing aerobatic maneuvers near terrain represents a deliberate action that directly produced the fatal outcome, constituting human error.</t>
  </si>
  <si>
    <t>A two way wingsuit flight and the jumper in this fatality had been doing a maneuver either a barrel roll or a corkscrew roll and impacted trees whilst doing so..</t>
  </si>
  <si>
    <t>BFL305</t>
  </si>
  <si>
    <t>2016-08-25</t>
  </si>
  <si>
    <t>Inadequate exit from ledge object</t>
  </si>
  <si>
    <t>The jumper exited a 250-meter wall with a known ledge just below the exit that required a running exit or very strong push to clear. The jumper clipped the wall with his feet shortly after exiting, indicating an insufficient exit push or technique. This unstable exit led to inadequate object separation, a 180-degree off-heading opening, and fatal wall impact during deployment.</t>
  </si>
  <si>
    <t>['180 Offheading', 'Clipped ledge after exiting', 'Unstable exit']</t>
  </si>
  <si>
    <t>It's a 250 meter wall, with a ledge just below the exit, a running exit or a very strong push is needed to clear. Jumper went solo, slider up.Relatives on LZ report seeing him clip the wall with his feet shortly after exiting, and deploying but hitting the wall as the canopy deployed, sliding down the wall all the way to the bottom. First responders found him alive and conscious and evacuated him to the nearest first aid facility, where he later died from injuries before the ambulance could arrive</t>
  </si>
  <si>
    <t>BFL306</t>
  </si>
  <si>
    <t>2016-08-26</t>
  </si>
  <si>
    <t>Rebel Freebird (Wingsuit)</t>
  </si>
  <si>
    <t>The jumper died from impact in terminal freefall during a wingsuit proximity flight. The possible factors listed—loss of speed-glide and proximity flying—indicate the jumper flew too close to terrain without sufficient margin. Per the domain reference, flying near terrain with insufficient retained energy (speed) to convert to glide is a recognized human error pattern in wingsuit BASE, where slow flight or inadequate margin leads to inability to clear terrain.</t>
  </si>
  <si>
    <t>This is reportedly to be the first Base jumper to film his last fateful flight using the Facebook Live app.
http://www.blick.ch/news/schw...id5423950.html
http://imgur.com/4SnCgfK</t>
  </si>
  <si>
    <t>BFL307</t>
  </si>
  <si>
    <t>2016-08-28</t>
  </si>
  <si>
    <t>Vampire Sukhoi (Wingsuit)</t>
  </si>
  <si>
    <t>The jumper exited 45 degrees head high, resulting in an upright/knee-first fall rather than forward flight. This poor exit prevented adequate forward separation and created a steep recovery arc that was insufficient to clear the ledge 50 meters below the exit. Multiple human error factors are identifiable: the jumper decided to jump despite physical exhaustion from a prolonged hike, marginal conditions with tailwind/downdraft, and executed a critically flawed exit from an object requiring mandatory obstacle clearance.</t>
  </si>
  <si>
    <t>201C2, 201C3, 204E</t>
  </si>
  <si>
    <t>['Crosswinds on exit', 'Not enough forward seperation on exit', 'Unstable exit']</t>
  </si>
  <si>
    <t>Early morning a group of 3 jumpers went up Grotto mountain, Canada. Grotto is a 3600 ft Mountain, with 150 meters down to to a 50 meter ledge, that jumpers need to clear. The location has been jumped countless times without incident by local jumpers. Jumper struggled a bit, turning the 3-hour hike into a 5-hour trip up.He was made aware of the technical details and difficulty of the jump on multiple occasions, but felt confident in his motivation/choice to jump. He had a good amount of experience on the wingsuit model he jumped. The previous day Jumper made an uneventful base jump with a controlled and smooth exit at a different location using the same gear, which boosted confidence in his ability. Arriving at the exit point, clouds didn't allow for clear visibility, so the jumpers waited around 4 hours for conditions to improve thenVisibility improved, with clear view from exit till landing, with a tailwind over the mountain creating a slight downdraft.Jumper 1 was comfortable jumping, and started getting ready. Jumper also decided to jump, exclaiming "I'd rather jump than hike down." due to being tired. Jumper 3 decided to go back down, not being comfortable with conditions combined with a new wing suit.Jumper 1, flying the same wing suit model, had an uneventful exit and flight, clearing the ledge nice and high. Jumper jumped second, and exited with a normal push, but 45 degrees head high. Instead of a normal start he started falling down upright/knee first.He was observed by jumper 3, not moving forward but going flat, creating a very steep recovery arc.He started flying too low, and impacted the ledge with his chest. He then tumbled down the mountain, coming to a stop on a ledge another 500ft lower. The severity of the impact shows death was instantaneous.</t>
  </si>
  <si>
    <t>BFL308</t>
  </si>
  <si>
    <t>2016-09-14</t>
  </si>
  <si>
    <t>Slow flight to stall</t>
  </si>
  <si>
    <t>The jumper flew at maximum glide (too high AoA) without maintaining adequate airspeed, progressively losing speed until the wingsuit stalled. The witness explicitly states the jumper did not realize he was losing speed and lacked sufficient experience with the suit to recognize the deteriorating energy state. This is a clearly identifiable human error in airspeed/AoA management during wingsuit flight.</t>
  </si>
  <si>
    <t>The last 2 days before the accident I did 4 jumps with Théo and his new Aura2. From 3 different exit point. He previously flew nice, good start, good glide, speed ok.On Wednesday morning we went to Sans Bet, We were 3 wingsuiters and one speed flyer.Theo had done this jump 5 days ago. He did a really nice and safe jump, high over the ground and nice glide.He didn't want to do proximity flying, he wanted to fly high because he was a beginner with this suit.Speed flyer took off 5 mins before we jumped. The conditions were perfect. We did a 3 way, Theo started first because he had less experience than us. Adri and I went straight on the right, Theo pushed straight and turn right after.He did a better start than 5 days ago at the same spot. So he turned a bit earlier on the right. With his good start he didn't take much speed and started to fly glide max over the ground (maybe 100m over). He lost his speed slowly and didn't realise he was losing speed. When he started to stall it was too late and too much on the right. He had not enough experience with this suit to realise he was losing speed</t>
  </si>
  <si>
    <t>BFL309</t>
  </si>
  <si>
    <t>2016-09-24</t>
  </si>
  <si>
    <t>Cocora valley, Colombia</t>
  </si>
  <si>
    <t>The jumper experienced a 180° off-heading with line twists resulting in object strike. However, the narrative provides no information about the specific cause of the off-heading — it could stem from packing error, body position at deployment, PC issues, wind conditions, or other factors. The reported 'medium winds' are noted but without specifics on direction, speed, or how they related to the exit orientation, this alone does not establish a clear human error pathway. With 450 BASE jumps, the jumper was experienced, and the narrative lacks sufficient detail to distinguish between human error and other causes of the off-heading opening.</t>
  </si>
  <si>
    <t>The jumper in this fatality had previously jumped this exit 2 times before , on this jump he opened with an off heading and a line twist which put him directly impacting the wall and had died due to his injuries.</t>
  </si>
  <si>
    <t>BFL310</t>
  </si>
  <si>
    <t>2016-09-30</t>
  </si>
  <si>
    <t>The jumper was proximity flying in a wingsuit and attempted to fly over a terrain feature (the original Melchstul exit ledge). He impacted the terrain in terminal freefall just after crossing the ledge, indicating insufficient speed, glide, or margin to clear the terrain. The decision to fly a line requiring clearance of a terrain feature with inadequate margin constitutes human error.</t>
  </si>
  <si>
    <t>Jumper did a solo jump from high melchstul And tried to fly over the original melchstul exit he impacted just after crossing over the ledge. Telling by the marks on the ground where he impacted he never had a chance to pull he impacted in flight and then rolled and tumbled down on the back side of the original melchstul exi</t>
  </si>
  <si>
    <t>BFL311</t>
  </si>
  <si>
    <t>2016-10-03</t>
  </si>
  <si>
    <t>The jumper impacted with nothing deployed ('nothing out') and was unable to locate the pilot chute. There were no witnesses, and the narrative explicitly states 'we may never know' the cause. While 'unable to locate pilot chute' is listed as a possible factor, the reason for this failure is unknown — it could be human error (inability to reach BOC, loss of altitude awareness, incapacitation) or other causes, but there is insufficient information to determine which.</t>
  </si>
  <si>
    <t>What we know is that the jumper in this fatality has impacted a house in the chamonix area no other people were injured as house was being built at this time but so far we can only say he impacted nothing out and because of no witnesses to the fatality we may never know</t>
  </si>
  <si>
    <t>BFL312</t>
  </si>
  <si>
    <t>2016-10-09</t>
  </si>
  <si>
    <t>Wingsuit exit in strong winds</t>
  </si>
  <si>
    <t>The jumper exited in winds of 5-10 m/s (11-22 mph), which the domain reference identifies as conditions where few objects are good (&gt;10 mph) and none are good (&gt;20 mph). The witness observed the jumper tumbling from exit to impact with no parachute deployed, indicating an unstable exit leading to a subterminal impact. The decision to exit in strong winds constitutes a human error, as these conditions were observable and forecastable before the jump.</t>
  </si>
  <si>
    <t>['Strong winds', 'Unstable exit']</t>
  </si>
  <si>
    <t>The wind was recorded 5-10m/s at the time of Wingsuit exit. Witness(the farmer) from the landing area says he could only see jumper tumble after exit until impact with no parachute.Jumper was experienced, current at this exit over the last 4 days and jumping alone</t>
  </si>
  <si>
    <t>BFL313</t>
  </si>
  <si>
    <t>2016-11-18</t>
  </si>
  <si>
    <t>Iran (Islamic Republic of)</t>
  </si>
  <si>
    <t>Unstable exit impact</t>
  </si>
  <si>
    <t>The jumper had a bad exit from an unforgiving exit point and impacted terrain subterminal near the exit a few seconds later. The narrative explicitly identifies a bad exit resulting in insufficient separation from the object, indicating human error in exit execution.</t>
  </si>
  <si>
    <t>['Not enough separation from object', 'Unstable exit']</t>
  </si>
  <si>
    <t>The jumper in description had a bad exit on an unforgiving exit (even with ramp in place) and impacted a few seconds after.</t>
  </si>
  <si>
    <t>BFL314</t>
  </si>
  <si>
    <t>2017-01-25</t>
  </si>
  <si>
    <t>The narrative states only that the jumper impacted with nothing out while attempting to open a new wingsuit exit near terrain. No details are provided about the exit, body position, equipment state, deployment attempt, or flight path that would allow identification of a specific human error pathway. While proximity flying and a new exit are noted, the cause of the total malfunction (no deployment) cannot be determined from the available information.</t>
  </si>
  <si>
    <t>Graham Dickinson has died on the 25th in china , trying to open a new exit near the black dragon wall... Impacted with nothing out..The name and information is produced here as this is a closed group.</t>
  </si>
  <si>
    <t>BFL315</t>
  </si>
  <si>
    <t>2017-02-18</t>
  </si>
  <si>
    <t>The jumper experienced a steep flight path immediately after exit, flipped, and was unable to recover before impact. Whether the steep flight was caused by slipping or another factor is explicitly stated as unknown. While the outcome involved an unstable exit, the root cause cannot be determined from the available information, and the jumper's extensive experience (2400 BASE jumps, 1500 WS BASE) does not support a clear human error pathway without knowing what caused the initial instability.</t>
  </si>
  <si>
    <t>Walter was to jump last. After exit he got very steep quite soon, flipped, tried to correct with some corkscrewish turn. Nothing out on impact. Wether the steep flight was caused by slipping or something else is unknown. Exit was free of snow.</t>
  </si>
  <si>
    <t>BFL316</t>
  </si>
  <si>
    <t>2017-04-01</t>
  </si>
  <si>
    <t>C-Race (Wingsuit)</t>
  </si>
  <si>
    <t>Failed PC extraction in wingsuit</t>
  </si>
  <si>
    <t>The jumper was unable to locate and extract the pilot chute from the BOC during wingsuit deployment. Rather than returning to stable flight and reattempting, he continued searching while losing speed, altitude, and stability, ultimately impacting the ground without deploying his canopy. This was only his second jump with this wingsuit, indicating insufficient familiarity with the suit's BOC access characteristics.</t>
  </si>
  <si>
    <t>It was his second jump with this suit ever, second from the Brento too. 2-way with a friend. Everything is good, they have Sena Talking device, the first guy say to (Jumper) he will separate to pitch at something. He turns and looked at (Jumper), they are 400m from the ground and he saw him trying to pull and getting unstable, saying "shit,shit,..." until he impacted the ground. Dead on impact.More information from jumper on the 2 way..He did the correct manouver to pull but he had some problem and instead of returning to flight and retry the procedure he continued to search for the PC, loosing speed, altitude and stability and was starting to roll etc...If he had of returned to flying position and retry instead of continue searching to pull maybe he could be still here.. We were really high when we chose to break off and start our deployment sequence.</t>
  </si>
  <si>
    <t>BFL317</t>
  </si>
  <si>
    <t>2017-04-22</t>
  </si>
  <si>
    <t>Ireland</t>
  </si>
  <si>
    <t>Cliffs of Moher, Ireland</t>
  </si>
  <si>
    <t>The jumper experienced an off-heading opening (60-70° left) that continued turning toward the cliff, possibly due to a brake fire or tension knot, resulting in object strike. The witness account is uncertain about the malfunction type ('Hard to say'), and there is insufficient information about packing, equipment condition, body position at deployment, or other factors to determine whether a specific human error or equipment failure independent of human error caused the off-heading and continued turn. The narrative does not provide enough detail to distinguish between human error and other causes.</t>
  </si>
  <si>
    <t>The jumper in this fatality opened his canopy and impacted wall several times. His friends and rescuers worked on him (CPR) for an hour but was pronounced dead in the landing area.Information coming from jumper on the scene"It opened about 60-70 left and then continued turning left towards the cliff, possibly a brake fire or tension knot... Hard to say.I *think* Malcolm may have then tried to make a left turn away from the cliff but this just swung him at the cliff face a bit faster.</t>
  </si>
  <si>
    <t>BFL318</t>
  </si>
  <si>
    <t>2017-05-26</t>
  </si>
  <si>
    <t>Freak 2 (Wingsuit)</t>
  </si>
  <si>
    <t>The jumper executed a noticeably head-low exit from a wingsuit cliff jump, resulting in a corkscrew (uncontrolled rotation) that led to wall impact approximately 4 seconds after exit. A head-low exit is a recognized wingsuit exit error that prevents proper flight initiation and constitutes a human error in exit technique.</t>
  </si>
  <si>
    <t>['Crosswinds on exit', 'Unstable exit']</t>
  </si>
  <si>
    <t>Wingsuit jump from Pilastro. Flying a Freak 2. Incident occurred at approximately noon local time.Wind at exit was jumpers right to left crosswind around 7 mph.Jumper at exit point reported that the exit was noticeably head low. Jumper in LZ saw him corkscrew and then the suit flew him into the wall about 4 seconds after exit. Canopy deployed after impact and slid, then hung up on the cliff.Both eyewitnesses—the jumper in the LZ who saw and the last jumper at exit—have more than 500 jumps and more than 10 years in sport. Both are experienced BASE wingsuit pilots.Mountain rescue was called immediately, and a helicopter arrived approximately 10 minutes after the incident. A rescue team was landed on the top of the cliff, and a rescuer rappelled to the canopy. Extrication took approximately 2 hours from the time of the incident, and the jumper was pronounced dead on site by the coroner.</t>
  </si>
  <si>
    <t>BFL319</t>
  </si>
  <si>
    <t>2017-05-30</t>
  </si>
  <si>
    <t>Off-heading with no correction</t>
  </si>
  <si>
    <t>The jumper received a 180-degree off-heading opening on a slider-down cliff jump and failed to execute heading correction maneuvers. Evidence shows toggles were never unstowed, indicating no corrective action was taken. The canopy flew back into the cliff resulting in multiple object strikes and fatal injuries. The failure to perform off-heading correction procedures constitutes identifiable human error.</t>
  </si>
  <si>
    <t>Jumpers in the area have managed to inspect Seths gear and see that his toggles have not been unstowed plus pictures from a customer on the boat show that he received a 180 and impacted wall between 1-4 times and then coming to rest on the talus where he died from his injuries. Also note we have been told that the jumper may have been jumping into a possible head wind.------------------------------------------------------------------------------------------------------------Update 31st mayHere is the update to this incident: According to the official police report, and EMT accounts, the jumper opened his canopy, then for some reason had a cliff strike.He then rested on the talus, where EMT's found him.NOTE: I just talked to the investigator about this incident, and this is what I have been told:The witness in the boat charter that saw the incident stated the jumper waved at the boat, then backed up, and then jumped.About 2/3rds the way down, for some unknown reason, the canopy flew back into the cliff. He struck the cliff several times before landing upon the talus.The EMT's arrived to the jumper and he was still alive but sustained severe trauma to his lower extremities. It was assumed both legs were fractured, and possibly his pelvis. CPR was performed for about 20-minutes, before the jumper was pronounced dead.* From the EMT report, it is likely that a pelvis and/or a femur break could have been a leading cause of internal bleeding.[B]*** One thing is for sure; everyone should understand the importance of proper off-heading emergency procedures. ***[/B]I have seen many videos on YT &amp; FB showing jumpers using toggles to turn a canopy, and the video shows the jumper striking the object.Learn your DBS for your canopy. Learn object avoidance procedures.</t>
  </si>
  <si>
    <t>BFL320</t>
  </si>
  <si>
    <t>2017-06-18</t>
  </si>
  <si>
    <t>Annecy, France</t>
  </si>
  <si>
    <t>Insufficient margin in proximity flight</t>
  </si>
  <si>
    <t>The jumper flew a full-glide proximity line above a ridge that required sustained high glide ratio, without retaining sufficient speed and altitude reserves. His brother's account explicitly states he did not leave enough safety margin, lost speed at the end of the ridge, and encountered descending air during a turn that he could not recover from. Flying a line that demands full glide performance with no margin for error or environmental variation constitutes a decision error.</t>
  </si>
  <si>
    <t>['Hot with thermals producing']</t>
  </si>
  <si>
    <t>This flight needs a good glide and an even better one if you wish to fly above the ridge as Thomas did on his last flight, At the beginning of the flight we had very good thermals so we flew high and very fast then my brother began to fly above the ridge and I stayed on the right hand side of him as I was flying lower than him and I was following him.The ridge as you fly along gets flatter and flatter and at the end it's around a 3.5 glide ratio, one side of the ridge is east and one is west.It seems that at the end of the ridge he did not have enough speed and height and when he decided to turn to the landing zone he may have caught some cooler descending air and he lost his flight characteristics very quick .He knew that it was a full glide flight above the ridge because he had told me this prior to jumping, it's never a good idea to proximity fly without some speed in reserve. At that very moment when he turned he might have realised it was too late and even he knew to reserve some speed.He was never taking too much risk usually on his flights but he made a wrong choice as it can happen to many of us at any time. He just did not leave enough safety margin You lose reality of danger when you live your dreams, flying above the mountains we are always fragileParachute was found open at line stretch, slider up and front cells still folded suggesting the gear was opened on impact or a very low emergency low pull.The jump was a two way they exited and flew the left line which is a highly advanced and technical line to be flying putting you at full glide and proximity flying the flight. He was found impacted shortly after. Picture and information supplied by his brother.</t>
  </si>
  <si>
    <t>BFL321</t>
  </si>
  <si>
    <t>2017-06-28</t>
  </si>
  <si>
    <t>Failed to extract pilot chute</t>
  </si>
  <si>
    <t>The jumper was unable to locate and extract the pilot chute from the BOC pocket during wingsuit flight, resulting in impact without canopy deployment. The narrative explicitly describes the jumper struggling to pull the PC, trying different moves, and de-arching instead of arching - indicating a failure in the deployment sequence. The pilot chute was found barely out of the pocket post-impact with the bridle still folded, confirming the PC was never successfully deployed.</t>
  </si>
  <si>
    <t>About the jump:Me in front leading the way, Micah wanted to follow me and Mathias as number three.Micah exited on the inner so he could be on me from the beginning. We had good starts turning right to enter behind the spires and into the huge couloir. I saw Micah´s shadow when we where flying through in a quite hard dive and lots of energy. That part of the flight was amazing. Beautiful, fast, powerful and safe in the same time.When we disconnected and flew out in the valley I saw Micah on my right side flying out in safe environment to pull. We had pretty good height when we flew out in the valley. When I saw his video I saw him flare and have lots of altitude. At this point myself was still continuing flying much lower than Micah.I pulled my canopy and right after opening i saw Micah still on my right side continuing flying. I was quite shocked that he hadn`t pulled because he started to be low. Then i saw him struggling to pull his PC. I saw he tried different moves. I'm not 100% but i saw him de-arch instead of arching. Then he turned over to his back just before the impact.He was fighting to the very end to find the PC, he was not interested at all to crash himself into the ground. The eyewitnesses heard him scream before impact.I landed and called rescue and ran over to find Micah. There was several people from the neighbourhood there already. There was nothing we could do.When police and ambulance came we checked Micah`s rig. Pilot chute was just out of the pocket, bridle still in folds. So the pilot chute came out of the BOC on impact.We checked pins and they were moving, just to be 100% sure. We could not check his WS at this moment, but I think this issue has been taken from other jumpers and the manufacturer.This accident was one of the accidents that just should not happen. I look back at the jump and can`t find any other things we could do to avoid this. The jump is one of the safer jumps I do. The flight pattern was done in a proper way. I hope we can learn from this as with all the other accidents. The pull is the moment when I have highest heart beats through a jump. Be sure that you can pull whatever you fly.I'm really sad for the loss to all of you.
Tom Erik Heimen</t>
  </si>
  <si>
    <t>BFL322</t>
  </si>
  <si>
    <t>2017-07-05</t>
  </si>
  <si>
    <t>Vampire Alpine (Wingsuit)</t>
  </si>
  <si>
    <t>The jumper struck a ridge during wingsuit proximity flying with no attempt to deploy a parachute. The narrative indicates he was flying a challenging left-sector line rather than the easy direct path, possibly pushing to fly further over terrain on his second flight of the day, suggesting a judgment error in line selection or terrain clearance assessment. Contributing factors include limited experience with the specific wingsuit (10-12 jumps) and a selfie stick camera mount that may have impaired vision and depth perception.</t>
  </si>
  <si>
    <t>The Jumper did his second wingsuit jump from Mt. Civietta on this day (05.07.17). The meteorological conditions were good with a light wind from the left (south to north), same like at the jump before. Several lines are possible to fly from the exit point to the landing area. A direct flight path would be easy, others are more challenging to the left sector. As he was the last jumper out of a group of 9 wingsuiters, nobody was able to witness his final jump. After he didn’t show up in the landing area, nor called, search and rescue was informedLater he was found approximately 2km in front of the exit point on a rather left flight path line. He must have striked a ridge with trees in freefall/full flight and he come to rest in the gulch behind. It is confirmed that there was no attempt to pull and he must have died instantly. Despite the tragic, it might just have been a terrible error in judgment. Thoughts for relevance: He used a suit which he had only jumped 10-12 times (not that critical at this spot if you choose the right line). Also, he was wearing a selfie stick camera mount on his helmet which may disturbed his vision and depth perception. Plus he did his second flight that day from almost the same spot and might have been pushing it to fly further over the hill in front of him. Sad but real, another good one is gone…</t>
  </si>
  <si>
    <t>BFL323</t>
  </si>
  <si>
    <t>2017-07-06</t>
  </si>
  <si>
    <t>Continued flight without margin</t>
  </si>
  <si>
    <t>The jumper flew a slow, low flight path over the plateau, passing the ridge lower than expected. Despite multiple opportunities to perform an emergency pull, he continued flying in an attempt to pass the plateau and impacted terrain without deploying his parachute. This represents a decision error in continuing proximity flight without adequate speed/glide margin and failing to execute an available emergency deployment.</t>
  </si>
  <si>
    <t>The planned line was to fly around Aiguille Grise, pass a ridge, fly over a plateau (with a hut at the end of the plateau), dive into a gully after the plateau then pull and land in the fields below. David exited first, followed by jumper #2 and jumper #3. David's flight was slow, he passed the ridge lower than expected and flew quite low over the plateau. At this point jumper #2 was higher and in front of David. Shortly after, jumper #3 had previously breaked and dived hard to stay close to David, detached a little and decided to pull and landed safely on the plateau. Jumper #2 stayed high and flew the end of the line as planned. David had then a few opportunities to perform an emergency low pull but decided to try to pass the plateau. He impacted about 2m before the end of the plateau, without having tried to pull, and tumbled into the gully below where he came to a rest.</t>
  </si>
  <si>
    <t>BFL324</t>
  </si>
  <si>
    <t>2017-07-15</t>
  </si>
  <si>
    <t>PC Deployment Through Compression Cord</t>
  </si>
  <si>
    <t>The narrative states the jumper reached his hand through the stash bag compression cord and pulled the PC out through it, causing a PC entanglement that resulted in a total malfunction (PC in tow). This indicates a deployment execution error where the jumper's hand path during PC extraction created the fatal entanglement.</t>
  </si>
  <si>
    <t>A well known and experienced wingsuit flyer has inspected the gear and with all Information and signs are pointing that the cause of death was caused by his Pilot chute being entangled with his Stash bag Compression Cord, Although highly unlikely but it seems he has reached his hand through the compression cord and then pulled the PC out through the cord.</t>
  </si>
  <si>
    <t>BFL325</t>
  </si>
  <si>
    <t>2017-07-16</t>
  </si>
  <si>
    <t>La Noguera, Spain</t>
  </si>
  <si>
    <t>Early unstable deployment</t>
  </si>
  <si>
    <t>The jumper deployed at 3-4 seconds while unstable at the vertical section of a cliff configured for a 9-second slider-up delay. This premature, unstable deployment of a slider-up packjob at sub-optimal airspeed produced a violent off-heading opening (~140°) with canopy surge toward the cliff, resulting in fatal object strike. The deployment timing, body position at deployment, and mismatch between packing configuration and actual delay all represent identifiable human errors.</t>
  </si>
  <si>
    <t>It was a perfect day, sunny and a slight breeze from the North (tailwind).We arrived 7 jumpers to the exit, the idea was to jump and land in the water in the reservoir while cutting away. We had a support boat in the water.The day before we were jumping in Benasque and Ager and all was going great. Luis had also just returned from a trip in LAuterbrunnen having done loads of jumps there and he was very current with tracking.The Pared de Aragon is 450m to impact. For the first 3/4 seconds the cliff is near vertical, and then it's super overhung.Normally we take between 8 and 11 seconds, though in this occasion since we were wearing shorts 8 to 9 seconds was perfect. Rig was packed slider up.We got jumping one by one and everything was running perfect and according to plan. Drop in the water, retrieve the canopy, and onto the shore.Luis exited last, it was his first jump from this cliff.Watching from below, it looked like he had a good exit and then, possibly when transitioning to a tracking position, he was seen to become unstable and he pitched around the 3/4 second mark leading to a very violent off heading of about 140 while still in the vertical section of the cliff.It seemed he attempted to turn it around, but due to the proximity of the wall and the speed with which the canopy surged he impacted hard on his side on top of a ledge.He was not seen to be moving or attempting to regain control after the initial impact. The canopy remained pressurized, facing the wall, and Luis was deposited at the base of the cliff taking some further impacts along the way.There was nothing it could be done for him, the first impact was fatal.A very unlucky incident... If it had happened a bit lower it would have been a non-event. 180's in this wall are generally not a problem to turn them around as you are well away from the cliff with loads of space.Notes: While we will never know what made Luis become unstable and the reasons why he took the decision to pitch at between 3 and 4 seconds, we think is important to remind of the importance to carefully consider each jump we do, its characteristics and variables, before each and every jump and be confident as much as we can that we can react to any eventualities accordingly to that assesement.There is 2 main factors that contributed to Luis having the offheading, and a 3rd factor that contributed to him striking the wall.- Pitching while unstable, has never been great for heading performance. - Deploying a slider-up packjob prepared for a 9 second delay after 3/4 seconds is known to lead to heading issues and twists, the shallow break setting may cause the canopy to surge on opening, the speed at which it'll fly towards the cliff will be faster, and the delay in inflation and slider having to descend means early inputs to correct heading will have little to no effect.- Pulling while still at the vertical section of the cliff takes away some margin that could be had if deploying lower at the overhung section, and this ties with the points above.Given this cliff allows you to pull at around 9 seconds at which point you have maximum separation from the wall, giving it some more time could possibly have allowed to assume a controlled symetrical position for deploying, the airspeed would be the one the rig was packed to deploy at lowering the chance of deployment issues, and if still having to deal with heading problems the extra separation would surely be most apreciated.Luis was aware of this, and the reason he pulled high will remain a mystery, but the lessons on adapting our 'EPs' for each individual jump should be heeded.He leaves behind a beautiful family and a much bigger family of friends all around the World. He was well known in the Spanish climbing scene as a pioneer of ice/mixed climbing during the 1990's and being a handy Alpinist and crack climber, when he was referred to as "el maestro", but his humble demeanour meant it would cost you a few rounds of beers and some prodding before he even mentioned that he goes climbing when not jumping and that he's done "a few things here and there". And that's how Luis was. Humble, friendly, approachable, gentle, a pleasure to be around with, with a heart of gold and a passion to match, attributes which quickly made him a reference within the Spanish base jumping community.Cliche as it may sound, it is truer than ever that the World is a poorer place without him. Be careful out there everyone!</t>
  </si>
  <si>
    <t>BFL326</t>
  </si>
  <si>
    <t>2017-07-27</t>
  </si>
  <si>
    <t>Mono (One Piece Tracking Suit)</t>
  </si>
  <si>
    <t>The jumper had a bad exit, possibly slipping, resulting in a head-down orientation with insufficient forward separation from the cliff. He impacted a ledge approximately 5 seconds after exit with no time to recover or deploy, indicating the exit execution was the direct human error producing the fatal outcome.</t>
  </si>
  <si>
    <t>['Not enough forward seperation on exit', 'Unstable exit']</t>
  </si>
  <si>
    <t>Alexey was the second jumper in a multiway, he had a bad exit and impacted ledge 5 seconds after. Perhaps he slipped (there was previous rainy days) after exit he was head down and impacted ledge , he had no time to react and he died immediately from numerous injuries his canopy came out of container on impact. Air glacier retrieved his body and equipment soon after incident.Alexey was an experienced base jumper and as founder of Airglide he made his own equipment (container and mono suit ) himself - it was in good condition. In BASE jumping even the most insignificant mistake can become fatal and the high ultimate is one of the dangerous exits even for excellent performers. The raccoons family and friends will never forget him.</t>
  </si>
  <si>
    <t>BFL327</t>
  </si>
  <si>
    <t>2017-08-16</t>
  </si>
  <si>
    <t>The jumper was missing for weeks, jumped alone, no video was recovered, and the narrative explicitly states details cannot be confirmed. The possible factor 'loss of speed-glide' and the cause of death 'impact in terminal freefall' suggest a wingsuit flight failure, but the specific mechanism (human error vs. environmental cause) cannot be determined from the available evidence. Police recovery details are described as speculation.</t>
  </si>
  <si>
    <t>Due to the Jumper being missing from the 16th August and also jumping alone we are unable to confirm any details on what has happened. Police recovered the body of Sylwia Justyna, on Monday the 4th of Sept. Recovery did not retrieve any videos to show what has happened although a possibility (Speculation) from police rescue is that she has impacted just before the start of the crack on the grass and then ended up inside the start of the crack with no canopy out.If you have any information to fill in the spaces please contact myself.</t>
  </si>
  <si>
    <t>BFL328</t>
  </si>
  <si>
    <t>2017-08-28</t>
  </si>
  <si>
    <t>Sukhoi 2 (Wingsuit)</t>
  </si>
  <si>
    <t>Committed to unachievable line</t>
  </si>
  <si>
    <t>The jumper committed to a proximity line with a no-pull zone and no escape route despite flying at lower-than-normal speed and a high glide ratio near the limits of the wingsuit's performance. The narrative shows the jumper was already low and slow before the burble encounter, and the decision to continue the line rather than peeling out to the right before the no-out section constitutes a decision error. Flying in close formation through terrain with mandatory performance requirements, combined with failure to execute the pre-planned abort when conditions warranted it, represents identifiable human error.</t>
  </si>
  <si>
    <t>CloudyWind on ground: up-to 5km/h North Wind on exit: up-to 10-15km/h North /(slightly from the left / slight updraft) Jumpers considered the conditions for the exit to be good. Wind mid flight: unknown Fly sight data shows that jumpers have flown this line previously with higher speed at the same Glide Ratio (GR). Previous flights had been flown in south winds with sunshine on the terrain. Flightplan: The plan was to fly the high left line which included a flat no pull zone with no out to the right 41 seconds after exit. A discussion was had about the northerly head wind and that if the terrain was not flyable the plan was to make the decision early to peel out to the right before entering the no pull/no out section of the flight. Flight:Ben had a steeper than usual exit. Ben's wingsuit inflates and begins flying at the 4.5 second mark after exit, followed by a straight flight for 3 seconds before initiating the left turn toward the high left ridge. Jumper 2's wingsuit begins flying 3 seconds after exit and he immediately banks left toward the high ridge and overtakes Ben in flight.It can be seen that Ben is lower, further right and slightly behind Jumper 2 during the flight. Ben comes into view of Jumper 2's Chest Camera and can been seen flying at a higher GR gaining altitude to make it over the ridge. As seen from flysight data Jumper 2 is at this stage flying at a high GR to make it over the same ridge. Rear Cam footage from Jumper 2 shows Ben flying at a high GR to fly over the ridge, he can be seen gaining altitude and flying behind and above to the left of Jumper 2 who's glide ratio at that exact moment was at 3.2 with a total speed of 152km/h. It was during this maneuver that Ben flew through the burble created by Jumper 2's wingsuit. At this moment Ben became unstable in flight and looses more groundspeed and can be seen to be trying to fly through it, he regains control of his wingsuit however this has dramatically decreased his groundspeed. Moments later the groundspeed eventually becomes too low and his wingsuit stalls and turns left and down into the trees, Ben impacted the terrain without deploying a parachute 47 seconds after exiting. Speculative: In terms of factual evidence It is unknown weather the burble is the root cause of the accident or a causal factor. With Ben's already high GR and lower groundspeed it is hard to say whether or not he would have made it over the ridge had he not flown through a burble. Previous wingsuit BASE flights Ben has done this season witnessed by people he has jumped with and by flysight data shows that Ben has consistently flown his SU 2 with high speed and energy converting this into a solid flare before a stable deployment. He was a competent and current BASE Jumper who understood the required flight characteristics for wingsuit BASE. Conclusion: While flying flat terrain in a multi-way formation it is critical to be aware of the lead flyer's burble, your groundspeed and glide ratio and a decision to commit to the line instead of taking the 'out' before its too late. Paganella is considered by most as a safe exit for experienced pilots. Please be aware when flying the high left line that there is a flat section with no out to the right if you are low over the terrain. Suit selection, weather / wind conditions and multiway flying all need to be considered and discussed before flying this line.</t>
  </si>
  <si>
    <t>BFL329</t>
  </si>
  <si>
    <t>2017-09-21</t>
  </si>
  <si>
    <t>The narrative provides only that the jumper was found underneath the exit after a subterminal impact near the exit point, with 'unstable exit' listed as a possible factor. There is no information about the jumper's experience level, the specific exit dynamics, equipment condition, or what precisely occurred. Without details on skydive/BASE experience, the exit itself, or equipment state, neither a specific human error pathway nor a non-human cause can be reliably established from the available evidence.</t>
  </si>
  <si>
    <t>Information we have been told so far is that he was the last jumper of 4 and was found underneath the exit.</t>
  </si>
  <si>
    <t>BFL330</t>
  </si>
  <si>
    <t>2017-10-17</t>
  </si>
  <si>
    <t>Sallanches, France</t>
  </si>
  <si>
    <t>Wingsuit terrain proximity error</t>
  </si>
  <si>
    <t>The jumper lost speed during proximity flying near terrain, which is consistent with flying at too high an angle of attack (too slowly), a recognized human error in wingsuit BASE. Loss of speed near terrain eliminated available lift and margin for terrain clearance, resulting in impact. The domain reference identifies slow flight near terrain as a known fatal error pattern in wingsuit BASE.</t>
  </si>
  <si>
    <t>In the middle of the flight she lost speed and started to lose altitude, putting her close to the terrain below. She tried to escape from these slopes but it was too late and she impacted just before terrain gave her more altitude. This information was from the 2nd jumper in the two way.</t>
  </si>
  <si>
    <t>BFL331</t>
  </si>
  <si>
    <t>2017-11-11</t>
  </si>
  <si>
    <t>Nepal, Nepal</t>
  </si>
  <si>
    <t>Poor exit into terrain</t>
  </si>
  <si>
    <t>The jumper exited head-down from a wingsuit BASE jump with only 85m to a large ledge and was unable to recover to flying configuration before impacting the ledge. The head-down exit represents a departure from accepted practice for wingsuit exits, and the decision to jump this object with such minimal margin and downwind conditions compounds the error. The narrative clearly identifies human error in both exit execution and jump planning.</t>
  </si>
  <si>
    <t>['Not enough forward seperation on exit', 'Strong winds']</t>
  </si>
  <si>
    <t>The exit is situated on the south west ridge of Ama Dablam, 6000m. Exit height is 180m to the slope, but with big ledge 85m below exit. We had some downwind, coming from the right. Valery exited a little head down and couldn’t manage to recover quickly because of the downwind. He impacted the ledge 85m below.</t>
  </si>
  <si>
    <t>BFL332</t>
  </si>
  <si>
    <t>2018-01-03</t>
  </si>
  <si>
    <t>Molde, Norway</t>
  </si>
  <si>
    <t>Cold-impaired hands, unable to pull</t>
  </si>
  <si>
    <t>The jumper exposed his hands to cold conditions without adequate protection (no gloves for 12 minutes, then only thin gloves) before a wingsuit BASE jump. This resulted in loss of sensation and dexterity in his fingers, rendering him unable to locate and extract the pilot chute during a 5-6 second pulling attempt, leading to a no-pull impact. The decision to jump with inadequately protected and cold-impaired hands constitutes human error.</t>
  </si>
  <si>
    <t>Kristian jumped an exit that he had jumped 8-10 times the previous year and was experienced to jump in cold winter conditions.About the jump:Nice and stable exit , with a good flight that lasted 33 seconds before he started his pulling sequence. He tried to pull for 5,6 seconds before he went out for a full flight again and then trying to stall his suit to decrease speed before impact. After 2-3 sec Kristian tried to the very end and rolled to his side to give that last try to survive the impact.The indications of this accident is due to the cold weather. Kristian had cold fingers/hands on the exit.He was without gloves for at least 12 minutes before the jump. He put thin gloves on 5 minutes before the exit that is good for grip and terrible in the cold. He tried to blow his hands warm before exit.Its truly believed that the cold made him loose the feelings in his fingers and hands.Kristian crashed with a no pull.-There is several things that can prevent accidents like this.-Dont jump in the cold if you cant control the heat on your fingers.-Jump forgiving jumps and put in more margins so you can pull your parachute anytime.-Margins – margins – margins and details</t>
  </si>
  <si>
    <t>BFL333</t>
  </si>
  <si>
    <t>2018-01-09</t>
  </si>
  <si>
    <t>GoPro footage clearly shows the jumper made a series of attempts to locate and deploy the pilot chute but was unable to do so, resulting in a total malfunction and ground impact. Failure to successfully deploy the PC from BOC during wingsuit flight constitutes a human error in execution of a critical skill.</t>
  </si>
  <si>
    <t>The information that we have been given so far is that he flew a left line then turned back over the valley floor and never pulled. GoPro footage shows him jumping from Via Ferrata good clean exit, nice flight, bit on the slow side. Clearly shows a series of attempts to find and deploy the PC resulting in a failure to do so</t>
  </si>
  <si>
    <t>BFL334</t>
  </si>
  <si>
    <t>2018-02-20</t>
  </si>
  <si>
    <t>Sfly Ridge (Wingsuit)</t>
  </si>
  <si>
    <t>The jumper impacted subterminal near the exit without deploying the parachute while attempting a committing wingsuit line in strong winds. The combination of strong winds, an unstable exit, and flying a committing line that left no margin for error points to human error in the decision to jump and/or execution of the exit. The jumper's relatively low experience (110 BASE jumps, 3 seasons) for a committing wingsuit terrain line further supports a human error pathway.</t>
  </si>
  <si>
    <t>Jumper was found the next day by emergency workers underneath the exit of this very committing line seen here in one of his previous jumps, jumper did not pull.
https://m.youtube.com/watch?v=6O949NsuMoc</t>
  </si>
  <si>
    <t>BFL335</t>
  </si>
  <si>
    <t>2018-03-04</t>
  </si>
  <si>
    <t>Tennessee, United States of America</t>
  </si>
  <si>
    <t>Bridle snag on unsecured carabiner</t>
  </si>
  <si>
    <t>The jumper used non-locking carabiners on climbing slings stowed in harness saddlebags. Prior to exit, the right carabiner had partially worked free of its stowage. On exit, the bridle laid over the carabiner gate, and static line tension forced the gate open, clipping the bridle and choking off canopy extraction, resulting in a total malfunction. The failure to properly secure or remove non-essential equipment (non-locking carabiners on climbing slings) that could interfere with the deployment system constitutes a human error in equipment rigging and preparation.</t>
  </si>
  <si>
    <t>Conclusion from examining the gear and watching three videos, one from a smart phone on the ground, one front facing and one rear facing GoPro, and photographs from the scene. Eddie was doing a static line from a 150 foot antenna. He had a three foot sling looped through the hip ring on his harness, one on each side. He used these periodically when he needed to clip in to a tower for various reasons. He was using a non-locking carabiner on each sling. Eddie’s harness had factory saddlebags sewn onto the back of each leg strap. Prior to exit, he would tuck the excess webbing into the opening between his lag padding and the bottom skin of the saddlebag and then tuck the carabiner into the opening as well. In the video, it shows Eddie climbing over the railing and sitting on the top rail. His slings were already stowed prior to recording and his yellow fluorescent bridle is clearly visible and free of any miss routing or potential snags. The video shows him handling the bridle with his right hand as if he is checking the routing of the bridle and he places the sewn in magnet on his bridle on his right hip ring. Prior to his jump, the video shows very briefly that the carabiner on his right side, probably due to climbing and sitting, had worked its way out about half way. When he jumps out, the bridle is laying over the gate of the carabiner and when the bridle is held tight by the brake cord the tension forced the gate of the carabiner open and the bridle became clipped in. The brake cord held, the pins were pulled and the canopy was free to be extracted. By this time, it looks as if the excess webbing of the sling had come out of the pocket placing the carabiner and bridle more towards his back. The canopy was being pulled through the carabiner and stopped about two feet into it. At this point Eddie is turned onto his left side, the brake cord brakes and he continues his rotation into his back. The pilot chute is clearly doing its job. At one point in the video, the canopy can be seen being choked off by the carabiner, which is attached to his harness, the bridle is at full stretch and the pilot chute is in tow until impact. Eddie was found with the sling gripped firmly in his hand. It appears he was trying to clear it but didn’t have enough altitude. He died on impact.</t>
  </si>
  <si>
    <t>BFL336</t>
  </si>
  <si>
    <t>2018-03-08</t>
  </si>
  <si>
    <t>Moscow, Russian Federation</t>
  </si>
  <si>
    <t>Aerial attempt led to low pull</t>
  </si>
  <si>
    <t>The jumper attempted a gainer from a slider-up antenna with only 50 slider-down jumps, no meaningful slider-up experience, and a history of poor/unstable gainers. The failed aerial resulted in loss of altitude awareness and stability, leading to PC deployment too late for canopy inflation before impact. Multiple human errors are evident: performing aerials from a slider-up object far beyond his progression level, and deploying too late after the failed maneuver.</t>
  </si>
  <si>
    <t>202P2, 203T</t>
  </si>
  <si>
    <t>Nikolay started BASE last summer, he made about 50 slider-down jumps. He performed poor gainers, some of them were rather unstable and uncontrolled. He made 2-3 slider-up jumps from this antenna without acrobatic, it was his first slider-up object.Last time he decided to make a gainer. He could not set the rotation and hovered, then rolled over his side. Then he tried to stabilize and turn away from the antenna. He threw his PC too low, and impacted without canopy.His story illustrates that too fast progress without proper training leads to a sad final.</t>
  </si>
  <si>
    <t>BFL337</t>
  </si>
  <si>
    <t>2018-04-01</t>
  </si>
  <si>
    <t>XXX (One Piece Tracking Suit)</t>
  </si>
  <si>
    <t>Failed PC extraction</t>
  </si>
  <si>
    <t>The jumper was unable to locate the pilot chute at pull time despite a high pull attempt, resulting in impact without canopy deployment. Failure to extract the PC from the BOC is a skill-based active failure. The noted possible health issues may have contributed to the inability to locate the handle, but the proximate cause was the failed deployment action.</t>
  </si>
  <si>
    <t>['Health issues', 'Unable to locate pilot chute']</t>
  </si>
  <si>
    <t>At this stage we have been told he was on a two way jumping last and has had some issues at pull time. We are currently waiting to hear back from the other jumper and will write more when we hear. Updated: Information from Camera Point of View is that the jumper had a very conservative jump with a reasonable high pull attempt but could not find the pc and flipped over front until impact. No other information was seen from video or by second jumper on two way.</t>
  </si>
  <si>
    <t>BFL338</t>
  </si>
  <si>
    <t>2018-05-31</t>
  </si>
  <si>
    <t>Saravillo, Spain</t>
  </si>
  <si>
    <t>Aura 3 (Wingsuit)</t>
  </si>
  <si>
    <t>Slow proximity flight into terrain</t>
  </si>
  <si>
    <t>The jumper flew a wingsuit proximity line too slowly and without adequate energy, fixating on repeating his morning line at a lower altitude. Video evidence confirms slower-than-normal flight, inability to clear trees he was targeting, and failure to execute an available escape to the right. This constitutes human error in airspeed management and situational awareness during proximity terrain flying.</t>
  </si>
  <si>
    <t>It breaks my heart to write this. Oscar was loved by many and I feel privileged to have been his friend. He was an exceptional person, warm hearted, caring, humble, generous, and a teacher of life to many of us. Also an incredibly strong climber, strong in the mountains, and was among the elite in the Spanish mountain rescue police (Guardia Civil - Unidad Especial del Grupo de Rescate de Montaña).Oscar's approach to jumping was a steady and conservative progression, always putting in the groundwork. He was quietly determined and did not push hard. Oscar was one of the safest jumpers I knew.He was motivated to fly wingsuits and this year to fly terrain. That he signed on for a Next Level course earlier in the year is testament to his methodical and cautious progression. I was his mentor for wingsuit BASE.In 2017, Oscar and I opened the jump 'Punta Calva'. At that time he was not ready for terrain flying, but I discovered that this jump has good proximity lines. The exit is not too technical, you then traverse to the left for about 20 seconds over steep terrain, and then make a turn to the right and dive down on the talus. The talus in that part of the mountain is generally steeper than 2:1 with no serious terrain traps. In my opinion its a good jump to start practicing proximity flying, because one can easily disconnect anywhere from the terrain. Last year Oscar made something like 10 to 15 jumps from this exit flying high (no proximity).This year, Oscar was motivated to start terrain flying. Punta Calva was the obvious choice. He made several flights over what is probably the most straightforward proximity line on the mountain, each flight progressively lower. Oscar was flying with good speed always, and had good control of his suit. He could sustain a glide of more than 3:1 at speed when necessary.On the day of his accident, we made a jump on Punta Calva in the morning. He followed his normal line, with good speed and stayed more connected with the terrain than previously. It was his best proximity flight and he was super excited about it. We went through his video twice and I was stoked for him. It looked good to me, he flew a tighter line than before, but it wasn't too close and he was fast and in control.We packed and rested and then decided to go for an evening jump, after a thunderstorm. Its a 2 hour hike, but we both felt physically fine at the exit, no fatigue, no stress. It was a little cold and a light breeze less than 5km/hr. The air was clear apart from some small clouds at the very end of the traverse section of the flight where we normally turn right and start diving. In other words, the conditions were perfect for a high flight straight out to the landing, but less than perfect for flying the proximity line. The plan was for Oscar to jump first, and then me once he had landed. After 15 minutes waiting, the clouds were still there on the talus and Oscar offered for me to go first if I wanted. I was getting cold and the clouds didn't bother me too much so I agreed, and jumped.I flew my line, the clouds were thin and did not get in my way. I felt no significant turbulence. My flight over the talus took me to a different landing field than the one that Oscar was using. 10 minutes after I landed those small clouds were still there on the talus, and half an hour later they were gone.We called the rescue 1 hour after I landed, after trying to reach Oscar on his phone and checking his landing area.We don't know when Oscar jumped and at this stage we don't have his camera or Flysight. It appears that he impacted some tall trees on a small ridge / shoulder towards the end of the traverse section of the flight, and came to rest 100 metres further on. His canopy was out, slider up, brakes stowed... probably out due to impact. He died instantly.Its not clear to us why he crashed there, because there is an easy escape to the right. Possible factors are...1. Having a bad start or poor glide and being lower there than he was expecting, but still trying to follow the line that he aced in the morning.2. Clouds.3. Some other misjudgement.In hindsight there are so many things I wish I had said. Would they have made a difference, maybe yes maybe no. I want to go back to that morning jump and say, "Wow Oscar that looked really good. Now don't get too excited, take a step back, be safer, fly higher." I accept that I had a motivating influence on Oscar's flying and I feel terrible for it.Buen vuelo amigo, siempre.David.
UPDATEWe found Oscar's GoPro and Flysight. It appears he did not turn on his Flysight for this jump. From his video, we see a normal start, then slower than normal flight. His impact is 21 seconds into the flight into the top of 3 tall pine trees growing on a small shoulder of a cliff. He could have flown safely to the right of the trees if he wanted. He tumbled 30 to 50 metres to the base of the cliff. Clouds were not a factor.Oscar was flying the same line as his morning jump but lower and slower. He was 19 seconds to reach the same trees in the morning. My opinion is that he was flying too slowly and without energy. He seemed to be lining up to buzz those trees from a long way back (at least the last 10 seconds of his flight), and then in the last second he lost his flight, was unable to 'pop' over the trees, and too late to turn right.I believe Oscar was so focussed on trying to repeat his morning jump that he didn't pay attention to how this flight was going differently.What can we learn (nothing new really)...1. Always fly with speed and energy when close to the ground. If you can't, then go for plan B.2. Don't aim to fly over something. If you want to buzz something you need to be coming down like an eagle in full attack, not just flying lazily towards it.3. Don't be so focussed on flying the line that you lose your awareness.The sad thing is that Oscar knew all this before his last jump.</t>
  </si>
  <si>
    <t>BFL339</t>
  </si>
  <si>
    <t>2018-06-09</t>
  </si>
  <si>
    <t>Chaudière pass, France</t>
  </si>
  <si>
    <t>Poor exit caused object strike</t>
  </si>
  <si>
    <t>The jumper clipped the underhung section of the cliff with his legs immediately upon exit, indicating insufficient forward separation during the exit. This poor exit caused a violent spin from which he could not recover before impact. The exit technique failure is a human error that directly produced the fatal outcome.</t>
  </si>
  <si>
    <t>We are 3 jumpers Tigrou (Jeremia), Sylvain and myself (Thomas) we decided to jump from the cliff of La Pelle in the "3 becs" mountain it is a 270 metre jump with a very Long canopy ride from the exit the first section of the jump is underhung 2-3 secs is a ledge to clear then after that it is quite overhung.On the exit we had no wind and i jumped first in slick and opened with no problems, Sylvain was in slick as well and jumped a few seconds after myself and opened with no problems.Jeremia jumped in a Phoenix fly tracking suit (PTS) but as soon as he exited he clipped the underhung section with his legs and this sent him into a violent spinhe was unstable and pulled but it was too late he impacted with the slider still inside the canopy. Sylvain and myself landed and raced up to where he had rested in the foreston the talus but he was dead when we arrived.Jeremia was the life of the party he was well known by most of the French community and always full of energy and always in a good mood he was a very rounded jumperwith a large range of jumps from static line, urban jumps, slider down, tracking and slick jumping he was extremely enthusiastic with opening new exits and share them with his friends. He will be missed greatly by the French community and we are all very shocked and saddened by the accident.</t>
  </si>
  <si>
    <t>BFL340</t>
  </si>
  <si>
    <t>2018-06-16</t>
  </si>
  <si>
    <t>Late deployment during first terminal track</t>
  </si>
  <si>
    <t>The jumper failed to deploy the pilot chute at a safe altitude during her first terminal tracking jump from a slider-up cliff. The narrative explicitly states she extracted the pilot chute too late, resulting in an emergency low pull with only approximately 2 seconds under canopy before impact. The jumper did not achieve adequate tracking performance to clear terrain features, and failed to recognize the need to deploy earlier given her proximity to the ledge.</t>
  </si>
  <si>
    <t>['Emergency low pull', 'Extracted Pilot Chute too late']</t>
  </si>
  <si>
    <t>Information coming from the jumper on exit watching the entire sequence of events.This was to be Paula’s first terminal tracking jump - slider up. Super stable exit, but does not really get the track going, so she did not come over the island in the middle of katthammaren she went between the ledge on the right and the island and impacted in between.My guess is that her visuals were at the landing and that she did not see the ledge coming. Makes emergency pull, has about 2 sec under canopy (180 opening) before impact. She was super experienced skydiver and a very safe jumper always, really hard for any of us to understand how this happened, because this was her first jump from a slider up cliff, and among us who knew her we know she is a high puller, and never pushes the limits.</t>
  </si>
  <si>
    <t>BFL341</t>
  </si>
  <si>
    <t>2018-06-20</t>
  </si>
  <si>
    <t>Leschaux-Rochers de, France</t>
  </si>
  <si>
    <t>The jumper deviated from his initial flight path, made late hard turns to re-align with a terrain gate, lost speed and altitude, reached a critical angle of attack, stalled the wingsuit, and impacted terrain. The eyewitness account clearly describes a sequence of decision and skill errors—flying at an oblique angle, making late aggressive turns that bled speed, and continuing toward the gate at progressively higher AoA until the suit stalled—constituting human error that directly produced the fatal outcome.</t>
  </si>
  <si>
    <t>Alex and I arrived at the exit for Leschaux at 1930 in the haute-savoie region of France about an hour South West of Geneva. We had jumped the exit the evening prior and had good flights with good conditions, we planned to fly the same line again. Conditions seemed optimal and the hike is short, about an hour so we both felt physically fresh. We took our time gearing up and talked over what line we would fly. It was decided that we would fly through the tree gate which is located on piece of terrain well below the exit and roughly 600 meters horizontally from the exit. Usually you must dive with considerable force to be able to split the gate, which is substantial in size, about 30ft across. Alex asked if I could shoot outside video and I said yes. We talked over which directions we would push and readied ourselves to exit. Alex gave the count and our exit went smoothly. I was immediately positioned about 40ft above and to the left of Alex and was planning to fly over the terrain and trees viewing him mostly from the overhead vantage. I wanted to remain higher on his left as the terrain to be flown over is a fairly thin ridge which juts out from right to left and slopes down from the right with the most viable out being to the left, affording you more altitude over terrain the farther left you go. As soon as Alex started flying (3 Seconds) he was not pointed directly at the gate, instead flying at a slight oblique angle to the left of it. Within a few seconds of flying I made the assumption that he did not like his sight picture and was opting to go completely around the terrain feature, as it is by no means a mandatory obstacle if you choose early enough to detour around it to the left. I held my position but noticed Alex’s head turned to the right looking at the gate. At this point though (8 seconds), I no longer felt we could safely divert from our flight path safely and believed that Alex was thinking the same thing when he suddenly banked hard to the right and again to the left in order to set up on the gate. The turns caused him to lose speed and altitude and our gap was now one hundred feet or more with me slightly ahead of and above him. As I watched I could easily tell that he was flying at a higher and higher AoA by the second. A few seconds out from the gate I could see that he had reached a critical AoA and a moment later I saw that the suit was stalling and his glide decreased drastically. At this point he would have been very hard pressed to execute a turn to the left towards the out. As I watched, Alex entered into a stall and veered left, causing him to impact a tree on the left side of the gate. As I flew around the terrain I witnessed him exiting the tree without his helmet and impacting the grass on the steep slope behind it. He slid on his back until the terrain cliffed out and he fell another several hundred feet into the forest below. I was in shock and kept my eyes on him until he impacted a second time, hoping to see him pitch. He did not and I momentarily came to the realization that I had slowed considerably while watching him and so went to the task of getting my speed and GR back as the second half of the jump does not have a large margin over terrain while transporting back to the LZ.After landing I contacted the PGHM, they responded immediately and were on scene within the hour, recovering Alex before nightfall. Alex Sonnenberg was a good friend, he touched many people in his 38 years, was an amazing person and an American Hero. He is survived by his Wife Amina, his parents, sister and brothers. He will be sorely missed.Lessons learned: 1.)If you cannot attack terrain confidently and with speed, abort immediately and seek altitude. There is no room for emotion or ego in this decision matrix. Physics is too fair.2.) Don’t get caught in the moment. As Miyamoto Musashi writes in his book “The five rings”. You must meditate and mentally rehearse your immediate actions and prefabricate thought processes to fall back on in the wake of witnessing something like this. Had the line been more challenging, my disengagement from what I was doing for those several seconds could have killed me as well. Once I saw Alex impact the tree and slide over the edge I should have been immediately back to the task of flying.3.) Plan your dive, dive your plan. I don’t know why Alex decided to fly at the oblique angle if he intended to go for the gates. 4.) Be able to communicate. Learn phrases in the language of the land you are jumping in. I was lucky to be able to speak enough French to ask for help and ensure that the helicopter rescue was able to locate Alex before nightfall. Have phrases written and laminated and have the appropriate rescue numbers in your cell phone AND on the laminated card. Phones die or are sometimes broken or have no service. You may have to seek a landline in a remote area or village. Have a device that can get you coordinates to relay to rescuers. A sat beacon is always a good idea as well. If you have the excuse that you cannot afford a burner phone or international service for your vacation, you should rethink BASE. 5.) You're not alone in this game of BASE. We BASE jump for ourselves. It is a wholly selfish act. The very least we can do is to pack our parachutes diligently for our Mothers. Take our time and pick a safe line for our Fathers. Assess the conditions and walk off if necessary for our Brothers and Sisters. And fly with a margin of error for the friends we jump with to keep them from the horror and pain of witnessing our demise. As Douggs would say “Who’s the best BASE jumper in the world? The one having the most fun!” Take it slow.I am guilty of violating all of these suggestions I just put forth….but I wish I hadn’t and will do my best never to again. Alex, I love you brother. Thank you for everything. Until that day.</t>
  </si>
  <si>
    <t>BFL342</t>
  </si>
  <si>
    <t>2018-06-21</t>
  </si>
  <si>
    <t>The jumper failed to achieve adequate forward separation from the cliff wall during sub-terminal tracking, turned toward the wall during the track, and deployed the pilot chute at 10 seconds while facing the wall with minimal separation. With only 19 BASE jumps, 1 BASE season, and limited tracking suit experience in sub-terminal conditions, the jumper was at a slider-up cliff requiring mandatory sub-terminal tracking skills that had not been sufficiently developed. The late deployment with no forward separation resulted in wall impact at line stretch.</t>
  </si>
  <si>
    <t>['Extracted Pilot Chute too late', 'Not enough separation from object']</t>
  </si>
  <si>
    <t>Jumper has exited with no forward tracking separation/distance from the wall with a classic low pull that impacted the wall at line stretch then with his canopy open and no human interaction (dangling in harness ) the canopy had a slow turn to impact the wall and slid down until coming to rest at the bottom of the wall.
Updated:16th July This was Oswaldo’s 20th BASE jump, his 4th jump from exit #6 at Kjerag. His first jump from exit 6 was slick(no tracksuit). His 2nd and 3rd jump were in his tracksuit that he received at the event. He had done some practice jumps in his friend’s tracksuit prior to the event. He had a normal exit, swept into the tracking position and began to turn to the right, he got almost no forward movement prior to the turn. At 10 seconds, he pitched his pilot chute while facing the wall. He impacted a ledge when he was almost to line stretch. His parachute inflated after his first impact and was slowly rotating. He impacted the wall several more times and came to rest at the top of the talus. It seems from the video that the initial impact was unsurvivable and was announced dead at the scene. Oswaldo was doing the work. He had taken the first jump course and an advanced BASE course the previous year. His dream was to jump a wingsuit from Kjerag and was working towards that goal. His previous jumps were good, but did have a tendency to turn once he was up to speed. There is nothing that can simulate subterminal tracking other than subterminal tracking. You can’t skydive your tracksuit enough, but the exit is already in high airspeed and the squishy air of subterminal is a completely different beast. Balloon jumps are always recommended prior to terminal walls, if you have one available to you.</t>
  </si>
  <si>
    <t>BFL343</t>
  </si>
  <si>
    <t>2018-06-24</t>
  </si>
  <si>
    <t>Weak exit into positive terrain</t>
  </si>
  <si>
    <t>The jumper performed a weak push from an exit point with a known positive incline requiring approximately 2m of clearance. Combined with a head-high posture, the jumper failed to achieve sufficient forward separation, resulting in foot strike on the ledge 6-8m below the exit, followed by fatal impact. The narrative explicitly identifies a weak push and head-high posture as the producing factors.</t>
  </si>
  <si>
    <t>Rob performed a solo wingsuit exit from Busazza. The exit point had a significant positive incline requiring approximately 2m of clearance 6-8m below the exit point. Rob had a weak push out from the exit, and combined with a head high posture, did not clear the positive incline. His left foot struck the cliff causing a head low rotation followed by a second high speed and certainly fatal impact some seconds later. Second impact sheared closing loops (from examination of equipment) and canopy was seen flying from another exit point across the valley in slow left hand turn with no response or input and breaks still set. Canopy impacted cliff multiple times before becoming hung up 300m below the exit point.Rob was a super conservative jumper and always jumped with caution. His judgement may have been somewhat impaired by a bad stomach and altitude. It was unlike him to make this kind of judgement error.Rob was a beautiful, kind person and a best friend. He will be missed by all who had the pleasure of knowing him.</t>
  </si>
  <si>
    <t>BFL344</t>
  </si>
  <si>
    <t>Wrong exit point selection</t>
  </si>
  <si>
    <t>The narrative explicitly states this was 'a case of jumping from the wrong exit point.' The jumper exited from a position that did not provide sufficient clearance from a large ledge 30 meters below, resulting in subterminal impact with the ledge after two seconds. The co-jumper, positioned roughly a meter in front and slightly to the left, barely cleared the same ledge, confirming that the exit point selection was the critical error.</t>
  </si>
  <si>
    <t>This was a two-way wing suit jump from Litlfjellet, and by reviewing the footage from the other jumper (Bjørn Emils brother) and two colleauges filming from the top, it is clear what happened.
Sadly, this was a case of jumping from the wrong exit point. Bjørn Emils brother was roughly a meter in front of Bjørn Emil and slightly to his left. 30 meters below, a large ledge ran from left to right, gradually protruding on the right side. The jumpers lept simultaneously with good exits. The left jumper barely cleared the ledge and flew out and deployed as normal. Bjørn Emil never cleared the ledge, impacting after two seconds. 
His canopy came out on impact, inflated and flew out from the wall in a slow right turn, eventually impacting the wall again and putting Bjørn Emil to rest on the cliff. Rescue was called and he was exfiltrated by helicopter.
What we lost day was not just a fellow jumper. Bjørn Emil Gjøstøl was a proud father, a loving husband, a beloved son and brother, a dear friend, a respected college, a true warrior. He will be forever remembered and deeply missed.
- report by friend of Gjøstøl brothers</t>
  </si>
  <si>
    <t>BFL345</t>
  </si>
  <si>
    <t>Low pull after aerials</t>
  </si>
  <si>
    <t>The jumper performed a multi-way aerial (totem pole front flip) from a cliff, broke off facing the cliff, had to execute a 180° turn, and deployed too late for the canopy to fully inflate before impact. The narrative explicitly identifies 'extracted pilot chute too late' and 'loss of altitude awareness' as factors, with the aerials consuming altitude and the post-breakoff correction further delaying deployment. This constitutes human error in deployment timing and altitude management during an advanced maneuver.</t>
  </si>
  <si>
    <t>On our third jump of the day we attempted what Sylvain called the "Snake" which is a 3 person totem pole front flip. I was on the top, another jumper in the middle and Sylvain on the bottom all stacked on each other's shoulders.The exit and the flip went perfect.After the flip, I broke off and got stable and watched as Sylvain and the other jumper stayed together for another flip and when they broke off Sylvain was facing the cliff. He spun himself around 180 and pitched very low. Sylvains canopy extracted but did not fully inflate before impact. It was an exit he had jumped many many times before (over 200). He was very familiar with it. It appeared to have been loss of altitude awarenesses. He was focusing more on turning himself away from the cliff than his altitude. Sylvain loved to pull very low so it's very possible he just misjudged an intentional low pull. We will never know for certain. I do not believe it was a issue of complacency. Sylvain wouldn't let us do the jump during the day because he said it was too windy (even though I thought it was okay to jump). Sylvain appeared to be reckless to some, but he was actually quite calculated and knew when to walk away from a jump. Just the day before his last jump we went to jump a cliff by the sea. It was extremely windy and 3 of us jumped anyway, but Sylvain did not.
Sylvain was my mentor and has taught me so much in BASE and in life. He was someone many of us looked up to. He is a legend. He enjoyed every minute of his life and lived it to the fullest. We will deeply miss him.</t>
  </si>
  <si>
    <t>BFL346</t>
  </si>
  <si>
    <t>2018-07-08</t>
  </si>
  <si>
    <t>Reggio Emilia, Italy</t>
  </si>
  <si>
    <t>Aerial bridle entanglement</t>
  </si>
  <si>
    <t>The jumper performed a gainer (aerial maneuver) and became entangled with the bridle upon deployment. The domain reference explicitly identifies bridle entanglements as a known risk of aerials, as equipment is designed for belly-to-earth deployment and deploying from non-standard body positions risks bridle wrapping around limbs or torso. The decision to perform an aerial and the resulting entanglement constitute human error.</t>
  </si>
  <si>
    <t>Alessio did a gainer and got entangled with the bridle when he pulled, he fixed it but was already too low and impacted at line stretch dying on impact.</t>
  </si>
  <si>
    <t>BFL347</t>
  </si>
  <si>
    <t>2018-07-25</t>
  </si>
  <si>
    <t>The narrative states only 'Waiting on details' and provides no information about what occurred during the jump beyond the outcome (low pull, cause of death). There is insufficient information to identify a human error pathway or to establish a non-human cause.</t>
  </si>
  <si>
    <t>Waiting on details</t>
  </si>
  <si>
    <t>BFL348</t>
  </si>
  <si>
    <t>Untrained jumper with skydive gear</t>
  </si>
  <si>
    <t>The jumper had no BASE training, no mentorship, only 40 skydives (far below the 200+ minimum), and attempted a wingsuit BASE jump as his first BASE jump using skydiving equipment (Micron container with skydiving main, reserve, and deployment bag) rather than BASE-specific gear. This represents extreme deviation from accepted progression norms and equipment requirements, constituting clear human error at multiple levels.</t>
  </si>
  <si>
    <t>['Skydive gear used']</t>
  </si>
  <si>
    <t>This jumper had no base training nor was mentored by anyone it was reported this jumper showed up in Lauterbrunnen and was asking jumpers to take him to any exit point so he could do his first jump he has then proceeded to Brento and died with no training whatsoever.
Most of the Information is unknown at this stage and quite possible that we will not know as this jumper was not jumping with anyone and has not shared much information except that he was in the Foreign legion. Two jumpers have been in touch stating he was on the bus with them and that he jumped in between two groups. Climbers on the wall heard an inflation and immediately noticed the canopy slowly turning back to the wall to impact again and again before coming to rest at bottom.
Please be aware that all information here can change and that this is only what has been told from jumpers who were there on the exit.
Information updated his sister contacted me and said he had 40 skydives</t>
  </si>
  <si>
    <t>BFL349</t>
  </si>
  <si>
    <t>2018-07-26</t>
  </si>
  <si>
    <t>Alpine 2 (Wingsuit)</t>
  </si>
  <si>
    <t>Known seizure disorder</t>
  </si>
  <si>
    <t>The jumper had a known history of recurring seizures since childhood, which he was aware of prior to the jump. The mid-flight behavior (sudden twitch, 45-degree dive, flipping onto his back) is consistent with a seizure episode. Choosing to engage in wingsuit BASE jumping with a known seizure disorder constitutes a decision error, as the jumper had a foreseeable medical condition that could incapacitate him during flight, making this human error rather than an unforeseeable medical event.</t>
  </si>
  <si>
    <t>['Health issues']</t>
  </si>
  <si>
    <t>['Hot with thermals producing', 'Sunny']</t>
  </si>
  <si>
    <t>It was the second jump of the day of Fatal Attraction. As we gear up we felt crosswinds with a few gusts, down at the exit we couldn’t feel any crosswinds just the rising thermal air as it was a hot day, in Walenstadt about 30 degree Celsius (86 farenheit) up to about 14 degree Celsius (57 farenheit).
Treehouse and I did a 2 way of Fatal Attraction, the same as we have done the day before, I exit first and Treehouse followed me. We exited and as soon as we flew we turned left along to fly along the wall. My start was a bit faster than his as I could see in my rear facing camera. He caught up with me and was about the same altitude than I was, maybe a bit lower. Flying along the wall I could feel the rising air giving me lift but stable. 15 seconds after exit I see Treehouse passing in a safe distance below me to the right, judging from my rear cam he avoided flying over the pillar I flew over as he was a bit lower than I was. Once he passed me I stayed on altitude knowing he will turn right entering the gully we talked about before exiting. As he dove down turning right to enter the gully I followed him. We flew the gully conservative with height and lots of speed. Coming out of the gully we disconnected from the terrain flattened out the angle of attack to bleed of speed and turned right to fly straight back to the LZ, one more gully to fly across till the terrain finally would drop down to the LZ and we would have all the altitude to deploy nice and high. At this point Treehouse was ahead to the right of me. Just before the terrain would drop down I noticed the first twitch in his flight, I didn’t feel or notice any wind or change in condition. Suddenly he dove 45 degree to the left and down, as Treehouse dove he flipped lip on his back and disappeared in the trees back first. I flew another 12 seconds till I was above the LZ to deploy.
Later that day the Police in Walenstadt let me inspect his Wingsuit and the Wingsuit appeared with no prior damage that could have caused the damage, leading edge, zippers, vents, grippers, booties, fines (phoenix fly) everything still intact. A few weeks prior Treehouse has mentioned he had a seizure and that he had those once in a while but doesn’t know what causes them. Speaking to his family they told me that he had those since he was a little boy. It is just a speculation from watching the hole event that he may have had another seizure mid flight.
Treehouse was a well known experienced all round local BASE jumper at the Chief and the community calling Squamish his home. Having always a smile on his face, a funny story in his bag or a hilarious comment to make. His house was open to all the BASE jumper.
We lost a great person, friend, son, brother and uncle of three.Rest in Peace my friend and fellow jumper you will be missed forever.</t>
  </si>
  <si>
    <t>BFL350</t>
  </si>
  <si>
    <t>2018-07-28</t>
  </si>
  <si>
    <t>The narrative states only 'More information after Investigation' and provides no details about the circumstances leading to the fatality beyond the cause of death being 'Unable to pull.' There is insufficient information to determine whether human error or other causes were involved.</t>
  </si>
  <si>
    <t>More information after Investigation</t>
  </si>
  <si>
    <t>BFL351</t>
  </si>
  <si>
    <t>2018-08-23</t>
  </si>
  <si>
    <t>Proximity flying terrain impact</t>
  </si>
  <si>
    <t>The jumper deliberately chose to fly a proximity line through a 'tree gate' on an unfamiliar exit ('Fatal Attraction' - his first jump from this specific exit). During the banked turn to split the tree gate, he lost speed and altitude, failing to clear the pillar by a narrow margin, resulting in high-speed terrain impact. The decision to fly a proximity line requiring a banked turn through a narrow gap on a first jump from this exit constitutes a human error in judgment.</t>
  </si>
  <si>
    <t>Major update as of 6th September in regards to previous information from another jumper that was there “Bart had a good push and normal start. He flew straight out off the exit for four seconds and then banked to the left in an attempt to split the tree gate formed by the lone tree on the pillar to the left and the wall. It appears that during the turn he lost just a little bit too much speed and altitude which caused him to not clear the pillar by a very narrow margin. These facts were discovered after recovering Bart's Gopro from the hillside below the exit.Good bye Bart my friend, you are loved by many.”
Bart was an experienced Wingsuit Pilot and Wingsuit Base jumper. He had over 1000 BASE jumps and more than 1000 skydives. He had been base jumping for over 10 years. He was considered a responsible jumper and liked by many.He had just spent a couple of weeks jumping in the Brento-Lake Garda region, before coming to Switzerland. He was in the third or fourth week of a wingsuit Base trip. He was jumping an Aura 3 which he purchased this year.He arrived at Walenstadt Monday evening, did a total of 6 jumps from Sputnik on Tuesday and Wednesday. Bart had jumped at Walenstadt on previous trips.
Facts: It was Bart’s first jump on fatal attraction.. He had jumped “less than fatal” a few times, which has a similar exit profile (on a previous trip to Walenstadt). He asked to go jump “Fatal Attraction” as he wanted to check it out. Bart was briefed on the exit, angles, ledges and direction of push. He jumped last in a group of three at approximately 2.15pm. First two jumpers landed in the lz and saw Bart’s canopy flying out super high above the barn. The canopy seemed to be drifting right and went out of view. A Jumper on the Sputnik Exit saw the canopy, pointed it out to another jumper, before they exited and said “watch out for that canopy”.. then the canopy continued drifting right and disappeared into the trees. Bart was jumping an Aura3, CRUX and Hay duke.I was solo on another exit(high trench). I received info that a Heli had been called to look for Bart after a suspected panic pitch. Helicopter had not left the airport and I was clear to jump. I flew a high line over the last seen location.. saw his canopy on the side of a ridge.. flared, deployed.. top landed.. hiked to him and found him unconscious, unresponsive, not breathing. Significant trauma to the head.. wingsuit fully zipped up.. Helmet and shoe missing.. chest mount go pro snapped.. wingsuit torn open top to bottom - parallel to front zippers, Canopy &amp; pilot chute looked normal and un-damaged. Both toggles still stowed in shallow brakes.Weather: Several flights were done from Sputnik, High Trench and fatal attraction, and conditions did not seem to be an issue. From the first 2 jumpers, there was lifting air on exit. Some cloud developing. Winds were light at exit, right to left, valley wind could be seen down on the lake and were felt by some jumpers during there flights. No rain that day. Rock on Exit point was dry.
Conclusion: Given the level of trauma I saw on his body, I suspect it was from a high speed impact in the start of his flight. His parachute was likely deployed either just before impact or as a result of impact.</t>
  </si>
  <si>
    <t>BFL352</t>
  </si>
  <si>
    <t>2018-08-26</t>
  </si>
  <si>
    <t>Aerials caused instability and wall strike</t>
  </si>
  <si>
    <t>The jumper performed a double front flip on exit that over-rotated, leaving him unstable near the wall. This aerobatic maneuver directly caused loss of separation and body control, leading to an emergency low pull and fatal wall impact. Performing aerials from an exit point where the jumper had limited experience constitutes a human error.</t>
  </si>
  <si>
    <t>['Aerials', 'Emergency low pull', 'Not enough forward seperation on exit']</t>
  </si>
  <si>
    <t>A 2 way tracking jump was planned from nose 3 with mark going towards the left and me going right. On exit Mark did a double front flip which over rotated and caused him to be unstable near the wall, at this point I lost sight of him due to my own opening but it seems likely that he did an emergency pull and hit the wall dying almost instantly according to rescue services on the scene. I am uncertain whether he had planned to do aerials or if it was a last minute decision as it wasn’t mentioned prior to the jump. He was hung up about 1/3-1/2 way up on the wall by his canopy whilst rescue services recovered his body and pronounced dead soon afterwards. Mark had experience with aerials but not from this exit point, it was his second jump from nose 3 that day.Mark recently proposed to his long term partner, Anna. Which she accepted during AirGamez 2018 event. He also leaves behind twin girls who are three years old. Mark had many friends across the world who will be devastated to hear of his passing.
Updated from his partner Anna who wanted to share 9th Feb 2019 
"I had begun to worry that the girls memories of Mark were fading, and what could I do about it. But they were busy being normal 3 year olds and who am I to stop them?
I was wrong.Of course they were frequently touching on the subject in their games, their teddies would die a lot. I leave them to it or give them hugs and talk about it. I want them to be able to express themselves without fear.
But only just this last week, have they suddenly shown me they have a heart as heavy as any adult.
Bethany has had fierce fierce tantrums then when the storm passes she cries very gently for Daddy. She looked at me one morning and said sweetly that she cries in the night because she misses him.
But as I put them to bed tonight she wept and howled as if with fresh pain. Then Megan’s barriers dropped and she wept too. I carried them both to my bed and we huddled together looking at baby photos to cheer ourselves up.
What a long road it is for my precious girls. And how it hurts not to be able to make things right for them."</t>
  </si>
  <si>
    <t>BFL353</t>
  </si>
  <si>
    <t>2018-09-04</t>
  </si>
  <si>
    <t>The narrative contains no substantive details about what occurred during the flight beyond 'impact in terminal freefall' during proximity flying. There is no information about what specific error or event led to the fatal impact, and the entry explicitly states they are looking for more information. Neither a human error pathway nor a non-human cause can be established from the available data.</t>
  </si>
  <si>
    <t>We are currently looking for more information, if you were there or know any information please send a PM 
https://www.20min.ch/ro/news/romandie/story/Un-wingsuiteur-s-elance-du-Haut-de-Cry-et-se-tue-18588950
https://www.lenouvelliste.ch/articles/valais/canton/chamoson-un-basejumper-se-tue-en-sautant-le-haut-de-cry-781715</t>
  </si>
  <si>
    <t>BFL354</t>
  </si>
  <si>
    <t>2018-09-12</t>
  </si>
  <si>
    <t>Onesie (One Piece Tracking Suit)</t>
  </si>
  <si>
    <t>The jumper was proximity flying a line requiring very good glide and early commitment, lost speed/glide, and impacted terrain in terminal freefall. The choice to fly a demanding proximity line that exceeded available performance margin constitutes a human error in flight planning and execution.</t>
  </si>
  <si>
    <t>A hiker saw/heard Josh fly over quite close to the ground but didn’t think anything of it as its common in that area. It wasn’t until the hiker reached the top of the valley that he looked down and saw Josh’s body in the shallow riverbed/stream.He then notified police and the helicopter rescue team came to retrieve him.
Judging from where he impacted, he was flying a line requiring very good glide and early commitment. He must have known he had gotten himself into a bad spot as he had pulled his parachute.</t>
  </si>
  <si>
    <t>BFL355</t>
  </si>
  <si>
    <t>2018-09-13</t>
  </si>
  <si>
    <t>Barracuda Power (Wingsuit)</t>
  </si>
  <si>
    <t>Unstable exit with terrain impact</t>
  </si>
  <si>
    <t>The jumper performed a few-steps exit from a tricky exit point, became very head low with an asymmetric body position, and impacted the talus directly below the exit at subterminal speed. The narrative explicitly identifies an unstable exit with insufficient forward separation, resulting in clipping a ledge. These are human performance failures in exit execution.</t>
  </si>
  <si>
    <t>Lluis had been jumping a wingsuit that he had not many jumps on and was jumping a fairly tricky exit Lluis did a few steps exit, got very head low and had an asymmetric body position was found later by the emergency services on the talus directly below.
Weather was perfect. But it was raining the night before, and the exit was muddy and wet. Yet, the main rock which you exit from, was dry.</t>
  </si>
  <si>
    <t>BFL356</t>
  </si>
  <si>
    <t>2018-09-27</t>
  </si>
  <si>
    <t>Tube 5 (Tracking Suit)</t>
  </si>
  <si>
    <t>Insufficient separation from cliff</t>
  </si>
  <si>
    <t>The jumper impacted the wall/ledges near the exit point at subterminal speed, indicating failure to achieve adequate separation from the object. The narrative identifies likely contributing factors including a bad exit or slipping on exit and/or poor tracking, at a demanding cliff requiring precise heading and aggressive tracking past ledges and positive rock. With only 1 BASE season and 100 BASE jumps, jumping a demanding terminal cliff solo with tight heading requirements and mandatory tracking past positive terrain suggests decision-making and execution errors.</t>
  </si>
  <si>
    <t>Mike was on a solo jump, COD is impact on wall / ledges. Dachstein south wall has been jumped for a very long time and although its doable in "old-school" (any non-power) tracksuits, the exit is rather demanding with about 7 sec rockdrop, and then more ledges and positive rock to outtrack, while heading must be kept in a rather tight range since left and right terrain is getting even more difficult. the camera is gone, so well never know for sure, but bad exit / slipping on exit or just a bad track seem to be the likeliest.
“Mike was a very special person. He loved his life and lived to the fullest. He was a crazy adventurous guy with a very big heart. Time sharing with him was full of laughing, crazy moments with good deep conversations. Everyone who knows him, will always remember him. He had friends all over the world. It is devastating that the world lost this very great light. Mike is greatly missing by all of his friends and his family. He will always be in our hearts and he will live in us forever!”</t>
  </si>
  <si>
    <t>BFL357</t>
  </si>
  <si>
    <t>2018-10-04</t>
  </si>
  <si>
    <t>Thun, Switzerland</t>
  </si>
  <si>
    <t>Proximity flying with insufficient margin</t>
  </si>
  <si>
    <t>The jumper deliberately flew a wingsuit proximity line through tight terrain with minimal margin, declining a 2-way because the other flyer wouldn't be 'charging hard enough.' The narrative explicitly describes a pattern of flying with insufficient safety margin (110%), flying an unfamiliar line (likely first time at Stockhorn) through tight corners deep in a gorge, where he was 'most likely turning and possibly drifting too deep for that whole section, especially for a 1st flight there.' This constitutes a decision error resulting in terrain impact in terminal freefall.</t>
  </si>
  <si>
    <t>201C2, 202P2</t>
  </si>
  <si>
    <t>['Altitude awareness', 'Proximity flying']</t>
  </si>
  <si>
    <t>Updated 6th Feb 2021,Coming from one of his jumping buddies who obtained the information from those jumping with him.Disclaimer: I was not present that day, but am friends with the 2 flyers whom were. I flew with him almost everyday for 3 months in 2018, and for 2 prior seasons.As everyone knows, Gwill charged hard, &amp; at the end of his 2018 season he was really pushing it on certain lines that he wanted to ‘put a stamp on.’ On exit that day, he declined a 2-way with an experienced terrain flyer b/c said flyer wouldn’t be ‘charging hard enough’ [that flyer is pretty gnarly, so we know Gwill’s frame of mind that day was full-on.] I think this was his 1st time flying Stockhorn. Gwill wasn’t much of a ‘marker’ guy, &amp; didn’t often study/memorize others’ lines/markers. I do know he had reviewed some footage of the line though. Gwill was open to criticism, he often said his ‘ego’ was his main weakness; thus, he was often [&amp; knowingly] too stubborn to actually fly with more margin for safety [I reminded him of it weekly for 3 months of flying.] With that said, as the season passed he actually was adapting to go less hard...ish, but ‘less hard’ for Gwill was still 10% more than acceptable by most. Many times while watching his footage on certain lines I muttered to him, ‘Duuude, that was insane, you know, if you flew 10% less than that, it would STILL BE insane AND pretty much perfect.’ But Gwill was a supernova, &amp; he wanted to scorch everything he flew. So, yes, he always wanted to fly closer, in order to fly what he believed was: the perfect line. The way he flew was how he dreamed of flying. He lusted for those quick s-turns at the lowest depths of gorge flights. And that’s how he flew his last line at Stockhorn. Supernova.Below are some random [not Gwill’s] screenshots from diff vids of the line, &amp; the general vicinity (between 1. &amp; 4.) of where he impacted. The 1. arrow is the entrance to the line, the red circle is a flyer [to get a visual of proportions.] I assume the impact would be around the yellow line in 2. &amp; 3. Tight corners deep in there. The exact impact location is a relatively minor detail, he was most likely turning [&amp; possibly drifting] too deep for that whole section [especially for a 1st flight there.]I’ll also add a chopped up conversation we had days before his death; to illuminate his willingnesses to learn to charge less hard [w/ my reply of the only -&amp; often repeated to him- advice that matters in this game: don’t die. Most dont know the evolution of his mind-set that summer, and how he was starting to chill out. They know him from his wildness pre-2018. Throughout the season, I watched him evolve into flying with 10% more margin, bail on lines during flight, poor-weather hike-off the mountain, get nervous, be afraid, have nightmares about the next days’ flights when we knew we were gonna charge hard, and sometimes fly super chill. But, unfortunately, he still flew that 110%...once in a while.Regardless, HE MOTHERFUCKING LOVED TO FLY. His technical way of flying that summer was beautiful [some see danger / we see beauty.] He had become quite the advanced flyer, but few really knew the extent of it, cuz he didn’t share his vids [unlike many of the cacklers out there judging his wild style.] And why did he not share his vids like many of the cavilling keyboard nannies out there...cuz HE MOTHERFUCKING LOVED TO FLY. And in his last moment, he was doing just that.</t>
  </si>
  <si>
    <t>BFL358</t>
  </si>
  <si>
    <t>2018-10-09</t>
  </si>
  <si>
    <t>Aggressive dive into terrain</t>
  </si>
  <si>
    <t>The jumper dove aggressively to fly over terrain at the bottom of the cliff but failed to achieve level flight in time to avoid collision, impacting the ground in full flight position. This indicates a misjudgment of the altitude required to recover from the aggressive dive and clear the terrain — a human error in flight path management during proximity flying at a site he had never jumped before.</t>
  </si>
  <si>
    <t>This was his first time on this jump and his first jump of the day. He was current and not nervous about the new jump. Condition both at the exit point and in the valley were perfect. Boris jumped and had a stable exit, he dove aggressively in order to fly over terrain at the bottom of the cliff. After diving for a few seconds, he flared in order to match the angle of terrain, but failed to achieve level flight in time to avoid collision. He impacted the ground in full flight position and he was killed instantly.</t>
  </si>
  <si>
    <t>BFL359</t>
  </si>
  <si>
    <t>2018-11-03</t>
  </si>
  <si>
    <t>Romania</t>
  </si>
  <si>
    <t>The jumper experienced a 180° off-heading with severe line twists after deployment, resulting in fatal impact on talus. While possible factors are listed (180 off-heading, line twists, insufficient forward separation), the narrative lacks sufficient detail to determine the root cause. The exit is described as 'uneventful' and the track lasted 5 seconds. Without information on experience level (BASE jumps, skydives), equipment specifics, packing details, or clear evidence of what caused the off-heading and line twists, it is not possible to reliably distinguish between human error and other causes.</t>
  </si>
  <si>
    <t>['180 Offheading', 'Line twists', 'Not enough forward seperation on exit']</t>
  </si>
  <si>
    <t>Information from one of his friends
Uneventful exit , 5 second track . Stop flare and pull. After that he was seen spinning rapidly and fighting severe line twists. Hard impact on the talus.  His main sport was paragliding.  This was his second trip to Brento. Had jumped from Paragliders, buildings, bridges and cliffs</t>
  </si>
  <si>
    <t>BFL360</t>
  </si>
  <si>
    <t>2018-11-19</t>
  </si>
  <si>
    <t>Weak PC deployment</t>
  </si>
  <si>
    <t>Video evidence clearly shows the pilot chute slipped from the jumper's hand during the throw, causing it to fall into the burble behind his head/shoulder region rather than being deployed into clean air. This resulted in a PC-in-tow total malfunction. A weak or fumbled PC toss that fails to clear the burble is a recognized human error in the deployment process.</t>
  </si>
  <si>
    <t>After reviewing both videos we can clearly see that Dominiks pilot chute slips as he is throwing it and it falls directly behind his head/right shoulder region where it stays in the low air pressure or burble on top of his rig until impact.
He was using a 46" Toxic Pc.</t>
  </si>
  <si>
    <t>BFL361</t>
  </si>
  <si>
    <t>2018-12-12</t>
  </si>
  <si>
    <t>Havok Carve (Wingsuit)</t>
  </si>
  <si>
    <t>The jumper exited in a head-down orientation from a cliff, failed to recover a stable flying position, and impacted the wall multiple times before coming to rest on a ledge. The head-down exit represents a critical departure from accepted wingsuit exit technique, directly producing the fatal wall strike. Snow conditions may have contributed to the unstable exit.</t>
  </si>
  <si>
    <t>Information from a jumper standing back off the ramp has said that when he exited he was totally head down to the point he believed he would need to do a flip to correct his position.After a few seconds he heard him impact the wall a few times and was then under canopy with no inputs until he came to rest on a ledge underneath via Ferrata impact point.</t>
  </si>
  <si>
    <t>BFL362</t>
  </si>
  <si>
    <t>2018-12-15</t>
  </si>
  <si>
    <t>Dontsk People Republic, Ukraine</t>
  </si>
  <si>
    <t>Untrained jump with wrong equipment</t>
  </si>
  <si>
    <t>A 15-year-old with no training or instruction attempted a BASE jump using skydiving gear, which is fundamentally unsuitable for BASE jumping. The use of skydive equipment (which requires significantly more altitude to deploy than BASE gear) from a building, combined with complete absence of any training, constitutes clear human error that directly caused the fatality.</t>
  </si>
  <si>
    <t>It was reported that a 15 year old boy has obtained skydiving gear and proceeded to jump from the building to his death, having no instruction on any technique and jumping skydive gear. I believe as he had skydive gear on and was intending on doing a Base jump then this will be on the list, although there is nothing new to learn it is still a base fatality and will be represented on the list.</t>
  </si>
  <si>
    <t>BFL363</t>
  </si>
  <si>
    <t>The jumper made a clear pull motion but the canopy never deployed before impact. Post-accident inspection found no entanglement, no packing error, and no definitive cause for the deployment failure. The investigation explicitly states there is no clear explanation for what happened, and the evidence does not support either a specific human error pathway or a confirmed non-human cause.</t>
  </si>
  <si>
    <t>Information coming in that Stewart was jumping solo and had organised to check in with another jumper after landing but when this didn’t happen Rega was called in and he was located near the landing area. So far only information is that he may have had cold hands.
Update 3rd January 2019
There is no 100% clear idea as to what happened to Stew... even after watching the video from his GoPro (front facing), reviewing the pictures taken by the Police, and inspecting the gear. Stew had a good flight, a clear movement for pull can be seen on the video, no struggle or panic after, and stable flatter flight till impact. The lower closing loop was torn from the impact, and the canopy came out behind him on the ground. Slider was still up and the PC was out flat (bridal stretched, no knots or entanglement, and not packed as if it just slid out of the pouch). From this point on, all we can do is assume that the PC had some sort of hesitation, snag, etc.I'll mark this up to the 1% unknown factor on a base jump, that can screw everything up. Stew was a very calculated person, months away from achieving his PhD in Neuroscience at the Zurich University</t>
  </si>
  <si>
    <t>BFL364</t>
  </si>
  <si>
    <t>2019-04-03</t>
  </si>
  <si>
    <t>Sumo 2 (Tracking Suit)</t>
  </si>
  <si>
    <t>Late deployment attempt</t>
  </si>
  <si>
    <t>The jumper attempted to deploy at approximately 80 meters above ground, which was insufficient altitude to survive any deployment complication. The narrative explicitly states he had a pattern of opening lower than he should and was warned about it. The deployment attempt was too late, and a PC extraction problem (missed handle, hand slipping, or finger caught in open handle) at that critically low altitude resulted in ground impact before line stretch.</t>
  </si>
  <si>
    <t>Alex started BASE jumping last year. During his first trip (FJC + Brento) he made 47 jumps, his track was very good. He improved it quickly and sometimes opened lower than he should. He was warned about it by his mentor (Semjon Lazarev) and other jumpers.
Last jump Alexey made with Semjon and we have information from him. Alexey was the second in 2-way, but in free fall he overtook Semjon and was ahead. Semjon opened and saw Akexey's attempt to open. In his words, the height of the first attempt was about 80 meters from the ground. For an unknown reason, Alexey could not open immediately and impacted before linestretch.
Maybe he missed PC, or his hand slipped off. Also handle on his PC was open, and we know cases when a finger stucked in it. + 20-30 meters could save him.
We can only repeat the old truths:
Low pull = danger! PC problem = danger!
Low pull + PC problem = death.
He will be missed by the Russian crew.</t>
  </si>
  <si>
    <t>BFL365</t>
  </si>
  <si>
    <t>2019-04-21</t>
  </si>
  <si>
    <t>The jumper was unable to locate the pilot chute at pull time, became unstable while searching for it, and impacted the ground without deploying the canopy. Inability to locate and deploy the BOC pilot chute during wingsuit flight represents a failure in a critical skill (PC deployment technique), constituting human error.</t>
  </si>
  <si>
    <t>Description: At this stage what we know is Kristoffer was the last to leave in a 4 way from the cave exit on Brento they proceeded left along the wall and has had issues at pull time he became unstable looking for the PC and impacted on the river.</t>
  </si>
  <si>
    <t>BFL366</t>
  </si>
  <si>
    <t>2019-06-06</t>
  </si>
  <si>
    <t>The narrative contains no substantive details about the accident beyond the outcome (terminal freefall impact during a wingsuit BASE jump with low-level clouds). There is insufficient information to identify a specific human error pathway or to establish a non-human cause. The listed possible factors (altitude awareness, proximity flying) are speculative without supporting detail.</t>
  </si>
  <si>
    <t>We are currently waiting on jumpers to get in touch to share information on this fatality.
If you know of more details please get in touch</t>
  </si>
  <si>
    <t>BFL368</t>
  </si>
  <si>
    <t>2019-06-07</t>
  </si>
  <si>
    <t>Stryn, Norway</t>
  </si>
  <si>
    <t>Altitude awareness error during unzipping</t>
  </si>
  <si>
    <t>After deployment, Marcus flew away from the landing area while unzipping his wingsuit and performing a 180-degree turn. Upon completing the turn, he was too low to reach the planned landing area (the road), which was 20-30 meters above the lake with no alternative landing options between the road and the water. The narrative explicitly identifies altitude awareness as a possible factor, and the sequence of events clearly shows a failure to maintain adequate altitude awareness during post-deployment wingsuit unzipping procedures, resulting in a water landing and drowning.</t>
  </si>
  <si>
    <t>['Altitude awareness']</t>
  </si>
  <si>
    <t>Description: Marcus was an experienced canopy pilot, flying paragliders and speedwings (also in competitions) from his teenage years. Earlier in 2019 he finished his USPA tandem licence and was current in both canopy handling and wingsuit flying prior to his trip to Norway. He was otherwise physically fit and healthy.
This was his first jumping day of his Norwegian vacation and 3rd WS jump of the day. It was a two way - Marcus was leading the same line flown by Jokke Sommer in «slope flying in Stryn» video (but done conservatively). Prior to the flight there was established visual and audio contact with the landing area (the road to Flo), where his younger sister and a local family of 3 were waiting. Marcus deployed right above them, while 2nd jumper continued his flight and pulled over the lake (Oppstrynsvannet). After deployment 2nd jumper turned his canopy around, unzipping while flying towards the road. Marcus was doing the same while flying in the opposite direction away from the road. The landing area is 20-30 meters above the lake. The whole stretch of shoreline consist of big boulders, high drops and medium high forest on a very steep terrain - there is no alternative landing area between the road and the lake. After finishing unzipping and making a 180 turn towards the road, Marcus was to low to reach it. Judging from the video he then chooses to go for the water and land along/near the shoreline. He lands at the depth of 1,5 meters, 2 meters away from a high vertical rockface and 10 meters away from the spot where there is possible to climb up the terrain. No shouting or splashing was heard by people at the landing area.
The rescue operation started immediately from the time he disappeared behind the tree line at the planed landing area. His sister got to him first followed by one of the spectators and the 2nd jumper. Marcus was floating face down, covered by his canopy with his helmet pulled off. He was dragged to the shore and CPR (with 30 compressions and 2 breath) was started right away. Approximate time from when he landed till he was pulled ashore and given CPR was about 3-5 minutes. Rescue team was contacted by the spectators family when Marcus was located, the team came 20 minutes later and continued the CPR process, trying also different types of heart starters. Marcus was picked up by the helicopter 1,5 hour after accident and flown to the nearest hospital, he was declared dead 4 hours after the jump. Local police forces and the county of Stryn representatives did their best effort to help and follow up on everyone involved around this fatality.
Marcus was a very energetic soul with a big heart and love for adventure. He was dearly loved by his family, friends and his military colleagues. The church was packed, with people lining outside on the day of his funeral. He is deeply missed.
Written by 2nd jumper - BASE 1689</t>
  </si>
  <si>
    <t>BFL367</t>
  </si>
  <si>
    <t>2019-06-08</t>
  </si>
  <si>
    <t>The jumper was proximity flying a wingsuit near a ridge, turned left and disappeared behind it, and impacted terrain in terminal freefall with his parachute container still closed and pilot chute stowed. The proximity flying placed him close enough to terrain that the flight path intersected it, and no deployment was attempted, indicating either insufficient margin from terrain or loss of situational awareness during the proximity flight. This constitutes human error in flight path management near terrain.</t>
  </si>
  <si>
    <t>Jean was attempting a flight from Sass Pordoi Cross and fly back to the gondola station. His exit was witnessed by another jumper from the exit. He had a good start and flew with good glide high on the left ridge. He was seen to turn left and disappeared behind the ridge. He was not seen under canopy, but on previous similar flights had landed his parachute out of view from the exit so it did not seem unusual to the 2nd jumper.
Jumper 2 did a jump and landed in the main landing area in the valley on the right from exit. During their flight they had good lift and smooth air, but had some bumpy air under canopy. After landing, jumper 2 was unable to contact Jean. After not finding him at his van at the gondola station and not being able to contact him rescue was called.
The rescue helicopter located Jean in the snow at the bottom of the wall on the right side of the ridge. He impacted in flight, died instantly and fell down a few hundred metres to come to rest in the snow at the top of the talus. His parachute container was closed with no canopy out and the pilot chute still stowed. He was wearing a chest mount gopro camera, however the camera has broken off on impact and was not found by the rescue team. The area to search for the camera is in a difficult to access area with avalanche danger.
Jean was very happy and full of life during the last month. He had purchased a campervan and was living his dream camping and flying in the Dolomites</t>
  </si>
  <si>
    <t>BFL369</t>
  </si>
  <si>
    <t>2019-07-18</t>
  </si>
  <si>
    <t>Sunndalssra, Norway</t>
  </si>
  <si>
    <t>The jumper fell from the cliff before completing his wingsuit setup and was unable to deploy his parachute during the resulting fall. The narrative states the exit area appeared flat, conditions were sunny with dry rock, and access was not sketchy. There is insufficient information to determine why he fell - whether it was a slip, medical event, or other cause. No clear human error pathway is identifiable, and there is no positive evidence of a specific non-human cause.</t>
  </si>
  <si>
    <t>Fall before jump</t>
  </si>
  <si>
    <t>Krzysztof went to Sunndalsøra to look for a new exit South of Langrabbpiken. He was jumping alone which he did occasionally. Before he jumped he sent a GPS track of his hike with co-ordinates of the new exit and a photo of the view looking down from the exit. He said it was a 5 second rock drop.
After not receiving further contact from Krzysztof and feeling that something was wrong, 2 of his friends drove from Romsdalen to Sunndalsøra. They checked the landing area and then found his van unattended at the start of the hike.
The Police were called and a rescue helicopter quickly located his body underneath the exit. They had the GPS co-ordinates to help them. No helmet or camera was recovered. Krzysztof died instantly from a severe head injury.
On inspecting his equipment and body it was noted that his wingsuit zippers were not done up. Left arm was zipped to the elbow, right arm not zipped at all. Booties were on but leg zips not done up. The rescue team believes he had his helmet on, but chin strap not fastened. His rig was on with leg straps and chest strap tightened.
Krzysztof died from a tragic accident falling from the cliff before he was fully geared up in his wingsuit. It was a 5 second rock drop and he has not been able to pull his pilot chute before impacting directly below the exit. Speaking to the rescue personnel they said the area at the top of the cliff looked flat. It was not a rappel or sketchy to access the exit. At the time of jumping it was sunny with dry rock.
Krzysztof was a very dedicated, motivated wingsuit BASE jumper. He was a rock climber for 12 years before he started BASE. He was good at finding exits using topographical maps and was a strong hiker. After an intial hasty progression in BASE, he had matured and slowly built his skills and experience over a number of years. He was constantly improving and had become a skilled wingsuit pilot.
He was a quiet character and would come across as shy, but once you got to know him he was funny, thoughtful, generous and a wonderful man. He will be greatly missed.</t>
  </si>
  <si>
    <t>BFL370</t>
  </si>
  <si>
    <t>2019-07-20</t>
  </si>
  <si>
    <t>Unknown - Unspecified One Piece TS (One Piece Tracking Suit)</t>
  </si>
  <si>
    <t>The narrative provides minimal detail about what occurred during the jump. The jumper impacted in terminal freefall, but the narrative does not explain why — whether due to a deployment failure, loss of altitude awareness, terrain strike during proximity flying, or other cause. The listed possible factors (katabatic airflow, proximity flying, no or little training) are speculative labels without supporting evidence in the narrative itself. There is insufficient information to identify a specific human error pathway or to positively establish a non-human cause.</t>
  </si>
  <si>
    <t>['Katabatic air flow', 'No or little training', 'Proximity flying']</t>
  </si>
  <si>
    <t>['Night time', 'Sunset', 'Winds light and variable']</t>
  </si>
  <si>
    <t>So far from what we know is this jumper has decided to Jump Via Ferrata alone later in the afternoon. He was found by a paraglider the next day on a ledge along the valley walls. Rescue arrived within mins of Paraglider being in touch with Air Glacier.</t>
  </si>
  <si>
    <t>BFL371</t>
  </si>
  <si>
    <t>2019-07-27</t>
  </si>
  <si>
    <t>Madeira, Portugal</t>
  </si>
  <si>
    <t>Decision and execution errors in wind</t>
  </si>
  <si>
    <t>The jumper acknowledged winds seemed strong, yet jumped during the warmer part of the day when coastal winds are known to be stronger rather than the recommended early morning window. With only 1 BASE season, 90 BASE jumps, and 5 skydives in a tracking suit, the jumper attempted a cliff requiring precise delay management and tracking. The outcome—terminal freefall impact near the cliff—indicates errors in the decision to jump in those conditions and/or in exit execution and delay management, constituting identifiable human error.</t>
  </si>
  <si>
    <t>['180 Offheading', 'Strong winds', 'Unstable exit']</t>
  </si>
  <si>
    <t>Description: The jumper in this fatality had made it known the winds seemed a little strong, he had 5 skydives with tracking suit.
Previous jumpers had made it known that after 4 seconds you are very close to the cliff on opening
Jumper was found with massive Skull damage and canopy was out.Possible unstable exit to impactTaken too long of a delay and impacted in terminal freefallTaken a long delay and opened close to the wall with an off heading.
Information is that this jump is normally jumped early in the morning due to stronger coastal winds, this jump was performed during the warmer parts of the day.
The exit in question can be seen in the link below at 1:11 min mark.
https://24.sapo.pt/atualidade/artigos/praticante-de-base-jumping-morre-no-porto-da-cruz-a-leste-da-madeira?fbclid=IwAR3BYuTw_PqRvMx80OzrNGtRFydoZ-c91MXMBq26vH6ry3iMzTHLc9Q9-uk
https://www.youtube.com/watch?v=a0AwSBwxgVM&amp;feature=youtu.be&amp;fbclid=IwAR26-TRmpuFV3OViALTi-n9jEOGrQgEUGAE61DlNv7vE_Gvv4ovsQmuFFhg</t>
  </si>
  <si>
    <t>BFL372</t>
  </si>
  <si>
    <t>2019-07-30</t>
  </si>
  <si>
    <t>Mutation (One Piece Tracking Suit)</t>
  </si>
  <si>
    <t>Pilot chute extraction failure</t>
  </si>
  <si>
    <t>The jumper was unable to locate and/or extract the pilot chute in time, resulting in terminal impact. The narrative identifies that the PC was fully stuffed into the BOC with only the handle exposed, a packing method not recommended by the guiding organization, and an instructor had expressed concern about the PC configuration before the jump. This constitutes a human error in equipment setup/packing that directly contributed to the inability to deploy.</t>
  </si>
  <si>
    <t>Description:
Unable to locate pilot chute and / or possible hard pull / Low pull resulting in terminal impact on ground.
Jon was an active skydiver and expert paraglider pilot with great awareness of his body and his surroundings.
He was a very safe and confident BASE jumper and he always opened high to the point where others would joke about it with him.
He had done over 30 skydives, 10 balloon jumps and multiple helicopter jumps in the Mutation Hybrid suit before taking it BASE jumping from Monte Brento and then Lauterbrunnen.
He mentioned how easy the pull was in the mutation Hybrid suit.
He had good exits in Monte Brento although his flights were slow.
Detailed description :
The incident took place on Jons second jump of the day, his first jump was uneventful had an ok exit and high pull as usual.
On last jump one of the instructors asked Jon if he was happy with the way he had his PC as the instructor said he is not happy with the way it looked but everything was routed correctly and Jon did not seem phased
Jon exited a little head high which then pushed him head low and off axis for a couple of seconds. At this point most of the group except one instructor lost sight of him after a few seconds he came back into view and he was in a stable body position and flying well and a very safe distance away from the wall.
As per normal with Jon he went to deploy at a very safe altitude it was then the group could see something was wrong and that he began to struggle to either locate the pilot chute or extract the pilot chute. He continued to locate/extract his pilot chute which he did just before impact which was at a very high speed at this point. It was clear this was a fatal and the group immediately went into emergency procedures.
It was clear that Jon had impacted on his back side on the upper legs lower back region due to the large dirt stains. He had bounced roughly 10 metres from the initial impact point and was laying face down. His canopy was at line stretch but it was clear that this was from the impact as the bottom closing loop was missing and the top closing loop was broken in 2.
Members on the ground had filmed his flight and after review it was said” Jon initiated the deployment sequence at a more than safe altitude with a stable flare and that made several attempts to either locate or extract the pilot chute. Whilst still fighting he was kicking his legs as went into a steep and very fast dive”. The video did not film the impact but witnesses say that he went into a front loop as such as he finally deployed his pilot chute at approximately 30-40 feet before impact.
Short statement on the way his PC was Packed.
“It was fully stuffed into the BOC with only the carbon fibre tubular, hollow handle sticking out. LTBJ do not recommend this way of packing or jumping a pilot chute as the bulkiest part of the pilot chute is on the inside of the elastic on the BOC.
Jon was a great human being and a fun guy to be around he was fit both physically and mentally and he was current at air sports. He was a great addition to the LTBJ family and we are devastated by what has happened.
Please note this fatality was professionally guided.
.</t>
  </si>
  <si>
    <t>BFL373</t>
  </si>
  <si>
    <t>2019-08-07</t>
  </si>
  <si>
    <t>Alicante, Spain</t>
  </si>
  <si>
    <t>The jumper misrouted the bridle through the lateral band (harness webbing) instead of the correct routing path. This rigging error prevented the static line deployment from extracting the canopy, resulting in a total malfunction. The narrative explicitly identifies this as a rigging mistake: 'He introduced the bridle through the lateral band, the mistake cost him his life.'</t>
  </si>
  <si>
    <t>The fatality in question occurred around midnight, visibility was good with the slightest of tailwind.
The jump had been planned beforehand to arrange everything on the ground before climbing so to minimise the time spent on the object, there was no security or people around we decided to prepare the static line at the car.
Once at the exit we set up the static line, we put a rope with the break chord amd we tied the maillion that was in the bridle.The rope was on the handrail because the exit platform was a but sharp and could possibly cut.
when we were ready i remain on his left side , we did the rig check and from my side i could see the pins and the break cord, i never thought that this mistake could happen. After that he did the countdown and he jumped.
then i could see him turning to the right and falling with arms ready to receive the toggles until the end. I didnt understand anything, i checked the break chord had worked. i climbed down and saw him laying dead and at this moment i realised the mistake.
He introduced the bridle through the lateral band, the mistake cost him his life.
He will be remembered for his desire to live, his smile and generosity. fly high Ruben now the sky is yours.</t>
  </si>
  <si>
    <t>BFL374</t>
  </si>
  <si>
    <t>2019-08-15</t>
  </si>
  <si>
    <t>Tension knot spiral into object</t>
  </si>
  <si>
    <t>The jumper experienced a tension knot malfunction causing an uncontrollable spiral, resulting in object strike. With only 30 BASE jumps and 3 seasons, the jumper was at a slider-up cliff object where tension knots represent a known packing-related failure mode. The domain reference identifies tension knots as caused by poorly stowed lines during packing, and the jumper's insufficient separation from the object (noted as a possible factor) combined with the late deployment suggest human error in packing and/or deployment decisions.</t>
  </si>
  <si>
    <t>['180 Offheading', 'Altitude awareness', 'Extracted Pilot Chute too late', 'Not enough forward seperation on exit', 'Tension Knot']</t>
  </si>
  <si>
    <t>This was a two way jump
This report was obtained by reviewing the deceased’s helmet mounted video.
The jumper performed a 9 second delay with reasonable track. On deployment the canopy opens off heading to the right but then immediately starts rotating hard to the left, completing a rotation approximately every 2 seconds. A large tension knot between the left brake line and rear left line group is visible in the helmet video footage.
The jumper tries pumping the rear risers in turn without effect. The jumper pulls down the left and right brake toggle without effect. The canopy continues in a rapid spiral decent to the left. The jumper appears to flare the canopy and stops the rotation but then the canopy starts turning again to the left and strikes the talus. The canopy flies away but continues to rotate and this time strikes the talus head on, the jumper becomes entangled in the canopy and slides / falls down the steep talus wrapped in their canopy.
Emergency services were called and upon arrival she was found deceased.
The day after this incident another jumper had exactly the same scenario, they luckily hung up on the talus, preventing serious injury.</t>
  </si>
  <si>
    <t>BFL375</t>
  </si>
  <si>
    <t>2019-08-28</t>
  </si>
  <si>
    <t>China</t>
  </si>
  <si>
    <t>Kunming, China</t>
  </si>
  <si>
    <t>Unstable exit caused object strike</t>
  </si>
  <si>
    <t>The jumper's poised exit was unstable, causing forward rotation. He pitched mid-rotation, resulting in an off-heading opening with line twists. This led to multiple object strikes under canopy, canopy collapse, and a fatal fall. The unstable exit and deployment during rotation constitute identifiable human errors in the deployment chain.</t>
  </si>
  <si>
    <t>According to reports and the police release, the jumpers entered the building at 4am and jumped at 6:48am from the 66th floor. The news reported that Dylan had a parachute issue ("parachute didn't open") and was injured. People on the street called an ambulance immediately and he was taken to the hospital. He was pronounced dead at 12pm. Dylan didn't make the planned LZ and the second jumper didn't know that he had been hurt or died until the police told him after his arrest.
Dylan been base jumping for two years and was an experienced skydiver and paraglider. He had done BASE courses in Twin, attended Heliboogie this year, and was current from jumping days prior. He had about 100 jumps and he'd recently received his BASE and Night BASE . He was an enthusiastic, heads up jumper and comfortable jumping alone or opening objects.
Update 25th Sept 2019Ground crew saw that Dylan's poised exit was unstable and he rotated forward after exit. He pitched mid-rotation and had an off-heading opening/line twists. He struck the object and an adjacent building under canopy several times before his canopy collapsed, dropping him several stories to the ground. Video shows him alive but non-responsive when the police arrive on the scene. Dylan died a few hours after the jump in emergency surgery with 20+ broken bones, multiple organ failure, and lots of internal bleeding.Dylan typically wore a fair amount of PPE when jumping (rated helmet, knee/elbow pads, boots, gloves), but those weren't enough for the impacts on the object or substantial fall to the ground. Adding a D30 backpad or spine protector wouldn't have done much given the nature of his injuries.According to reports and the police release, the jumpers entered the building at 4am and jumped at 6:48am from the 66th floor. The news reported that Dylan had a parachute issue ("parachute didn't open") and was injured. People on the street called an ambulance immediately and he was taken to the hospital. He was pronounced dead at 12pm. Dylan didn't make the planned LZ and the second jumper didn't know that he had been hurt or died until the police told him after his arrest.Dylan been base jumping for two years and was an experienced skydiver and paraglider. He had done BASE courses in Twin, attended Heliboogie this year, and was current from jumping days prior. He had about 100 jumps and he'd recently received his BASE and Night BASE . He was an enthusiastic, heads up jumper and comfortable jumping alone or opening objects.</t>
  </si>
  <si>
    <t>BFL376</t>
  </si>
  <si>
    <t>2019-09-03</t>
  </si>
  <si>
    <t>The jumper experienced an unstable exit (likely slipping on wet grass, resulting in an uncontrolled front flip/scorpion position) from which he was unable to recover. He impacted the first ledge approximately 5 seconds after exit in a head-first orientation with the canopy only half extracted and one pin still in, indicating he never achieved a stable position or effective deployment. The unstable exit from a known-condition exit point constitutes a human error in execution.</t>
  </si>
  <si>
    <t>['Burble from other jumper', 'Clipped ledge after exiting', 'Unstable exit']</t>
  </si>
  <si>
    <t>Eric had been jumping this exit for the last few days with another jumper and this was a planned two way like many before, the jumper in front landed but never saw Eric the entire jump police and rescue were called. Eric impacted the first ledge 5 sec down. He hit head first we recovered glasses and helmet parts on the second ledge . At this point his canopy was half out and he proceeded to hit 2-3 more ledges before coming to a rest in a boulder field wrapped up in his canopy.1 pin was in and PC was stowed .
No camera footage is salvageable because of the head first impact. His initial impact was 8-12 feet away from the sheer wall. This leads me to believe he had a bad exit from the wet grass and his feet went over his head putting him in a front flip / Full scorpion</t>
  </si>
  <si>
    <t>BFL377</t>
  </si>
  <si>
    <t>2019-09-09</t>
  </si>
  <si>
    <t>Late deployment from PC extraction difficulty</t>
  </si>
  <si>
    <t>The jumper intentionally took a very deep delay (~4 seconds) from a span, then encountered difficulty extracting/deploying the pilot chute on his first attempt at approximately 4 seconds. The failed first attempt delayed deployment until approximately 5.1 seconds, at which point the canopy did not have sufficient altitude to complete pressurization before water impact. The combination of an intentionally deep delay and the deployment difficulty constitutes a human error pathway — the planned delay left insufficient margin for any deployment complication.</t>
  </si>
  <si>
    <t>Description: This was a planned 2 way with his new wife, It seems he impacted the water with what people are describing a low pull possible missed pull. Brandon was a conservative jumper so we are now awaiting for his gear to be inspected.Update 15th Sept At approximately 2pm on Monday, September 9, Brandon Chance was killed in a BASE jumping accident at the Perrine Bridge, in Twin Falls, Idaho, USA. He was an extremely experienced jumper who had been BASE jumping for more than a decade, and had made more than 700 BASE jumps. He was also an extremely experienced professional skydiver, who had made more than 18,000 skydives.This jump was a two way with his wife. Brandon took the low slot. Brandon was flat and stable in free fall, and had a good view of the other jumper’s exit and deployment. He maintained a flat and stable body position and intentionally took a very deep (approximately 4 seconds) delay. The jump plan called for Brandon to open low and land in the lower (beach) landing area, so that the entire upper landing area was clear for the other jumper.Brandon made his initial attempt to throw his pilot chute at approximately 4 seconds, reaching back with one hand in a normal slider down deployment motion. He encountered some difficulty in deploying the pilot chute. Unfortunately the only video of the incident is a relatively low quality phone video shot from the exit point, and examination of the video does not reveal the nature of his deployment difficulty. The video shows definite movement of his right hand to the BOC, and then motion of his arm and shoulder in an attempt to throw. It is unclear if he experienced a hard pull, a missed pull, a fumble of the PC, or some other difficulty.After his first failed attempt to initiate deployment, Brandon brought both hands to the BOC, in a “wingsuit pitch” motion, with his left hand moving symmetrically in to the left side of the BOC. He gave one leg kick during this motion, but remained in a stable, belly to earth position. He threw the pilot chute smoothly at approximately 5.1 seconds of delay. The PC inflated immediately with no evidence of hesitation, opening the container and bringing the canopy to line stretch.The canopy experienced nose expansion, but did not complete pressurization prior to impact. The final video frame before impact shows the canopy with a fully open nose, but with the tailgate still in place.On gear inspection, the tailgate was no longer closed around the lines, but it is unclear if the tailgate released prior to impact, or at some point during the rescue attempt and gear recovery.There was no evidence of gear malfunction either in video review or in post-incident gear inspection.</t>
  </si>
  <si>
    <t>BFL378</t>
  </si>
  <si>
    <t>2019-09-27</t>
  </si>
  <si>
    <t>Low pull after speed loss</t>
  </si>
  <si>
    <t>The jumper lost speed during a tracking suit flight near terrain and decided to continue past a known decision point rather than deploying when doubt existed. This resulted in insufficient altitude for canopy deployment, with impact at line stretch. The narrative explicitly identifies the decision to continue without adequate speed as the error, compounded by late pilot chute extraction.</t>
  </si>
  <si>
    <t>['Altitude awareness', 'Extracted Pilot Chute too late', 'Proximity flying']</t>
  </si>
  <si>
    <t>Description: Accident happened on the 27th of sept but he has passed away in hospital on the 4th Oct due to complications. More information will be made available within next 24-48 hours but it is understood that he was wearing a one piece tracking suit (XXX)Update : It was his first molaire in a one piece track suit for Gerome.He had got the briefing that we always give to the people here for the first time."On the last part before arriving at the power lines, you need to take a crucial decision.Either you have speed and you see you are going to make the landing area easy and you continue, or you have a small doubt, you pull and you try again next time"From outside view, gerome lost his speed and decided to keep going anyway ...Between the power lines and the road he was too low to pull, so he waited to pass the road and pull after.Unfortunately, he was too low and impacted at line stretch.Over the last few seasons Gerome has mainly jumped only "short" jump, jump lauterbrunnen style, 20-25s where people are used to build up speed, release all the speed and then when run out of speed it s time to pull.Unfortunately, this is a mistake which happened alot lately with the one piece tracker.Then when they come to jump were the "crux" is around 30s they often already lost their speed.Please people take a lesson from this, take the time to get used to longer flight before attempting commiting jumpsGerome was a very respected montain guide and very nice human, this is a huge loss.Gerome was the most experience of our group with a life time of expertise in the mountains.</t>
  </si>
  <si>
    <t>BFL379</t>
  </si>
  <si>
    <t>2019-10-08</t>
  </si>
  <si>
    <t>The jumper experienced an asymmetric exit with one leg bent, leading to loss of control and cliff impact. The narrative speculates about possible causes ('too much force on the exit?' and 'Health issues' listed as a possible factor) but does not provide clear evidence to determine whether this was a human error (skill-based exit error) or a non-human cause (sudden medical event or physical incapacitation). The jumper was highly experienced (1800 BASE jumps, 15 seasons) and conditions were benign, making a simple skill error unlikely without further explanation, yet there is no confirmed medical diagnosis. Neither 001HE nor 002OC can be adequately supported.</t>
  </si>
  <si>
    <t>['Health issues', 'Unstable exit']</t>
  </si>
  <si>
    <t>We went to jump Panoramix (an exit Pierre opened with Jean-Michel Peuzin in 2008, in two pieces). He didn’t jump it again after the opening in 2008, and two weeks ago we went to see again this exit, for a future jump in Mono. Nothing particular at the exit, no wind, no slippery rock, us smiling and concentrating on the jump as usual. We decide to jump in two way, me behind him. After the exit I see something is wrong with Pierre. His left leg is straight, but his right leg was bent (too much force on the exit?. It offsets it on the right edge when he got into the track position, turn to the right, off center even more, he kicked his legs in the bend and this put him on his back and then he impacted after 6 sec against the cliff in half-face track on the back. His parachute opened on impact, which took him down the cliff. He died instantly. He did not suffer. He was accompanied to the end.He was a very skilled base-jumper, opened a lot of exits, always here to share his experience, loved by everyone who met him.It’s a great loss for the french base community</t>
  </si>
  <si>
    <t>BFL380</t>
  </si>
  <si>
    <t>2019-10-12</t>
  </si>
  <si>
    <t>Solsona, Spain</t>
  </si>
  <si>
    <t>Off-heading and canopy control errors</t>
  </si>
  <si>
    <t>The jumper experienced a 90° off-heading opening and then made errors in canopy management: losing considerable altitude during rear riser heading correction, delaying brake release, and then attempting to reach the main landing area when too low, resulting in landing in the dangerous pool with moving water. The decision to continue toward the main landing zone rather than using an emergency landing option, combined with the delayed brake unstow, constitutes identifiable human error contributing to the fatal outcome.</t>
  </si>
  <si>
    <t>['180 Offheading', 'Moving water']</t>
  </si>
  <si>
    <t>We had this dam on our bucket list for a long time. Finally, we found a day with a perfect forecast and low water level in the reservoir. We got up early to arrive to the place half hour before a sunrise. We were 3 jumpers.In the middle of the dam there is a fixed crane overhanging 10m from where a local company offers bungee jumping services. In the bottom, just below the crane there is a water exit to a pool. This pool extends some 60m from the dam wall and after is our primary landing zone. The pool itself is a very dangerous zone because of the water stream coming from the reservoir. To the left and right of the pool there are some small places where we could also land in case of emergency. The laser measurements gave us 95m from the top to the water. After the pool we gain vertically around 10m more.We went down to inspect the landing. Just after the pool was some low water safe landing. 60m after the pool was dry road and this is where we were heading as a main landing area. To the right from the exit point was our first emergency landing zone. To the left there wasn't much room to make a safe landing, but it was still better than landing into the pool (something consensuated by all before jumping).Shortly after we went back to the top, geared up and climbed to the edge of the crane. The feel was of no wind. We had a tiny branch each, I dropped mine and it went down in a straight vertical line. We all decided going hand-held, me first, after Riki (the rookie of the group) and then the last one. My jump went perfect, hand-held, 1 sec delay, on-heading opening and landing in the main landing area, even further than expected (approximately 140m from the dam wall). Then Riki jumped, hand-held, 1 sec delay with good body position but he had a 90º off-heading opening to the left. He corrected the heading with rear risers losing considerable vertical altitude without moving forward to the landing area; taking some precious seconds to let go his breaks. When he finally released them, he was low, but still decided to go forward for the main landing zone (we guess he thought he will make it). Unfortunately for all, he couldn’t manage to pass the pool and landed into the left corner, just few meters before its edge. The strong water stream made him disappear and we couldn’t see him anymore.It’s very difficult to tell why he wouldn’t let go the breaks sooner. Both human and gear factors may had some influence. Riki was a young, full of life and kindness, enthusiastic jumper. He will be deeply missed by all the family, friends and local skydive-BASE community members. Fly free, brother.</t>
  </si>
  <si>
    <t>BFL381</t>
  </si>
  <si>
    <t>2019-11-02</t>
  </si>
  <si>
    <t>Japan</t>
  </si>
  <si>
    <t>TARD entanglement</t>
  </si>
  <si>
    <t>The jumper performed a TARD (Totally Awesome Rapid Deployment) and became entangled with the canopy, with video evidence suggesting a leg or foot caught in the canopy causing a forward fall into the canopy until impact. TARD deployments carry inherent entanglement risks requiring precise execution, and the entanglement during this unpacked deployment method indicates human error in execution.</t>
  </si>
  <si>
    <t>Canopy Entanglement</t>
  </si>
  <si>
    <t>['Canopy Entanglement', 'Unstable exit']</t>
  </si>
  <si>
    <t>We are hearing reports this was a possible TARD or TARD Over, from the video it looks as though his leg or foot got caught in his canopy causing him to fall forward and into his canopy till impact.</t>
  </si>
  <si>
    <t>BFL382</t>
  </si>
  <si>
    <t>2019-12-31</t>
  </si>
  <si>
    <t>Jedei 2 (Wingsuit)</t>
  </si>
  <si>
    <t>Loss of speed and altitude from maneuvering</t>
  </si>
  <si>
    <t>The jumper made a drastic 90° turn to the right followed by a 90° correction back left during wingsuit flight, which resulted in significant loss of speed and altitude. After these maneuvers he was flying very low and slow, unable to clear powerlines along the flight path. The sequence of aggressive turns depleted available lift and altitude, consistent with a human error in flight management.</t>
  </si>
  <si>
    <t>On the morning of the 31st, I was part of a group of three wingsuit jumpers, we hiked up to Corna Frea, a quite technical exit point above Riva del Garda, Italy. Great visibility, north wind in the area, we made it to the exit point easily and we were not tired after the 2+ hours hike. We decided to go for a two way wingsuit jump and I was jumping second, behind the deceased jumper. This exit point can be quite intimidating, a correct push with proper heading is very important, there are clearly visible powerlines a few hundred meters below the exit point and this can make people nervous, but the deceased had already jumped from this exit point in the past and he looked ok at the exit, quite focused and committed. He jumped first and I followed, half second later. His exit looked fine, normal push, correct heading, no drastic change of angle in the recovery arc, he seemed ok, but lower than me in the early phase of the jump. A few seconds later, as he was flying toward the first ledge to the left, he made a drastic 90° turn to the right, possibly to avoid flying too close to this ledge, he then corrected his heading by turning again 90° left, back on the normal flight path, but he was, at this point, flying very low and pretty slow. He kept flying straight toward powerlines for several seconds, but unfortunately he was not high enough to fly past them and impacted on one of them, tumbling for another hundred meters until he came to a rest in the forest.</t>
  </si>
  <si>
    <t>BFL383</t>
  </si>
  <si>
    <t>2020-01-02</t>
  </si>
  <si>
    <t>Sicily, Italy</t>
  </si>
  <si>
    <t>Rigging error caused bridle entanglement</t>
  </si>
  <si>
    <t>The jumper failed to stow the excess bridle between the two break cord loops and used an overly long static cord loop, creating a system with excessive free bridle that wrapped around his foot during exit. Additionally, excessive leg flexion during exit intercepted the loose bridle. These are identifiable human errors in rigging setup and exit technique that directly caused the fatal PC-in-tow condition.</t>
  </si>
  <si>
    <t>Updated 19th April 2021Luca Barbieri's GoPro video.The GoPro has been delivered to us by his girlfriend.She was with Luca but was unable to see the jump because she was driving the car to go to pick up Luca from under the bridge.His GoPro was mounted on his helmet.After careful analysis we are able to ascertain that the fatality was cause by a feet wrap in his bridle during a Static line jump.From his video POV we see that the SL setup is correct, just that the static cord loop used to fix the system to the bridge is too long for this kind of spot.Luca had not stowed the bridle excess that there is between the two break cord loops and all system it turned out too long, with too excess of bridle and static cord free to move around.He jumped with the PC far off his body, in his right hand, pulled just a bit on the right side during the exit.Immediately after the exit, 2 meters below, his body turned quickly on the left side.We see that the primary break cord is broken and the second one is still attached to the bridge.His right foot unfortunately is already wrapped around the bridle excess between the two break cords.When the second break cord breaks he it's already in free fall and on his back with one pin out but with the bridle entanglement around his body till the impact that happens 3 seconds later.In our opinion the mistake was to not stow the bridle excess between the two break cords with a rubber band and make too long the static cord. That made the entire system to long and more easy to wrap accidently around something.During the exit he flexed too much his legs on his ass, intercepting the bridle.His girlfriend told us that before this jump, he had done another jump from a 260 metre antenna (Slider ON) that he climbed during the night. Then he packed slider down and drove in the direction of the bridge.Maybe he was tired and we feel it also in the bridge video where he looks more stressed then usual.I have seen many mistakes about SL jumps in 20 Years of career, far more dramatic then Luca's but solved only with a big scare.Luca was really unlucky because all things that could go wrong went wrong.Luca was a cool guy, super humble with an incredible talent.With his wing-suit he was a real Master.I can ascertain that his skills on Slider up jumps were better than his slider down but for sure he was not unprepared just certainly unlucky.I know that Luca had more than 1300 Skydiving WS jumps and around 800+ BASE jump, mainly with wing-suit.The weather conditions were good with sun and zero wind.I hope that this details could help for people to pay more attention at any detail during the SL jumps.We have reports the deceased was jumping with one onlooker who is not a base jumper, we are waiting to hear back from police reports.(Video of Bridge in report)https://www.youtube.com/watch?v=lLJSRWKmCr0...----------------------------------------------------------------------Linkshttps://www.corriere.it/.../caltanissetta-luca-barbieri...-----------------------------------------------------------------------https://www.direttasicilia.it/.../si-lancia-dal.../amp/...</t>
  </si>
  <si>
    <t>BFL384</t>
  </si>
  <si>
    <t>2020-05-09</t>
  </si>
  <si>
    <t>Saxon, Switzerland</t>
  </si>
  <si>
    <t>Sukhoi 3 (Wingsuit)</t>
  </si>
  <si>
    <t>Insufficient exit push at technical exit</t>
  </si>
  <si>
    <t>The jumper experienced a 'weaker push than usual' on a technically demanding exit requiring clearance of a ledge at -20+6m. This insufficient forward separation on exit resulted in striking the ledge below, causing subterminal impact death. The weak exit push at a known unforgiving exit point constitutes a human performance error.</t>
  </si>
  <si>
    <t>We were a group of 4 at the Pierre Avoi. We hiked at a normal pace on a short approach and arrived in good shape. We measured both potential exits, including the one we knew had already been open and which Luc jumped. We all agreed to go on this exit as the numbers were easier (+10m total vertical). It is still a pretty challenging exit with a -20+6m ledge to clear.He jumped first, after looking down and telling us he felt confident.Exit happened at 11h30 with perfect weather conditions, without wearing a camera.Luc experienced a weaker push than usual on a less than forgiving exit.We heard the impact a couple seconds later. He has most probably hit the first ledge below.We found his body 200m down the exit.Luc had 14 years of base-jumping experience, and more than 1200 jumps, he was used to technical exits and mountain access, he opened plenty of them. He was current in jumping, as no real ban was enforced in most of Switzerland, he was keeping the activity low profile though.He was a kind friend and will deeply missed by the Swiss community. Our thoughts to his family.Other possible external factors:-we brought crampons as the snow conditions required them on previous weeks, and we didn’t know what to expect for the north path approach. It might have tightened the suit and reduced his movements capabilities, I remember seeing his suit pockets pretty filled on previous jumps.https://www.policevalais.ch/…/pierre-avoi-saxon-accident-…/…</t>
  </si>
  <si>
    <t>BFL385</t>
  </si>
  <si>
    <t>2020-05-21</t>
  </si>
  <si>
    <t>Aggressive maneuver into terrain</t>
  </si>
  <si>
    <t>The jumper deliberately chose a proximity line requiring a sharp right bank after exit. The overly aggressive bank sent him into a steep, head-low, sideways attitude. Although he recovered, the altitude lost during the recovery left him too low to clear the ledge, resulting in impact with trees in terminal freefall.</t>
  </si>
  <si>
    <t>Coming from the jumper on Exit who was jumping with him:In order to prepare himself for a new jump he wanted to open they both had been practicing on that cliff where if we jumped straight all is safe and good but if we go for the right there is a medium ledge.JB had done already a few right lines over the ledge.On the fatal one he jumped to the right again and had a slightly steep exit but nothing to worry about.After he cleared the exit he applied a very sharp bank to the right but it seems it was too aggressive as this manoeuvre sent him in too steep and head low very sideways.Despite all of this he recovered and still continued to the right but he was to low and hit the trees on the ledge.</t>
  </si>
  <si>
    <t>BFL386</t>
  </si>
  <si>
    <t>2020-07-15</t>
  </si>
  <si>
    <t>Hope, Canada</t>
  </si>
  <si>
    <t>Proximity flying impact</t>
  </si>
  <si>
    <t>The jumper died from impact during wingsuit flight after making what the witness describes as 'a very committing and aggressive turn into a drainage' during proximity flying. This indicates a decision to fly a line that exceeded available margin, constituting human error in flight path selection and execution.</t>
  </si>
  <si>
    <t>['Loss of speed-glide', 'Not enough separation from object', 'Proximity flying']</t>
  </si>
  <si>
    <t>We arrived at the exit at 9:30 and conditions were optimal. We took our time gearing up and I discussed my flight path with Alex. He was unsure if he would take the left or right line, and opted to jump after me, offering to film my exit. As we made our way down to the exit he told me he'd be a bit behind me as he still had not decided which line to fly. I had a safe jump and landing and waited in the LZ. I was unable to have a clear visual of the exit or of the lines he would have flown.
I waited for ten minutes before becoming concerned, gave it another five, and decided it was too long for him to be waiting on the exit. There was minimal cell reception on exit and none in the LZ so I drove ten minutes down the road and called him: it rang but no answer which told me that he was no longer on exit but not far enough down to be out of cell reception. I called search and rescue immediately. At this time there is no footage to verify the cause of death, but based on previous flights and the location of his body we can assume he impacted mid flight after a very committing and aggressive turn into a drainage.
Alex had opened up several big wingsuit jumps in this area in the past few years and had big plans of opening more. He flew these jumps with commitment and intensity and recognized that pushing further would be unsustainable. He talked constantly of the potential here and his passion for exploration in the mountains and opening exits. His last week of life was spent enjoying the fruits of his labour: flying wingsuits in the mountains with friends. He will be extraordinarily missed, and I'm sorry for those of you who are learning of this now on a fucking facebook page. Though it breaks my heart to write this, I am eternally grateful to have had these last precious days and moments with Alex.
**Things I've thought about:
-we should have each clarified our flight plan with each other prior to exit
-we should have had radios; had I known when he was jumping I could have wasted less time wondering
-if I had binoculars in my van I could have seen him on the exit or where he came to rest, giving me more detailed information to pass to SAR</t>
  </si>
  <si>
    <t>BFL387</t>
  </si>
  <si>
    <t>2020-07-16</t>
  </si>
  <si>
    <t>Livorno, Italy</t>
  </si>
  <si>
    <t>Rigging/Deployment Error</t>
  </si>
  <si>
    <t>The report identifies 'Incorrect rigging setup' and 'Pilot Chute Entanglement - PC in tow' as possible factors, with cause of death listed as PC in tow or PC-Bridle entanglement. The jumper was found with canopy only slightly out of the container, indicating a total malfunction consistent with rigging error or deployment failure. PC/bridle entanglement and incorrect rigging setup are human error pathways related to packing, rigging, or deployment technique.</t>
  </si>
  <si>
    <t>Jumper had gone alone and with only a few weeks from finishing a FJC calls were made to Emanuele's phone between 8:30pm and 11:00pm but no answer. Friends decided to go look for him at the antenna and found him deceased at the bottom within 8 metres of antenna with some canopy slightly out of container. More information is needed once Police hold their investigation.</t>
  </si>
  <si>
    <t>BFL388</t>
  </si>
  <si>
    <t>2020-07-25</t>
  </si>
  <si>
    <t>PC held causing bridle entanglement</t>
  </si>
  <si>
    <t>The jumper grabbed the pilot chute but failed to deploy it promptly, holding it in hand while distracted by a lost helmet. This allowed the bridle to wrap around the arm, resulting in a PC/bridle entanglement and total malfunction (PC in tow). Holding the PC instead of immediately deploying it is a clear human error in deployment technique.</t>
  </si>
  <si>
    <t>201C1, 202P1</t>
  </si>
  <si>
    <t>['Altitude awareness', 'Gear failure', 'Pilot Chute Entanglement - PC in tow']</t>
  </si>
  <si>
    <t>['Medium winds', 'Winds light and variable']</t>
  </si>
  <si>
    <t>Update after camera was found:
First the cause of the incident is a bridle under the arm when the PC is releasedSecond the helmet was not attached or properly attached as the chin-lock was open when found and the jumper lost is helmet before opening, which gives an outside view of the incident.
He exited and had a non effcient track but nothing very unstable.At some point (36th second of the video) he's changing his position (box) to pitch and he losts his helmet while getting the PC out. He tries to recover it by putting his hand on his head but the helmet is already gone, we can see that he already grabed the PC by the handle.The helmet turns and shows the all bridle out and the all the PC in the wind still grabed by the handle.The camera losts sight and get it back (still 36th second of the video)and the PC is now in the front of the arm and the bridle, a moment later he left the PC go.My guess is that he probably kept the PC in the hand because he was thinking of his helmet, and the air perturbations had made the PC turning around the arm followed by the bridle.The camera losts sight again and when it got back on him for 2 frames (37th second of the video) the right arm looks like he is trying to do something but we cannot see the PC inflated.The camera losts sight again, it got back on him (38th second of the video) and something that looks like the inflated PC but he his already far from the camera.The next 2 times (39th and 40th seconds of the video) we can see him it is very hard to see what's happening but I would guess that he is trying to do something.And then (41st second of the video) he is on the ground.
Lessons to be learnt:Never keep the bridle in your hand, if you go for pitching do it fully whatever is happening.Check your gear, 1, 2, 3, ... how many times needed (whatever people are saying).Think about what you would do if you were in the same situation now, and train it mentally and on the ground, so the day you need it you will do it fast.</t>
  </si>
  <si>
    <t>BFL389</t>
  </si>
  <si>
    <t>2020-08-15</t>
  </si>
  <si>
    <t>Corvara, Italy</t>
  </si>
  <si>
    <t>Freak 3 (Wingsuit)</t>
  </si>
  <si>
    <t>Terrain impact during proximity flight</t>
  </si>
  <si>
    <t>The jumper was proximity flying a wingsuit and impacted terrain just before entry into a gully he intended to fly, with nothing deployed. A witness who exited after him believes he miscalculated the entry. This indicates a human error in flight path planning or execution during proximity terrain flying, resulting in impact in terminal freefall.</t>
  </si>
  <si>
    <t>['Altitude awareness', 'Not enough separation from object', 'Proximity flying']</t>
  </si>
  <si>
    <t>Description: Information from jumper who exited after Simone has said he impacted just before entry into the gully he intended to fly and was confirmed by rescuers.
Jumper believes Simone miscalculated the entry and impacted with nothing out.</t>
  </si>
  <si>
    <t>BFL390</t>
  </si>
  <si>
    <t>Loen, Norway</t>
  </si>
  <si>
    <t>CR+ (Wingsuit)</t>
  </si>
  <si>
    <t>Failed to abort flight at decision point</t>
  </si>
  <si>
    <t>The jumper passed a pre-identified critical reference point with insufficient performance (below the reference point) yet chose to continue flying toward the bottom landing area instead of aborting to the closer, higher landing area at 900m. This decision to continue despite not meeting the pre-established abort criteria led to sustained low-altitude flight with decaying airspeed, ultimately resulting in impact at terminal freefall when he was unable to deploy in time. The report authors explicitly identify the failure to bail as the critical error.</t>
  </si>
  <si>
    <t>A group of three jumped one by one. Kim jumped as number three. The two first jumpers landed at the bottom (50masl). Kim was never seen. Reports are that he hit the ground with fatal consequences halfway through the flight. Police are investigating the accident, and it is likely that Kims video can be analysed by an experienced wingsuit Basejumper in a week from now. Kim was also wearing a flysight that can provide valuable information searching answers. We therefore hope to have a solid report within a few weeks.
UPDATE 3RD JANUARY 2021:
Report: Kim Gonsholt’s fatality at Skåla, 15th July 2020 at 20:35
Gonsholt jumped as the last of a group of three. All three jumped solo. Separation betweenjumper one and two was 65 seconds. Between jumped two and Gonsholt separation was 12seconds. It was the first time for Skåla to be basejumped.
Equipment:Jumper 1: Squirrel WS Aura 4Jumper 2: Phoenix Fly Sukhoi 2020Jumper 3: Squirrel WS CR+ (Base version)
Conditions:Low sun straight into the wall. Light laminar winds from north west (straight into the wall). 1– 3 mps anabatic push. Light anabatic push throughout the whole flight line towards landingarea.
Location:Skåla, 1852masl. Exit point is at 1835masl.There are two landing options: Bottom of the valley, large field at 40 masl or halfway downat a river aprox 900masl. Distance to the bottom landing area is 4,5km, while distance to theother landing are at 900m is 1,7km.
Exit:Critical point is 90/30. Solid rock to stand on and the wall is clean and open.Before jumping, a reference point at approximately 370/600 along the line was identified. Ifthis point was not reached with good horizontal speed, the plan was to abort an attempt toreach bottom valley landing and rather fly to the river at 900masl. Both first jumpers flew tothe bottom landing at 40masl. This report is written by jumper 1. Report writer flew byreference point in good speed and therefore chose to fly all the way down. Only reportwriter and Gonsholt was wearing camera.
This is the description of Gonsholt’s jump, based on Flysight data and POV from GoPro Max:After 100m vertical, he had flown 41m horizontal. After 200m vertical, he had flown 140mhorizontal. At 400m vertical he had covered 610m, his horizontal speed was 165kph with aglide ratio (GR) of 3,1 (this was 20sec into the flight). This put him below the critical inflightreference point with at that point 165kph horizontal speed. He chose to keep on flyingtowards the bottom landing. Altitude from this point until the end of flight was between 3-15 meters. After 30 seconds his horizontal speed was 145kph, at 40sec – 135kph, at 50sec –125kph, at 60sec – 109kph and finally at 68sec – 81kph. Gonsholt emergency pulled after70sec of flight, impacted on line stretch and died immediately. Observations from videoshows his configuration to be fully stretched, top to toe, with neutral to light anhedral armsetup throughout the flight.
Skåla has been discussed for years by many experienced wingsuit pilots, but never jumpedbefore, for obvious reasons. It was finally opened after several recce hikes and a long waitfor perfect conditions. Gonsholt has performed around/above 200 wingsuit BASE jumps andwas known for substantial talent with impressive dynamic skills and high-speed lines. Hisexperience in exit opening was low. The two other jumpers have together more than 40years in BASE jumping and a history of opening exit points going back to the early 2000’s.
So why did this go so wrong?Critical control questions about experience level, skills and overall awareness was neverasked. Recent history of impressive achievements perhaps made it less natural to put on thecaring mentor hat towards Gonsholt. The ability to understand when to bail flight seemschallenging. It’s clear from GPS data and POV camera that the higher landing area was theonly option for survival. He impacted just halfway down, and it is not getting steeper fromthat point and downward. We knew this in advance. The trail to the top is going up whereyou fly down. It is a demanding GR to the very end.It is easy to sit in front of a computer with GPS and camera data, and analyze what couldhave been done differently, and so hard in freefall.The joy on landing lasted for one minute. After that, Skåla as a wingsuit exit, turned into avery different story. But, truth is that both jumpers had a bad gut feeling hanging undercanopy. Skåla was just as marginal, and maybe even more, than it was assessed to be inadvance.Kim Gonsholt was 26 years old and lived in his campervan travelling around jumping whenhe was home from off-shore work. It was a setup that allowed him to jump a lot andtherefore have a steep learning curve.He made an impact with his big smile and 100 % commitment to reach as far as he could inthe sport. He would have wanted all of us to see this report, just as he carefully read all BASEFatality List reports to learn and be safer.
Kim will be deeply missed.</t>
  </si>
  <si>
    <t>BFL391</t>
  </si>
  <si>
    <t>2020-08-29</t>
  </si>
  <si>
    <t>unknown</t>
  </si>
  <si>
    <t>Freefall impact in poor weather</t>
  </si>
  <si>
    <t>The jumper died from impact in terminal freefall, meaning the canopy was never deployed in time. The narrative identifies bad weather (clouds, rain, low visibility) as a likely major factor, and altitude awareness is listed as a possible factor. Jumping a cliff in conditions of low visibility and rain represents a decision error, as these conditions were observable before exit and degraded the jumper's ability to maintain altitude awareness and deploy at the correct time.</t>
  </si>
  <si>
    <t>Two jumpers from Via Ferrata with the first jumper exiting and landing with no issues, the second jumper has exited shortly after and has died from injuries sustained on the jump.
The first jumper has said that after he opened he looked back and saw Giacomo's canopy impacting the wall and believes he has impacted in full flight.
Bad weather (Clouds/rain/low visibility) may have been a big factor in this death.</t>
  </si>
  <si>
    <t>BFL392</t>
  </si>
  <si>
    <t>2020-09-03</t>
  </si>
  <si>
    <t>The jumper attempted to fly through a technical notch on his first visit to the object, without laser data or GPS information, using a suit he was uncertain could clear the terrain. He impacted the notch in terminal freefall while flying too low to clear it. This represents a decision to attempt a technical proximity line beyond what the conditions and available information supported.</t>
  </si>
  <si>
    <t>Casual factors: Jeremiah was fixated on flying through the left notch, asking questions on the hike all the way to the exit and acknowledging that he was unsure if his suit would allow him to clear the terrain he was interested in flying over. This was his first time seeing the mountain in person and jumping the object. Jeremiah’s last Wingsuit BASE jump was in Italy 11/6/19. Between then and the jump on the 3rd of September he had made another 200 Wingsuit skydives. Exit Altitude: 775’ rock drop, 3600’ to lz.Conditions: 62° clear sunny skiesWind on exit: Light wind up the face from sun exposure. Description: Details would be that Jeremiah took a left line from East Buttress toward the classic attempting to fly over the notch, impacting while flying too low to clear the notch. Canopy partially coming out after impacting and reaching line stretch several hundred feet down the gully where he came to rest. The individual that was on exit with him had jumped first and after realizing what had happened, not having a emergency locator beacon or cell service, ran 30 minutes down trail to his vehicle so that he can drive about 20 minutes to cell service and make the distress call. The SAR Helicopter came as quickly as possible eventually locating his body with no signs of life, they decided to resume the recovery the following day. A team of 4 Search and Rescue members were lowered down to recover his body and later taken to the medical examiner’s office.
UPDATED 10TH AUGUST 2024
This is from the jumper that was with Jeremiah. The information in the initial report is second hand information and is inaccurate in one regard: Jeremiah did not ask non-stop on the way up about the notch. If I had asked Jeremiah specifically what line he intended to fly on exit, I believe he would have told me, and had I suggested to do something else, I am highly confident he would have followed my guidance. The biggest lesson for me from this incident is that the pre-jump fist bump is a sacred moment where we check-in with our companions; it is a moment to check-in with folks, reflect, and possibly suggest a change of plans if something feels off.We took a little over 3 hours to hike up and most of that was talking about non-BASE topics. Another friend had asked me to show Jeremiah the Baring exit.
I had told that friend that I only knew how to get to the East buttress exit and did not know how to get to the classic exit which is considered better for people who are tracking and visiting Baring for the first time. My friend vouched that Jeremiah had sufficient ws base experience for the East buttress exit so there was no need to figure out how to get to the classic exit. The hike up was my first time meeting Jeremiah so we easily filled the time hiking up learning about each other and exchanging stories.At around the halfway mark Jeremiah asked me what my flight plan was for the jump. I shared with him I intended to fly through a jumper’s left notch that I had done once before but was quite technical. He asked if I had laser numbers for the notch, and I shared that I didn’t. I had went for the notch for the first time relying on sight picture to make a quick decision to abort or commit. He asked if I thought it would be possible to fly through the notch with a freak2, I told him I did not know but the correct way to assess would be with a laser and gps data. I suggested there were other nice flight options going straight or right.When we were near the rock gully, he once more asked about the notch and whether it would be possible to do with a freak2. I explained the other factor that you’d need to consider is that it’s a push with a subterminal left turn, so you’d need to have data from past jumps where you immediately do a subterminal turn off exit.
My impression was that he was inquiring with curiosity to know if on some future distance jump if it would even be possible to fly through the notch with a freak2.Both discussions were short and given my answers, I didn’t consider flying the same line would be something on his mind. I didn’t see any red flags in anything he communicated. I’ve been on hikes with jumpers before who seem to have a superhuman belief in themselves that is worrisome, this was not Jeremiah. With regards to climbing, he seemed to have been going beyond the training that many BASE jumpers do, myself included, to become a competent climber. And he seemed to be eager for advice + feedback on how to be as competent of a pilot as possible.The pre-jump exit atmosphere was quiet but nothing felt off. Jeremiah shared he would prefer to jump second. I geared up and walked close to the edge to start visualizing for my own flight and then realized I had forgotten to do a fist bump as is customary, so I turned around to raise my fist in the hopes Jeremiah would take steps towards me to meet the fist bump. He gave me a nervous chakra instead and in that moment I felt that something was wrong, but I ignored that instinct to return to visualizing my flight. As I put my feet over the ledge, Jeremiah interjected to ask if I would mind if he stood to the left, behind me, and slightly over me. I told him I did not mind, did my countdown and jumped. Shortly after landing I looked up to see if I could watch his flight and started to connect the pieces, I then watched him exit and fly towards the notch. I couldn’t see exactly what happened but heard several thuds. From this point on the rest of the first incident report is accurate.
I knew something was wrong at the fistbump check-in and I ignored that instinct. If people are so nervous or the vibe is so off, that the fist bump is forgotten, this is a red flag. If the fist bump happens, but you can feel your own energy or another person’s energy is off, this is a red flag. I should have stopped and asked Jeremiah how he was feeling when he threw the nervous chakra. I think it’s likely he would have told me he was nervous and revealed his plan if I had asked his flight plan. That would have been my opportunity to suggest he fly something different and that the notch would always be there. I know this would likely have worked, because I’ve been in similar situations since.
Sometimes we trap ourselves into a plan and all that it takes to help get us out of the trap is if a friend suggests an alternative.
Two lessons:(1) fist bump is sacred. Check-in with your partner here and be prepared to take a step back from the edge if the vibe is off(2) always ask about your partner’s flight plan on exit. Even competent rational people have moments of poor judgement that we would not expect.</t>
  </si>
  <si>
    <t>BFL393</t>
  </si>
  <si>
    <t>2020-09-08</t>
  </si>
  <si>
    <t>Corvid (Wingsuit)</t>
  </si>
  <si>
    <t>The jumper was observed flying very slowly over a plateau requiring a glide ratio over 3:1 with a long no-pull zone. Footage confirmed he was low and had to emergency pull. Flying too slowly in a wingsuit degrades glide performance and available lift, which is a recognized human error pathway. Additionally, the jumper had limited mountain experience and only ~20 jumps on the Corvid suit, suggesting insufficient skill for this demanding line requiring sustained glide performance over terrain with no-pull zones.</t>
  </si>
  <si>
    <t>['Hot with thermals producing', 'Winds light and variable']</t>
  </si>
  <si>
    <t>Jumper exited and turned right to go over plateau La Marchande. Two jumpers saw him exit and were immediately concerned seeing him flying very slow. He was found dead on plateau by first responders. Canopy was out but it's still unclear if jumper pulled or it came out on impact.The plateau requires a glide over 3 and has a long no-pull section. Morning jumps are tricky because of the high altitude and thermals. Jacques was from Paris and was not experienced in the mountains. He had roughly 20 jumps on his Corvid, more information will follow if the go pros are found over the coming days.
Update 11th Nov 2020Footage has been seen. Jumper was low and emergency pulled. Canopy opened downwind and he came crashing on rocky terrain a couple of seconds later. Helmet was heavily damaged and he had no chance of survival</t>
  </si>
  <si>
    <t>BFL394</t>
  </si>
  <si>
    <t>2020-09-10</t>
  </si>
  <si>
    <t>Colugo 3 (Wingsuit)</t>
  </si>
  <si>
    <t>The jumper was flying a wingsuit in proximity to terrain and attempted to clear a pinnacle while flying at or near maximum glide (low airspeed, high angle of attack). The speculative conclusions all point to the jumper either stalling out due to insufficient airspeed/available lift near the pinnacle, or failing to clear terrain he committed to overflying. Flying at near-max glide with minimal speed margin near terrain is a recognized decision and skill error in wingsuit BASE, as it leaves no energy reserve to manage unexpected conditions or clear obstacles.</t>
  </si>
  <si>
    <t>FATALITY REPORT DAVID WALL 10.9.2020 Written 15.9.2020 by Chris McDougallSex: MaleAge: 37Nationality: AmericanEquipment: Wingsuit: Colugo 3 Container: CruxCanopy: HaydukeThis fatality is written by the speculation of the following: • Verbal ﬂight line mentioned to girlfriend before the jump• Inspection of wingsuit, container &amp; canopy at police station after retrieval• Review of a photo of the body and gear where he came to rest• Opinion of expert local jumper• Weather conditions on the day.• Personal inspection of the place where he came to rest• Flying style of the jumper in the lead months leading up to the jump.• Video from tourist from another part of the mountain.The lead up to the jump…. David’s Base jumping journey started when he saw a video of sputnik a few years previous so for him to come here and realise his dream was a big deal that he took seriously.He had done his ﬁrst jump here the previous day without incident in which he took a similar line but went around the outside of the pillars.David was super ﬁt, super heathy, had a strong, clear mindset and was not hindered by drugs, alcohol or fatigueThe weather on this day was great for jumping with good lift.David was not pushing to go jumping on this day and was happy to go paragliding with his girlfriend but she was happy for him to go for a jump in the morning which he then chose to do.Verbal ﬂight line mentioned to girlfriend before the jump He said he will not be trying to ﬂy through the crack but to take the high left line and then head to the far left to ﬂy over the ‘trench line,’ a common line for experienced jumpers. He had promised to take it easy and come back another time after gathering data and more information on the diﬀerent ﬂight lines before getting closer to the terrain. Inspection of wingsuit, container &amp; canopy at police station after retrieval Review of a photo of the body and gear where he came to rest After inspection of the gear which included the wingsuit, container, pilot chute and canopy as well as photo of his body still in all gear it was determined that he died without making an attempt to open his parachute. I did not inspect his helmet but was told of damage to the helmet. It was a full face but not CE rated.It is unclear when his parachute came out but there was sliding dirt marks on both sides of his wingsuit and the inside of his container indicating that it was forced out after a heavy impact.The bottom closing loop was missing completely. The top closing loop was as normal.The left side of his canopy had a number of small holes and his pilot chute also had some small tears / holes. The right side of his wingsuit was ripped severely from the shoulder area. Apart from a major head injury, all other external injuries were on his right side.The police photo indicates that his canopy was never deployed and was still in a semi packed state right by him.Both his brakes were un-stowed but this could either be from the police and rescue teams or from the impact. I do not think any attempt was made to ﬂy or there was enough canopy out to even be able to ﬂy.Opinion of expert local jumper and weather conditions on the day. After talking to a local and expert jumper who was ﬂying on that day he said that the conditions were amazing and that it was possible to ﬂy the terrain in the left line. After reviewing the tourists video the weather looked near perfect with some light thermic wind from the edge of the cliﬀ where the video was taken as well as light ﬂuﬀy cloud indicating nice thermals.Personal inspection of the place where he came to rest Two days after the accident and at the families request 6 of us went to try to locate the two cameras he was wearing during his jump. We went to the exact site where David came to rest using the pin location from the police. It was clear that this was not the ﬁrst point of impact. It was a small rocky area on a 45 degree slope surrounded by various vegetation directly below a very steep and narrow gully which was unreachable without climbing equipment or a mountain guide. It is my belief that he tumbled down gully before he came to rest.We were unable to ﬁnd the cameras. Flying style of the jumper in the lead month leading up to the jump Davids ﬂying style was aggressive and at the top end of proximity wingsuit ﬂying in the month leading up to the accident. He was though, extremely meticulous in his training both on and oﬀ the mountain. He would ﬂy the same line repetitively working closer to the terrain. He would analyse his videos and ﬂy sight data on every single jump. But he was on the limit of ﬂying in which some other jumpers have made mention that this style of ﬂying was not sustainable. Video from tourist from another part of the mountain The most conclusive outcome of this accident came from a tourist video from another part of the mountain. Whilst not completely clear and from far away, when zoomed in you can see him ﬂying to the second to last pinnacle, not around the outer pinnacle. You do not see him hit anything but at that moment before the tumble or steep dive you hear the shock in the voices of the 2 people doing the video. At the 69th &amp; 70th frames from the end of the video you see what could be a wingsuit far lower down and headed away form the pinnacle. This could also just be a bug as there is a similar image in the last 2 frames of the video also.Speculative Conclusion: David was ﬂying with near to max glide in thermic conditions to ﬂy over the pinnacle so he could ﬂy another line to the far left.He either….1. Clipped a tree and tumbled to the ground2. Stalled out with the low air speed and thermic conditions and possible wind rotors close to the pinnacles.3. Clipped a tree and then dove down hard with a sharp right turn 4. Realised very late he wasn’t going to clear the pinnacle and performed a very sharp right turn and dive into which he impacted and or tumbled to his resting place.Personal note: David was living on the ﬂoor below us for the last few months and we were basically house mates. We hung out every single day. We paraglided together, we base jumped together many times and i got to know him quite well, including his aggressive ﬂying style in a wingsuit. He was very conﬁdent and he ﬂew aggressively but he also trained very hard and analysed his data and video after each jump. Even though on social media he may have come across a certain way, he actually had no ego other than how stoked he was personally with the ﬂying he was achieving for himself. I would be the ﬁrst to call him out on this if I thought otherwise. He was full of awesome crazy ideas but would always listen and take note of my more cautious approach to reality which I appreciated. I was very upset with him after hearing the news of the accident because I thought that he would’ve disregarded all his own rules and just went for it and lived in the moment after a possible good exit and good lift during ﬂight, something which I would’ve done also. But after reviewing the footage from the tourists it appears that he just went for a super high line to the left and tried to get over the top of the second to last pillar, appearing to ﬂy in a slower gliding motion to make it over although it is hard to conﬁrm because of the perspective of the camera angle. Whilst his ﬂying style was aggressive, this is not what resulted in his death as initially thought. Whilst he made a mistake, he held true to his word to his girlfriend and attempted what he said he was going to do. He was one of the most full on humans I have ever met and the most honest, true and virtuous person I have ever met who’s ultimate dream was to help change and save the world. I was proud to call him my friend. Douggs</t>
  </si>
  <si>
    <t>BFL395</t>
  </si>
  <si>
    <t>2020-10-21</t>
  </si>
  <si>
    <t>Waterfall proximity decision error</t>
  </si>
  <si>
    <t>The jumper's second BASE jump was conducted from a waterfall where proximity to falling water was a known major risk factor. A 100-degree off-heading brought the canopy into contact with the waterfall edge, causing water-induced collapse and fatal impact. The decision to jump an object where the inherent proximity hazard could not be managed with the jumper's minimal BASE experience (1 prior jump) constitutes identifiable human error in object selection and planning.</t>
  </si>
  <si>
    <t>['180 Offheading', 'Canopy Entanglement', 'Katabatic air flow', 'Not enough forward seperation on exit']</t>
  </si>
  <si>
    <t>This was Todd's first BASE jump. Conditions were good on the day, with an average amount of water flowing over the falls. The exit was chosen so to allow easy access and a good launch from rocks. As it was a first jump Todd expressed a wish to be PCA'd. The exit was perfect. The canopy opened with an off heading 100 degrees left. As Todd corrected the off heading the edge of the canopy just made contact with the edge of the waterfall. A surge of water then struck the left end cells of the canopy, causing a collapse of the left side of the canopy. Now in a stalled configuration, the canopy was sucked into the waterfall, collapsing entirely. The canopy stayed above Todd's head as both dropped at waterfall speed to the pool below. Todd impacted the rocks at the waterfall pool edge. He died on impact. Proximity to waterfalls is a major risk factor in this style of BASE jumping. In this case all the holes in the cheese lined up and through a combination of factors, water level, proximity, off heading and air currents. Todd was a well experienced skydiver and excellent canopy pilot. I would urge everyone to consider the absolute worst case scenarios and calculate these when choosing to jump waterfalls. RIP Todd. You will be sorely missed.</t>
  </si>
  <si>
    <t>BFL396</t>
  </si>
  <si>
    <t>Onesie Power (One Piece Tracking Suit)</t>
  </si>
  <si>
    <t>Unstable exit leading to uncontrolled freefall</t>
  </si>
  <si>
    <t>The jumper executed an exit that resulted in strong over-rotation and head-low instability from which he never recovered, leading to impact with the cliff in terminal freefall without deploying his parachute. The exit technique produced an unrecoverable body position, constituting a human error in execution. Contributing factors include the jumper's apparent agitation and over-deliberation at the exit point, suggesting he may have been operating beyond his comfort level at this relatively unfamiliar exit.</t>
  </si>
  <si>
    <t>I write more of just the details that I feel may help the community learn something more from this fatality.Uf was in Brento region to begin flying his Onesie Power 20. He was pleased to see me as a familiar face but we were not close friends. I’d jumped with him and his closer friends on two occasions in 2018 &amp; 2019. He told me he had taken 2 or 3 days coaching with IBA, but I have not confirmed this as a fact. He would largely fly solo, in his own bubble, but enjoyed socialising around the packing, bus trips and hikes.My opinion and the opinion of other jumpers, was that he was flying the suit quite well. He was noted as having a strong push from the student step on exit and consistently flew the suit to main landing.Myself and two other more experienced friends had already jumped the Cima Capi exit on two previous days, Sunday &amp; Monday.Uf new of this activity and showed small interest but on both these opportunities he chose to remain jumping from Brento main exit. He seemed very adamant at that time.By Monday evening he was requesting to join us at Pilastro.The jump was eventful in that a jumper got twists and landed in the talus which caused apprehension at the exit for the remaining jumpers, myself, Uf and a third person.Uf reported that he wasn’t pleased with his exit that followed, he told us he had a ‘weak push’ a little head low, but that he tracked reasonably well after.He took a day back jumping only Brento main exit during Tuesday.By Wednesday he learned that I and some friends planned to return to Cima Capi and requested to join us. He messaged me and informed me that his appartment was in Riva Del Garda and he therefore would meet us at the landing.Some of our group cancelled last minute in the morning, just through random reasons, tiredness or low motivation.In the end there were four of us meeting at the landing tunnel. Myself and a very experienced (1900 jumps) friend with whom I had jumped Cima Capi twice already that week, then Uf and another guy (also a debutant to Cima Capi exit)Conditions were perfect, with very calm winds forecast and a reasonably late change in direction.The hike was very enjoyable, we were all in good spirits and having friendly relations all round. We were not rushing and took two rests. At exit everybody was calm, happy and relaxed, there were no signs of stress. The two debutantes to Cima Capi were given the express freedom of choice in the exit order and they elected to watch my 2-piece jump and landing, followed by the other non-debutante in the Mono suit.There was maybe a little bias towards concern for the landing pattern and accuracy requirements rather than the Exit and Freefall requirements, but all were aware of all aspects of the jump and nobody showed excessive concern or duress.Two tourists requested to film us jumping, from a point on the via ferrata just above. All of us were more than happy and agreed it was ok.The two debutantes decided between themselves what order they would jump, there was some talk of one of them not liking going last and Uf took the last spot willingly and without any sign of reluctance.From the landing, 3 of us awaited Uf’s exit which seemed delayed, eventually being shocked by his unstable body, tumbling uncontrolled straight down the rock drop. It was distressing and we immediately began declaring quite loudly that it’s looking like fatality...We are almost 100% certain that from this point there were two quite loud impact sounds resulting in a canopy out in the resting position on the talus. Two of us were quite certain that there was no pull, and that the canopy came out due to one of these impacts... we were already however under duress and in shock.Services were immediately informed and the body removed.Being that I knew him more than the others and that I had witnessed the greater length of his fall, I was invited to the police station for interview.Here, a video from one of the tourists was shown to me. I watched it through only once with no pause and found it quite distressing knowing it was my friend and so soon after the incident and so close to his final moments of life.The video revealed a side to his demeanour that he had not really displayed or revealed to us at the exit point.He seemed quite agitated, nervous of course but not excessively scared, but with much over deliberation about foot placements. Resetting his feet and mind often, touching his pilot chute multiple times etc etc.After a few minutes he executed his exit as we had seen him routinely do and as his friends at home told me he always did. His arms swing up then down and then launches from two foot static, poised.What follows I would best describe as not a violent but definitely a strong over rotation leading to clear head low instability... it looks very obviously to anybody who BASE jumps that it is not just steep, but is entirely ‘undesirable’ and with immediate loss of control.My recollection of this one video play through was hampered by fatigue and unmindfulness maybe however.He disappears out of sight after a few moments and approx 5-6 seconds later a large muddled sound is heard, definitely involving an opening of fabric and at least one strong impact.The video ends with the words ‘scheisse’ as the tourist reaches the sudden conclusion that he has impacted the cliff.I would very very much like if possible that closer friends and possibly more experienced jumpers retrieve a copy of this video with the permission of Uf’s brother-in-law, to possibly put further accuracy on both his state of mind before exit and the execution of the push.With love</t>
  </si>
  <si>
    <t>BFL397</t>
  </si>
  <si>
    <t>2020-10-30</t>
  </si>
  <si>
    <t>Adige Valley, Italy</t>
  </si>
  <si>
    <t>Aura 4 (Wingsuit)</t>
  </si>
  <si>
    <t>Unstable wingsuit exit into terrain</t>
  </si>
  <si>
    <t>GoPro footage shows Fabrizio had a bad exit causing him to go very head low. Although he immediately attempted to correct, the terrain below the exit was insufficient for recovery. The unstable exit is a human error that directly produced the fatal outcome.</t>
  </si>
  <si>
    <t>Fabrizio was jumping alone and chose to do a jump he hadn't done before, finding the exit with the GPS point. He was in contact with a friend on whatsapp, agreeing to check in after landing. When Fabrizio didn't make contact for 30min the rescue services were called.Fabrizio was found around 30m from the base of the cliff, canopy out but most likely from the impact.We hope to have more details once we examine his equipment.
Update :
After reviewing Fabrizio's GoPro we can see he had a bad exit which caused him to go very head low on exit. He immediately corrected the dive but the terrain under the exit was not sufficient for him to recover in time.</t>
  </si>
  <si>
    <t>BFL398</t>
  </si>
  <si>
    <t>2021-01-01</t>
  </si>
  <si>
    <t>Malaysia</t>
  </si>
  <si>
    <t>Putrajaya, Malaysia</t>
  </si>
  <si>
    <t>The narrative contains no substantive information about the accident circumstances beyond the structured fields. While the possible factors list mentions 180 off-heading, line twists, and insufficient separation, the narrative itself provides no details about what happened, why, or what errors may have occurred. Without information about conditions, the jumper's decisions, exit quality, packing, or other circumstances, neither a human error pathway nor a non-human cause can be reliably established.</t>
  </si>
  <si>
    <t>['Medium winds', 'Sunset']</t>
  </si>
  <si>
    <t>Jumpers have been in touch and will send more information in coming days.</t>
  </si>
  <si>
    <t>BFL399</t>
  </si>
  <si>
    <t>2021-01-06</t>
  </si>
  <si>
    <t>Kabardino-Balkaria, Russian Federation</t>
  </si>
  <si>
    <t>Inadequate progression, object strike</t>
  </si>
  <si>
    <t>The jumper had only 25 BASE jumps, 1 BASE season, and was attempting his first slider-up cliff jump with an inexperienced mentor, having bypassed the accepted progression path. He lacked proper training for slider-up cliff jumps, which require sub-terminal tracking skills and object avoidance proficiency developed through extensive practice at simpler objects. The 180° off-heading opening resulted in fatal object strike, a known failure mode that proper progression and training are designed to manage.</t>
  </si>
  <si>
    <t>['180 Offheading', 'No or little training']</t>
  </si>
  <si>
    <t>Yaroslav had ~300 skydive jumps, 180 were made in the 2020 season. Also, he was an experienced acro paraglider pilot and did some jumps with his BASE rig from a paraglider.He intended to start BASEjumping on a recognized plan - Croatian S + Brento. But because of the covid, the borders were closed, and this became impossible. He applied for training to an inexperienced jumper who lived close to his region. They made several jumps from the antenna after Yaroslav began slider-down jumps from the cliffs. Experienced jumpers told him about the dangers of such jumps without proper training. He admitted that it was "roulette", but said that he hoped for his paragliding skills and psychology (this is a quote).Finally, his “mentor” took him to the exit point “Pyramid” for his first slider-up jump. There are 250-270 meters of vertical and 30-50 talus.According to eyewitnesses, after the push, Yaroslav began to deviate to the left side. He threw PC in 3-5 seconds, his canopy opened with an offheading and Yaroslav impacted the wall. He slipped to the bottom, hitting the wall many times. The ambulance arrived quickly enough, but unfortunately, he died in the hospital a few hours later.Yaroslav was a kind and pleasant guy. He was motivated for wingsuit BASE and big mountains and also designed wingsuit jumping projects from paragliders. Experienced jumpers were surprised by his decision to start his BASE career this way. He will be missed by the community and his family.</t>
  </si>
  <si>
    <t>BFL400</t>
  </si>
  <si>
    <t>2021-01-22</t>
  </si>
  <si>
    <t>Tehran, Iran (Islamic Republic of)</t>
  </si>
  <si>
    <t>PC entanglement in strong wind</t>
  </si>
  <si>
    <t>The jumper exited in strong crosswind conditions from a low object (60m) with a hand-held pilot chute and threw it weakly ('gently'), allowing the wind to carry the PC across his body, resulting in bridle entanglement with his body or camera mount and a total malfunction (PC in tow). Multiple human errors are identifiable: jumping in strong crosswind conditions from a low-altitude object, a weak PC toss, and the presence of a long camera mount creating an entanglement hazard.</t>
  </si>
  <si>
    <t>201C1, 202P1, 204E</t>
  </si>
  <si>
    <t>['Focusing on filming', 'Pilot Chute Entanglement - PC in tow']</t>
  </si>
  <si>
    <t>In a square in Tehran many people attended the ceremony at 8 am. A lot of wind is recorded that day in different parts of the country. He stood at the top of the fire ladder facing the crowd at a height of 60 meters. The wind blows from his right to his left. (Maybe the camera angle and the crowd angle were more important to him than the wind angle! he always cared about the quality of his videos)He started to jump with hand held pilot chute and gently threw pilot chute but the wind carried PC from right to left of his body and bridle wrapped to a part of his body or his long camera mount then pilot chute started to Cause him to turn to the left (the path of the wind) so the pilot chute could not pull out the canopy, but at around 10 meters above the ground canopy started slowly to come out the container (maybe he tried to pull bridle with his hands at the last moment) but it was too late and unfortunately, he hit the ground.The hospital was nearby and an ambulance immediately took him to the hospital but minutes later, he died of severe injuries.</t>
  </si>
  <si>
    <t>BFL401</t>
  </si>
  <si>
    <t>2021-02-20</t>
  </si>
  <si>
    <t>Morocco</t>
  </si>
  <si>
    <t>The jumper exited too head-down, which is explicitly identified as an exit error. This caused him to lose altitude recovering to a flyable position, left him pointed toward unflyable terrain, and ultimately resulted in insufficient altitude to clear terrain after correcting his heading. The too-head-down exit directly initiated the fatal chain of events.</t>
  </si>
  <si>
    <t>['Low level clouds', 'Rain', 'Sunny', 'Winds light and variable']</t>
  </si>
  <si>
    <t>Description: It was his last day of a Brazilian BASE trip. He made 21 jumps during two weeks including one in Gávea (the first of the trip) and this jump was done in terrible conditions, raining a lot and a bit of cloud but he had no problem. After he went to another state in Brazil where he did 20 more good jumps. He came back to Rio and supposed to do his last jumps on the 20th cause of his flight back home (EUA) which would of been on the 21st. He hiked Gávea with two other wingsuiter's and the plan was to do a three way. As the exit is limited he was the first to jump followed by the other. He jumped too head down, this was his only mistake, when he recovered a good flight position he was pointing to the left and the ground to this side is higher and flatter and wouldn't be possible to fly over. He managed to turn to the right and started flying pretty stable and with good speed from above it looked like he was going to make it. Suddenly he turned to his back and impacted immediately. He was too low and didn't even had time to pitch hitting the ground full at high speed.</t>
  </si>
  <si>
    <t>BFL402</t>
  </si>
  <si>
    <t>2021-03-21</t>
  </si>
  <si>
    <t>Unprepared jump with skydive gear</t>
  </si>
  <si>
    <t>The jumper attempted a BASE jump from a 14-story building using a skydiving canopy (Sabre 2 150 sqft, slider up) rather than BASE-specific equipment, with only 1 prior BASE jump, fewer than 200 skydives, after drinking alcohol, into an unsuitable landing area. Multiple human errors are clearly present: use of inappropriate equipment (skydiving gear for a BASE jump), grossly insufficient experience, impaired judgment from alcohol consumption, and inadequate assessment of the object and landing area.</t>
  </si>
  <si>
    <t>After low clouds shut down local skydiving he left the dropzone mentioning going home to hang with his son and daughter. He later text a friend who had been at the dz that he was going to jump from the hotel across from Moe’s a bar his friend was a manager at. (Where they had been drinking this evening)
She would later text and call several times around 2/3am sending a screen shot of his text and stating she had not heard back and was not responding to calls. A video was sent by a local jumper and restaurant owner asking if anyone could identify if it was one of our jumpers.
He is the last person I gave a hug and high five to as I left the dz due to weather, and I recognized the outfit and canopy from the video right away.
Services were held at the local dz, with full military send off for his services in the US Navy. With an ash dive by various members, to include a tandem ash dive, with his ex-wife who carried him up and pulled the pouch.
Timothy’s parents still come out to visit the dz, even years later. His father’s goal is to jump tandem one day. He stated at the services that the video taken while preparing for the jump showed him happy and excited. Which was his nature. He hopes people remember him fondly.
Timothy may have spoken to several local jumpers who participate in BASE, and didn’t have the knowledge to understand that a semi breezy spring evening, at the beach, vs 14 story building, vs a freshly downsized 150sq ft skydiving canopy, paired with drinking, and a rock filled ditch below the hotel would make for a terrible combination.
When you’re speaking with the most excitable person about BASE, please be a good mentor, and mention the serious differences in gear and their usage.
https://www.wjhg.com/.../one-man-killed-after-jumping.../...</t>
  </si>
  <si>
    <t>BFL403</t>
  </si>
  <si>
    <t>2021-04-04</t>
  </si>
  <si>
    <t>Millau, France</t>
  </si>
  <si>
    <t>Static line rigging/deployment error</t>
  </si>
  <si>
    <t>The narrative describes a jumper with only 5 BASE jumps and 60 skydives (well below the accepted minimum of 200) who either failed to verify proper bridle routing before exit (bridle passing in front of arm) or improperly deployed the pilot chute over rather than under the arm, causing the bridle to entangle around the arm. Both hypotheses describe human errors in rigging verification or deployment technique that led to premature break cord rupture, poor body position, and a fatal PC in tow or entanglement.</t>
  </si>
  <si>
    <t>201C, 202P, 203T</t>
  </si>
  <si>
    <t>The jump is a jump requiring a PCA or a static line. We were 3 jumpers that day, the 1st jumped in a static line, then Reb prepared, he installed the static line system correctly, but we have two possible errors as to the cause of the crash.
The first hypothesis is that in the rush before the jump, he would not have made a final check on his way to the strap, he would therefore have jumped with the extraction strap passing in front of his right arm, which, at the time of the jump,created a premature break in the break cord, and a change in that fall position that caused him to end up facing a cliff. Reb quickly released his arm strap and the puller pulled the parachute, about in the middle of the wall, Reb was supported by the parachute, but his parachute had trouble opening properly from this position face of the cliff, and the low height of the jump and especially the premature rupture of the broken cord.
The second hypothesis and that there would have been no error in the routing of the straps, but that Reb would have thrown the puller over his arm (hand thrown manner) instead of under it, also blocking the halyard around his arm.
Please, beware of any type of jump, base jumping is a very dangerous activity and, even if it is pleasant, you should never exceed your own limits.
You will never be forgotten my friend!</t>
  </si>
  <si>
    <t>BFL404</t>
  </si>
  <si>
    <t>2021-05-22</t>
  </si>
  <si>
    <t>Jumping in known strong winds</t>
  </si>
  <si>
    <t>The jumpers encountered strong southwest winds (~50km/h) at the original exit point, moved to a lee-side exit believing the wind shadow made conditions acceptable, but were struck by severe turbulence and rotor wind upon leaving the sheltered area. The strong winds were known before the jump, experienced local jumpers had declined to jump due to conditions, and the nearby paragliding ramp was closed for high winds. The decision to jump in these conditions constitutes human error.</t>
  </si>
  <si>
    <t>Description:
Two Jumpers hiked Pedra da Gávea to the top but it was a strong southwest wind at the exit point that’s facing northeast.They waited about one and a half hour at the top and decided to go for another exit point on the same mountain but a bit below and facing south named Garganta do Céu.To the left of the exit point there is another mountain that makes a wind shadow from the southwest wind making them think that it was good conditions for jumping because at the exit point there was no wind - Also called Lee side wind of mountain.They decided to jump and it was a good opening on heading and they flew well until they leave the wind shadow and then they received the turbulence from a very strong wind (about 50km/h)Eduardo was dragged by the wind and crashed on the balcony of an apartment and received a rotor wind being downwind of a Hotel that dropped him onto the roof of a moving car on the highway. He died a few minutes later on the spot.The other one landed between the roads and escaped injury or death.
This fatality was highly avoidable by knowing the weather system for the day and not jump in high winds even if you have only a few days to be in that area. Both jumpers had contacted experienced jumpers but they all declined as they believed the weather conditions were not suitable.
Information from a local
"There's a lot of information from non-jumpers in the news regarding this accident but one thing that stands out is the fact that the ramp is used to launch paragliders and hang gliders and was closed that day due to strong winds, that ramp was very close to the Gavea exit point. It would be nice if people showing up there to jump knew that they can contact the local paragliding community and get weather feedback from them and maybe avoid future accidents like this.
https://g1.globo.com/rj/rio-de-janeiro/noticia/2021/05/22/homem-morre-em-salto-de-base-jump-na-zona-sul-do-rio.ghtml
https://ricmais.com.br/noticias/catarinense-morre-ao-saltar-de-base-jump-video/</t>
  </si>
  <si>
    <t>BFL405</t>
  </si>
  <si>
    <t>2021-06-12</t>
  </si>
  <si>
    <t>lamoille canyon - Nevada, United States of America</t>
  </si>
  <si>
    <t>Wingsuit terrain impact after exit</t>
  </si>
  <si>
    <t>The jumper exited from a point with considerable talus to clear into tight terrain, where the first jumper barely cleared the obstacle. The deceased jumper failed to clear the talus and impacted subterminal near the exit with no space for parachute deployment. This indicates errors in exit point selection and/or exit execution at an object that demanded mandatory perfection, constituting identifiable human error.</t>
  </si>
  <si>
    <t>['Altitude awareness', 'Loss of speed-glide', 'Not enough forward seperation on exit', 'Proximity flying']</t>
  </si>
  <si>
    <t>After scouting about 5 different possible exit points the one that was chosen had considerable talus to clear into tight terrain. First jumper (steven mailloux) went first and barely cleared the talus. Second jumper( DFR) must have exited the cliff while first jumper was under canopy. He did not clear the talus . Impact on talus at the beginning of his WS BASE jump with no space for parachute deployment.Conditions: calm, non-thermal updraft up the wall Wind on exit:2-3 mph headwind</t>
  </si>
  <si>
    <t>BFL406</t>
  </si>
  <si>
    <t>2021-06-18</t>
  </si>
  <si>
    <t>Kogel Berg, South Africa</t>
  </si>
  <si>
    <t>The jumper was proximity flying a wingsuit along a line requiring him to clear a ridge. He reached a reference point with less speed than needed, flew a suboptimal path (going slightly left past an outcrop rather than straight to the ridge), and by the time he recognized he was low and cornered, he lacked sufficient energy to clear the ridge. This represents decision and execution errors in line selection, speed management, and commitment to a no-pull zone without adequate margin.</t>
  </si>
  <si>
    <t>He had more than eight jumps from this exit, practicing the line he wanted to fly. He hiked up by himself, sent video and messages from the top saying it’s cold and a bit windy. He spent a lot of time jumping solo, and there was no clear check in and out procedure. By the next morning we realised he was missing and raced out to find his car at the mountain, Mountain Rescue was notified, we had an idea of where he was going to be and they quickly retrieved him.Twenty seconds from exit to impact, it’s a positive exit into a valley. He had a good start and reached reference points on level but with less speed. Ten seconds from exit is a left corner, only then can He see the ridge that He wanted to fly over. From the corner to the ridge is ten seconds, you can only bail out to the right for the first five seconds, otherwise you get cornered in.From the corner, he doesn’t fly straight to the ridge, he goes slightly left and flies past a outcrop that’s about five seconds from the ridge, makes a slight right turn to line up to go over the ridge and at that point he realises he is low and cornered, flares to clear it, but by that time the suit is underpowered and doesn’t have enough energy and impacts the top of the ridge.Waldo is an amazing person! He was a true aviator, he had a Commercial Pilot License, when he wasn’t flying his wingsuit off mountains, he was flying his aircraft, landing on every little runway, when it was too windy to fly, he was kitesurfing, getting some extra air off the waves. Waldo was always humble, never flashing his experience, always ready to be on every load, always super friendly and helpful. It was an honour to have him in our lives!</t>
  </si>
  <si>
    <t>BFL407</t>
  </si>
  <si>
    <t>2021-06-19</t>
  </si>
  <si>
    <t>Thailand</t>
  </si>
  <si>
    <t>Lopburi Province, Thailand</t>
  </si>
  <si>
    <t>Low experience cliff jump</t>
  </si>
  <si>
    <t>The jumper had only 10 BASE jumps and 1 BASE season, yet was jumping a cliff (Earth object) slider-down with BOC deployment. With such minimal experience, the jumper lacked the skill set for instant off-heading correction at a cliff. The 180-degree off-heading resulted in object strike, and the jumper's extremely low experience level for this object type represents a clear human error in progression decisions.</t>
  </si>
  <si>
    <t>There are 3 jumpers for this jump. He is second jumper. First jumper make hand held jump and everything is OK. The second jumper exit about 5 sec after the First jumper canopy open. The second jumper make hand held jump too. After his canopy open fully ,it turn left and back to the cliff. He hang up on the cliff about 40 m above from ground. I (Third jumper) exit after he strike about 5 sec. After I landing, I try to shout him open mobile phone and wait for rescue team but bad luck for him that he hung up there about 10 min before fall to the ground because the branches brokenHe is good guy for friend and best PJ instructor in Royal Thai Air Force (RTAF)
https://thethaiger.com/.../parachutist-dies-after-being...</t>
  </si>
  <si>
    <t>BFL408</t>
  </si>
  <si>
    <t>2021-07-03</t>
  </si>
  <si>
    <t>Greece</t>
  </si>
  <si>
    <t>Delphi, Greece</t>
  </si>
  <si>
    <t>Wingsuit exit failure and low pull</t>
  </si>
  <si>
    <t>The jumper had known problems with wingsuit starts and was warned this site was not appropriate for addressing them. With only 3 wingsuit BASE jumps, the jumper attempted a wingsuit BASE jump from a site beyond his skill level, resulting in a poor exit, insufficient altitude/separation, and a fatally late deployment.</t>
  </si>
  <si>
    <t>['Altitude awareness', 'Not enough forward seperation on exit']</t>
  </si>
  <si>
    <t>He was a friend and a very strong man and he made his decisions hoping that he will not go in! He had problems with his starts and he was warned that this is not the site to fix this or learn how to do it right. No one saw what happened but most probably his exit was not good, lost all altitude trying to get it fly and when he decided to pitch it was too late. He was found with the canopy out, died instantly.</t>
  </si>
  <si>
    <t>BFL409</t>
  </si>
  <si>
    <t>2021-07-10</t>
  </si>
  <si>
    <t>The jumper impacted in terminal freefall with nothing out, indicating a total malfunction or failure to deploy. However, the narrative provides no specific evidence explaining why deployment did not occur. Possible factors listed (altitude awareness, katabatic airflow) are speculative and not substantiated by explicit evidence in the narrative. Low clouds below exit could have affected altitude awareness, but the mechanism connecting conditions to the failure to deploy is not established. There is insufficient information to clearly identify a human error pathway or to positively attribute the outcome to a non-human cause.</t>
  </si>
  <si>
    <t>['Altitude awareness', 'Katabatic air flow']</t>
  </si>
  <si>
    <t>Amy was found just below the bowl with nothing out.She had done 20+ jumps on the onesie at this location.Low cloud was below exit on this jumpHer friends have said she was a passionate dancer and her life long dream of moving to Norway to Base jump full time had been achieved this year after many years.
Updated Jan 10th, 2024Just because we have jumped a spot multiple times, does not guarantee the same performance as the last. Listen to recommendations from local jumper and do your preparations prior to exiting. As it may be our last. Amy was happy at the time. She was living out a lifelong dream of moving to Norway, BASE jumping, skiing and all the other outdoor activities that are offered. She talked about the beautiful country views and how amazingly healthy the food was. An amazing soul, an amazing person and will be missed by many who she knew.</t>
  </si>
  <si>
    <t>BFL410</t>
  </si>
  <si>
    <t>2021-08-09</t>
  </si>
  <si>
    <t>Low pull after proximity flying</t>
  </si>
  <si>
    <t>The jumper initiated his opening sequence too late after proximity flying, resulting in three mispulls with insufficient altitude remaining. The narrative explicitly states he lost his life because he initiated his opening sequence too late, and identifies his habit of pulling low and proximity flying as contributing factors. Friends had warned him about his low-pull habit prior to the accident.</t>
  </si>
  <si>
    <t>Mis-pull</t>
  </si>
  <si>
    <t>We have been talking with those closest to him at this stage we do know he has jumped alone and video is with Police for investigation. We will have more information in coming days/weeks.
https://www.20min.ch/.../un-base-jumper-se-tue-a...https://www.20min.ch/.../basejumper-stuerzt-in-den-tod...https://www.instagram.com/bryce.schunke/...
UPDATED 1ST NOV 2021
On July 10, Bryce and his mate Gabe started a BASE trip through Italy and Switzerland. By the time he died, Bryce had done between 70 and 80 wingsuit BASE jumps in one month. He was very confident and feeling great in his suit. His start numbers were impressive. Bryce was an experienced and good wingsuit pilot in skydiving but he wasn’t very experienced in BASE. When Gabe and his friend started their BASE trip, Bryce mentioned that he wanted to do more technical jumps.
On August 9, Bryce told Gabe in the morning that he felt tired and that he would join him for a jump from High Nose. Bryce changed his plan spontaneously and went up to High La Mousse to do his sixth jump from there.
We have footage from Bryce’s GoPro (chest mount) and from his Insta360 (helmet).
00:00 Exit00:03 Bryce turns right, flying the “right line” 00:33 Disconnecting from terrain, flying towards the Alpinebase Hostel00:45 Flare00:48 He goes back to pull and doesn’t get the pc out, immediately tries again (2nd mispull)00:50 Bryce is sure that the pilot chute is out and brings his arms forward for riser control00:52 He realizes that the canopy isn’t opening and reaches back for the third time00:54 Pilot chute is finally out (weak pull) and inflates with no hesitation next to his body00:55 Bryce impacts with canopy out but no line stretch, primary stow still in place
A few days before the accident, Bryce and Gabe talked about mispulls in wingsuiting. Bryce said that he never had any issues pulling.
Bryce and Gabe came to Lauterbrunnen to practice their exits and starts. After jumping in the valley for a couple of days, they wanted to travel to Walenstadt to attend a course in terrain flying. Bryce got quickly bored in Lauterbrunnen and started to fly proximity.
The day before he died, two of his close friends had a chat with Bryce. They were worried about his new bad habit of pulling low. Bryce already landed in water after a low pull from Altissimo a few weeks earlier.
Bryce didn’t wear any gloves or extra layers of clothes on his last jump. He lost his life because he initiated his opening sequence too late. If he disconnected from the terrain three seconds earlier, if he started to flare and pull three seconds earlier, he would be still with us.
1. Don’t pull low. It’s just not worth it. We can all have mispulls or severe line-twists. There is always a first time.2. Fight complacency. Don’t get too confident.3. Listen to your close friends. If they’re worried for you, they might have a good reason.4. Don’t jump when you’re physically or mentally tired. Long BASE trips can be very exhausting. Take a day off and relax.
Marcel Geser (SBA), James Boole</t>
  </si>
  <si>
    <t>BFL411</t>
  </si>
  <si>
    <t>2021-08-12</t>
  </si>
  <si>
    <t>The cause of death was impact in terminal freefall, and the jumper was found on terrain under the exit point, suggesting a problem at or shortly after exit. However, the camera and GPS were lost in the crash, weather was not reported as a factor, and the theory about an immediate turn to the right combined with a poor exit is explicitly described as conjecture. There is insufficient evidence to confirm a specific human error pathway or to establish a non-human cause.</t>
  </si>
  <si>
    <t>Weather conditions were good and after checking their gear the 2 jumpers dressed and went to the exit, both had flown this exit numerous times before. The first jumper landed safely and waited for Alessandro (Bana) to check in as he planned to fly a different line to the right.The first jumper raised the alarm after being unable to contact Bana. The rescue helicopter found him on the terrain under the exit point, at this point the most likely scenario is a problem at exit / or hitting the wall soon after exit.Bana was a solid and cautious BASE jumper, hiking down many times when he didn’t like the conditions and was very safety focused. One theory, from the the jumper who was with him was that he exited immediately to the right and in combination with a poor exit lost control and hit the wall (similar to what happened to Paddy Frenchman) - This is just conjecture for the moment but it doesn’t hurt to remind all pilots &gt;ALWAYS EXIT THE CLIFF before you turn to your line, the 100 feet you save makes no difference and just adds extra risk. Push out straight, get your suit fully inflated and gain some airspeed before turning.Bana was wearing a camera and gps but these were lost during the crash. If new information is discovered it will be added here later.https://tg24.sky.it/cronaca/2021/08/12/basejumper-morto-belluno?fbclid=IwAR2JubafYCOmgbfJE2y1YjBjlak5FUd5P2hBPR2wd_9UUBH5GPQ031aPTPw
https://www.ladige.it/territori/dolomiti/2021/08/12/basejumper-si-lancia-dal-framont-e-si-schianta-sulle-rocce-ritrovato-senza-vita-1.2974046?fbclid=IwAR2M7mYIwXyJUWNIK1bL-tK-tXJ_ZoblVpIFhDm7aCmQHRzHQ9yjRAgK9F4</t>
  </si>
  <si>
    <t>BFL412</t>
  </si>
  <si>
    <t>2021-08-22</t>
  </si>
  <si>
    <t>Inadequate freefall control and tracking</t>
  </si>
  <si>
    <t>The jumper exited a slider-up cliff object but exhibited no freefall control and no tracking during a 10-second delay, resulting in a 100-110 degree side rotation and insufficient separation from the wall. The canopy opened very close to the wall with a significant off-heading from exit direction, leading to object strike within 1.5 seconds. With only 144 skydives (below the generally accepted minimum of 200), 16 BASE jumps, and 2 BASE seasons, the jumper lacked the experience and skill for a terminal slider-up cliff requiring mandatory tracking, constituting clear human error in both execution and the decision to attempt this jump.</t>
  </si>
  <si>
    <t>['180 Offheading', 'Altitude awareness', 'Not enough separation from object']</t>
  </si>
  <si>
    <t>Description:
Good exit, 100-110 degrees side rotation to the left in freefall until she pitched, no freefall control, no tracking, 10 seconds delay, opening very close to the wall, 20-30 degrees off-heading to the left from her body position, 120-140 degrees from the direction of her exit push, first impact under canopy after 1.5 seconds, no visible actions under canopy, after several impacts for about 150 metres against the almost vertical part of the wall she stopped at the highest point of the talus without any visible movements. The helicopter rescue found her dead at this spot almost 2 hours later.</t>
  </si>
  <si>
    <t>BFL413</t>
  </si>
  <si>
    <t>2021-09-11</t>
  </si>
  <si>
    <t>Austria, Austria</t>
  </si>
  <si>
    <t>Rafale (Wingsuit)</t>
  </si>
  <si>
    <t>Poor wingsuit exit technique</t>
  </si>
  <si>
    <t>The jumper performed a very head-high exit with a fully exposed leg wing, resulting in a scorpion that drifted the jumper backwards toward the wall. This exit technique error is a clearly identified human error that directly led to insufficient object separation and fatal impact with a ledge at 5 seconds.</t>
  </si>
  <si>
    <t>The jumper performed a very head high exit with a fully exposed leg wing which resulted in a scorpion that drifted the jumper backwards toward the wall. Jumper regained control but didn't clear a ledge at 5s.Learning factor: Dial your exit technique on more forgiving exit points.This report has been written by a jumper who was with the deceased at the site.</t>
  </si>
  <si>
    <t>BFL414</t>
  </si>
  <si>
    <t>2021-09-12</t>
  </si>
  <si>
    <t>Tracking Suit (Tracking Suit)</t>
  </si>
  <si>
    <t>The narrative states the jumper was found with chute out and slider still up, indicating a low or mis-timed pull. The possible factors field identifies 'Extracted Pilot Chute too late.' This points to a human error in deployment timing, resulting in insufficient altitude for the canopy to fully open.</t>
  </si>
  <si>
    <t>Four on load. Two Wingsuiters and two two piece tracking suits wingsuiters exited first flying left toward train station. Two piece tracking suits then exited together. Mills in front Kaleb In back Kaleb had a 180 on opening and lost sight of Mills. Mills was found with chute out slider up still indicating a low or mis timed pull.https://www.police.be.ch/.../news/medienmitteilungen.html...If you have more information please contact.</t>
  </si>
  <si>
    <t>BFL415</t>
  </si>
  <si>
    <t>2021-09-13</t>
  </si>
  <si>
    <t>The jumper impacted terrain subterminal near the exit point while flying a technical proximity line from a short-start cliff in a one-piece tracking suit. The narrative identifies possible factors including unstable exit, loss of speed/glide, late pilot chute extraction, and altitude awareness issues. The conditions included strong thermals with turbulent sink and lift, and the narrative explicitly states the death was preventable, with lessons about short starts in tracking suits and not trusting lift conditions. These factors point to human error in the decision to fly a technical proximity line under those conditions and/or execution errors during the flight.</t>
  </si>
  <si>
    <t>['Altitude awareness', 'Extracted Pilot Chute too late', 'Loss of speed-glide', 'Proximity flying', 'Unstable exit']</t>
  </si>
  <si>
    <t>This was Lance’s fifth season BASE jumping and his focus was to fly more technical lines with the Onesie Power while developing his wingsuit skill set and camera flying. He exited around midday from Fatal Attraction, Walenstadt on the 13th September. The camera was not found but with the information provided from REGA they picked him up at 1900msl and the exit point is at 2170msl. He was laying between the first and second ledge. Identification was done by his tattoos. He was found the following day on the 14th September in the afternoon and could only be accessed by helicopter. We have also been asked by REGA to not attempt to get to the area to search for cameras as it’s high risk. Lance had previously jumped Fatal Attraction in the Onesie Power and he shared the video with close friends. He explained that he was running around 95% to ensure a safe exit and track. Another BASE jumper who was there that day mentioned the conditions were extremely turbulent and noisy to fly in with a lot of sink and lift closer to the ground. Good anabatic conditions on exit were also present. No video footage will be reviewed but it’s been expected to either be a weak / offset / incorrect push, not enough time to get flying on a short start or not the correct conditions. This is just guess work as we will never know the exact details.There’s lessons to be learnt here again with what’s happened, Lance’s death was preventable.A few things I’d like to share to everyone to keep in mind or learn from…1. Short starts with one piece suits and relying on good conditions / lift are not often repeatable. Lance was one of the most experienced one piece trackers and flew extremely well but you simply don’t have anything left in the tank compared to a wingsuit.2. When jumping alone, contact a friend before and after the jump. Lance was not collected for more than 24 hours and it took a group of people to piece the puzzle together that he was missing.3. With the way this has now been handled it’s good to have a plan for ourselves. Having a will or paperwork stated with what you’d like to be done will help the rescue teams, family and friends to go through the steps more efficiently with less stress. 4. Don’t trust numbers in high lift conditions. Where there’s lift, they’ll be sink as well. Best to run numbers on neutral conditions for performance based starts and always remember to take your worst start to a new exit. Always have room for human error. 5. Don’t die. BASE jumping is about living, not dying.6. REGA, get the insurance. No excuses. Lance didn’t have insurance this year and the company has opted to cover 50% because he had it previously. 7. SBA membership. Please put an emergency contact on the form who is a family member, not a BASE jumper. Thank you to everyone who has helped with this over the past few days. His family and close friends are still in shock but dealing with it as well as can be expected. He will be missed by everyone!Thanks,Sam Hardy</t>
  </si>
  <si>
    <t>BFL416</t>
  </si>
  <si>
    <t>2021-09-17</t>
  </si>
  <si>
    <t>Half A (One Piece Tracking Suit)</t>
  </si>
  <si>
    <t>The jumper was solo with no witnesses and no video evidence available at the time of reporting. The narrative is explicitly based on guesses and assumptions from another jumper's interpretation of FlySight data. While the analyst speculates about thermal loss causing insufficient separation from terrain, there is insufficient confirmed evidence to definitively classify this as human error (such as a clear decision to fly too close to terrain or misjudge conditions) or as an unforeseeable environmental event (002OC). The cause of death was impact in terminal freefall, but the precise mechanism and contributing factors remain speculative.</t>
  </si>
  <si>
    <t>['180 Offheading', 'Altitude awareness', 'Line twists', 'Not enough separation from object']</t>
  </si>
  <si>
    <t>Sylvain had called his wife minutes before the jump and then no communication was received. A member of the public had called rescue services after noticing a canopy hung up on the wall.Due to Sylvain jumping alone we are still awaiting video evidence after police finish their initial enquiries into his death.Update as of 4th Oct 2021Sylvain went to jump Pilastro in the afternoon after shitty weather in the morning.The next are guesses and assumptions that are based on my own experience in jumping one piece tracking suit at this exit and with the FlySight data his wife gave me looking for answers.Sylvain had a very good start (less than 300/300) and from there his glide is almost all the time between 3 and 3.5 until is suddenly goes down before he impacted.I've experienced the same kind of conditions on this exit like in the video linked and it's very fun. I think Sylvain did not realize that he was flying slower than usual.My guess is that at some point the thermals/winds giving him lift suddenly stopped and in that kind of situation the feeling is that you fall without any power to make a turn to bail out. He was probably too close to the edge of the cliff (if not over it) and when it happens he tried to turn with no chance of something happening, I don't know if he pitched or not but seeing where the parachute was hanging on the cliff I would guess he did and probably impacted during the opening.Lesson to be learnt: Thermals are nice, but they can disappear in a fraction of second so when we are flying in them we are gliding more than usual flying at an opening height from the ground is the minimum we should have in the one piece tracksuit as we do not have the power a wingsuit can give,but as a friend of mine experienced the same kind of situation over the same talus last year in a wingsuit, we shouldn't do terrain flying in case of wind or thermals even with over speed. Be safe !P.S.: https://skyderby.ru/tracks/9305/videoI'm turning left at the 30th second and I guess Sylvain did not, also I got the lift all along the flight, there are some places where if I had lost it suddenly I would have been in a very bad spotPlease note the media have this name incorrecthttps://www.rainews.it/.../tnt-volo-tuta-alare-base...</t>
  </si>
  <si>
    <t>BFL417</t>
  </si>
  <si>
    <t>2021-09-21</t>
  </si>
  <si>
    <t>The narrative states 'Unknown at this stage' and provides no details about the jumper's actions, experience, equipment condition, or environmental factors. The cause of death (subterminal impact near exit) indicates something went critically wrong very early in the jump, but without further information, neither a human error pathway nor a non-human cause can be supported.</t>
  </si>
  <si>
    <t>Unknown at this stage</t>
  </si>
  <si>
    <t>BFL418</t>
  </si>
  <si>
    <t>2021-11-22</t>
  </si>
  <si>
    <t>Ciales, Puerto Rico</t>
  </si>
  <si>
    <t>Multiple Human Errors in Rigging and Execution</t>
  </si>
  <si>
    <t>Multiple human errors are clearly identified: a non-BASE-jumper was used to give the PCA and dropped the PC too early, resulting in inadequate deployment; the jumper used a 42-inch PC despite being advised to use a 48-inch (undersized PC for the application); and the rigging setup was identified as incorrect. These errors led to a total or partial malfunction resulting in object strike and fatal impact.</t>
  </si>
  <si>
    <t>['Extracted Pilot Chute too late', 'Incorrect rigging setup', 'No or little training', 'Pilot Chute Entanglement - PC in tow']</t>
  </si>
  <si>
    <t>What we are currently aware is that she has gone to this site with 2 non jumping friends and was given a PCA. We will know more when her partner writes a full report.https://www.telemundopr.com/.../incidente.../2281165/
Non-base jumper dropped her PC early. She was advised by her friends to switch to a 48, but she used her 42. The person who dropped her called the authorities. Puerto Rico does not have many beginner friendly exit points. This cliff, known as “Jasmines Cliff” is one of the few cliff exits in PR and is a good jump with a static line or a good PCA, but if dropped, it is catastrophic. Her body came to rest 60 feet to the left of the bottom of the exit point and she had scratching on her body so we believe she had an off heading and scraped the wall on her way down</t>
  </si>
  <si>
    <t>BFL419</t>
  </si>
  <si>
    <t>2021-12-16</t>
  </si>
  <si>
    <t>Harborough, United Kingdom of Great Britain and Northern Ireland</t>
  </si>
  <si>
    <t>The narrative explicitly states uncertainty about whether the jumper fell before setting up his static line (slip/fall) or whether his static line failed. No anchor point or break cord was found at the scene or on the ground, and the investigators acknowledge they will likely never know what happened. Without evidence to distinguish between a human error pathway (e.g., climbing without being secured, improper rigging) and a potential equipment/anchor failure, neither 001HE nor 002OC can be adequately supported.</t>
  </si>
  <si>
    <t>['Extracted Pilot Chute too late', 'Fell before setting up', 'Unstable exit']</t>
  </si>
  <si>
    <t>Description:UPDATE 21ST Jan 2022
There were 3 of us jumping (including Alex) and Alex’s wife Sian came with, like she has done on many of Alex’s previous jumps. We were originally planning to jump another object but decided on Skeffington (~200ft freestander) after a slight change to the winds (Alex’s suggestion). It was a planned night jump and weather was good.We all arrived slightly later than planned and didn’t really discuss the jump that much other than that Alex was going to do a lower SL jump and the other 2 jumpers were going to go to the top (one SL and one handheld). We had a quick look at the LZ to the East of the object and put down 2 glow sticks.We started to climb over the gate into the compound and note that Alex struggled to get over and ended up climbing over at a different point.When climbing the ladder it is worth noting that the last jumper climbing made a comment about the ladder being muddy from the others’ boots.Alex stopped at each platform and was using a laser to measure the height - so that he could determine where he would jump from. The other 2 jumpers continued to the top as planned. One of the jumpers recalls hearing Alex say ‘this one is 143ft, I’m going to go from here’. Alex was standing on a platform that was on the South side of the object, we could see this from the red light on his head torch.The other two jumpers had kitted up and were in the process of tying off the SL for one of them. It was at this point that the object wobbled and one of them said ‘oh, there goes alex’. Immediately after, one of the other jumpers and his wife Sian, recall him shouting something (possibly ‘oh fuck!’). This was followed by a loud noise.Alex’s wife Sian shouted for help, we responded asking if he was ok, to which she replied ‘no he’s unconscious, I’m calling an ambulance’.We knew that we needed to get down quickly so we chose to jump. The HH jumper gave the other jumper a PCA to save time from finishing tying off the SL.Alex’s body was laid to rest at the bottom of the fence after clearly impacting the roof of a small building and the fence (due to visible damage). he had made little forward movement suggesting the canopy had not inflated at all. He was fully kitted up with everything out, his canopy, bridle and PC were draped over the fence suggesting that he impacted prior to line stretch/canopy inflation. His wife Sian also recalls him having something out prior to impact.Our initial thoughts were that Alex had died instantly from subterminal impact. We did the best we could and thank the emergency service for arriving promptly and their efforts to try and save him.We have since returned to the object and note the following:- There is no visible damage to the object where Alex was jumping from- There was no anchor point or break cord left on the railings- We did not find any anchor point or break cord on the groundWe are not sure if the police found any break cord or anchor point at the scene or on Alex’s person. If we find out that they did, we will update this.We believe that Alex either slipped and fell from the object before (or during) tying off his SL, or, his SL failed. There are a number of factors that could have contributed to either of these scenarios.
If he slipped and fell:- Did he climb over before tying his SL and was that his intention? Did he want his SL to be closer to his pins and would this have made it difficult to climb over once tied off?- Were his muddy boots a factor?- Did he throw his PC in attempt to save his life? Was it still stowed or was it in his hand?- Did he have break cord or anchor point in his hand and dropped it as he fell?- Did fatigue, strength or the darkness factor in?
If his SL failed:- Did his anchor point fail?- Did he tie off directly to the steel angle instead of using an anchor point?- Did he use one or two pieces of break cord?- Did he tie off to the centre point of his bridle or at the PC or both? (did static vs dynamic load play a part?). We have not had chance to inspect his gear yet but don’t recall seeing an overhand knot on the mid point of his bridle at the time. One of the jumpers who has seen Alex tie a SL before believes he usually followed the Apex method.- Was the strength of the break cord compromised?- Did the knot fail?
We think it is unlikely we will ever truly know what happened, but if any more information becomes available from the police/coroner we will share it and update this report.
Alex was a keen supporter of the East Anglian Air Ambulance, his wife Sian has set up a donation page for anybody that would like to make a donation.https://www.justgiving.com/fundraising/alex-kean...
Kyle Skoyles &amp; Niall Power
https://www.harboroughmail.co.uk/.../extreme-sportsman...</t>
  </si>
  <si>
    <t>BFL420</t>
  </si>
  <si>
    <t>2022-01-07</t>
  </si>
  <si>
    <t>Stryx (Wingsuit)</t>
  </si>
  <si>
    <t>The jumper attempted a wingsuit BASE jump from an exit point that transitions directly into terrain flight with very little to no margin for error. The jumper exhibited insufficient forward speed during the start arc and was unable to outfly the terrain, impacting the talus approximately six seconds after exit. The narrative identifies multiple human error factors: the jump selection itself had minimal margin for error, the jumper lacked terrain flying experience, forward speed was lower than expected, and the suit selection may not have been optimal for the demanding start arc.</t>
  </si>
  <si>
    <t>['Altitude awareness', 'Extracted Pilot Chute too late', 'Loss of speed-glide', 'Not enough forward seperation on exit']</t>
  </si>
  <si>
    <t>Jimmy called me up about a week ago. He asked me if I’ve been doing any wingsuiting in Moab. I told him yes, a bit. He said he was ready to make his first wingsuit BASE jump in Moab. He said he was current and ready. He had just returned from a WS (wingsuit) skydiving trip in AZ and a fall season spent jumping in Switzerland.  We talked about all the potential exit points available in the region. We selected Super Gorgeous, based on the vertical height of the cliff, the start arc, and the direction of the cliff face relative to the winter sun. We had planned to go out on Saturday initially, but the weather forecast didn’t look good. We discussed how important it is to have ideal conditions when making a jump of this type. The forecast for Thursday and Friday looked fantastic, so we changed our plans to jump Friday instead.  We touched base Thursday evening to confirm our plans, review the forecasted wind, sun, and high/low temperatures for the day. Everything lined up beautifully. Just below freezing in the early am, warm sunny winter day with light and variable winds till noon. There was a slight possibility of stronger winds on the forecast for later in the day, which did not occur. The winds were less than 5kts all day. Warm sun directly on the talus and cliff face all morning and throughout the day. We planned to allow three hours to hike and gear up. Jumping around 11:30 am - 12:00 pm  We met at Rocky Rapids at 8 AM and launched our SUPs by 8:30. We reviewed the exit point and potential flight lines from the bottom and began our hike. Midway through the hike, we noted an inversion layer and made a point to stay observant of the conditions. As we gained altitude and time passed, the inversion layer lifted, and the conditions changed to thermic.  We arrived at the exit point at 11:11 AM. Conditions appeared ideal: rising air with a light breeze from jumpers left to right. We once again reviewed all the relative elements involved in the jump. We established the lines we intended to fly and discussed the critical factors involved. At exactly noon, we hugged told each other, “I LOVE YOU!” and at 12:01, Jimmy pushed off.  His push was good, and the launch looked normal. One second into the start, Jimmy appeared to be slightly right shoulder low, potentially compensating for heading adjustment or possibly the crosswind element. As he got further into the start arc, it was apparent that he was working to maintain his heading down the center of the deepest part of the talus. His forward speed was not quite as high as I would expect during the first four to five seconds , and he was crabbing very slightly from right to left. Approximately six seconds into his fight, he impacted the talus. He did not clear the first ledge and was killed immediately upon impact. He came to rest a little further down the talus.  I immediately dispatched an SOS call from my InReach satellite communication device. Search &amp; Rescue was on the scene as quickly as possible. My best assessment of the factors contributing to this accident:1. The jump itself has very little to no margin for error. 2. The suit Jimmy selected may not have given him every possible advantage in the start arc. 3. The slight left to right breeze had some effect on his ability to hold his chosen heading and affected his start arc and forward speed negatively. 4. A more downwind heading would have improved the forward speed in the initial portion of the start arc.My last point is subjective and speaks towards anyone who may be considered jumps of this type or in this area. These jumps are very clearly, directly into terrain flight immediately after exit. I have not known Jimmy to be a “terrain flyer.” So we discussed this before exiting. I explained to him that in my previous flights from this exit point that the start arc transitions directly to terrain flight and that no matter how I might try, I could not outfly the terrain with any additional altitude beyond what was needed to fly at a minimum. He understood that as he stepped off. Unfortunately, he was not able to outfly the terrain. My advice for anybody considering jumps of this type or in this area, ensure that your skill set includes an adequate margin for error and a familiarity with the severity and intensity of the flying style required and the circumstances to which we will be subjecting ourselves. Even all that may not be enough. Jimmy was one of my very best friends. He was incredibly dear to me. I’m both utterly tortured and honored to have been with him on his final flight. I will speak towards the depth of his character and our loving friendship later. Blue Skies Brother - We will miss you. JayMo</t>
  </si>
  <si>
    <t>BFL421</t>
  </si>
  <si>
    <t>2022-02-22</t>
  </si>
  <si>
    <t>Jebal Jais, Ras Al Khaimah, United Arab Emirates</t>
  </si>
  <si>
    <t>Slider-down at slider-up cliff</t>
  </si>
  <si>
    <t>The jumper chose to jump slider-down from an exit that is predominantly wingsuited (slider-up/terminal), indicating significant vertical relief. Jumping slider-down from a terminal cliff with a slightly positive wall means the canopy opens with forward speed toward the wall and minimal separation. The 180-degree off-heading resulted in immediate object strike, a foreseeable consequence of this configuration choice at this object. Additionally, performing a gainer adds complexity and risk of off-heading on what was already a marginal equipment configuration for the site.</t>
  </si>
  <si>
    <t>Alberto was put in contact with me through some mutual friends, we only met in person on the morning of the jump. I don’t know his exact jump number stats but it was obvious he had been in the sport 25+ years and had a lot of BASE and skydiving experience.It’s an exit I know well, it was Alberto’s first time. Most people wingsuit this exit, it’s also been done slider down many times. Alberto said he wasn’t very wingsuit current so he would go slider down.Conditions at exit were perfect, zero wind. He did a gainer, I missed the exit on my video but from my memory he looked solid and symmetrical. I got him on video from his opening, he had a 180 degree off heading opening to the left, he hit the wall less than a second after opening, from this moment onwards I saw no evidence of any control input, so I’m guessing he was unconscious from the first hit, he had 30 seconds of canopy time, he hit the wall multiple times, I counted 9 impacts, the entire canopy ride he was facing the wall, he came to a stop on the wall just above the talus, about 300 meters below the exit. A helicopter rescue was called but aborted due to the difficult position he was in. It took a rescue team more than 4 hours to get to him on foot. He was dead when they reached him.This exit has an impressive purpose built BASE ramp, I believe this puts people into a false sense of security, it’s a slightly positive wall, and the remoteness and steepness of the terrain made this rescue attempt very slow.
Other Factors - Skydiving Helmet used
https://www.youtube.com/watch?v=o5Wy8GG9QoMhttps://newsbeezer.com/.../venezuelan-paratrooper.../</t>
  </si>
  <si>
    <t>BFL422</t>
  </si>
  <si>
    <t>2022-03-01</t>
  </si>
  <si>
    <t>Unstable exit caused ledge strike</t>
  </si>
  <si>
    <t>Thomas performed a one-step exit that was slightly unstable, brought his arms back too soon causing an over-rotation/scorpion, then corrected to a flat tracking position that lacked forward movement. This sequence resulted in insufficient separation to clear the ledge, leading to a ledge strike, violent rotation, disorientation, and fatal wall impact with no deployment. The exit technique errors (arm timing, body position correction to flat rather than maintaining head-down) constitute identifiable human errors in the deployment chain.</t>
  </si>
  <si>
    <t>201C3, 204E</t>
  </si>
  <si>
    <t>Thomas was current, experienced with his suit and had at least 25 jumps off High Ultimate. The day before he did 3 jumps of HU and one of High Nose and was happy with his results. On this jump, he was first on a two-way with a wingsuiter. He did a one-step exit as usual, had an average push, slightly unstable. He brought his arms back very soon, legs slightly bent which caused an over rotation/scorpion. Thomas corrected his angle quickly to a fully extended but flat tracking position. The suit started to pressurize but no forward movement and he clipped the very last part of the ledge with his lower legs. Only 20cm were missing to clear it into clean airspace. This caused a big momentum and sent him into a violent unstable rotation. He went back into tracking position but was probably disoriented or in shock and impacted the wall with nothing out. Canopy came out on impact. Coroner said Thomas was dead immediately.What's to take away from this incident:1) If Thomas had done a running exit instead of a slower one-step exit, he might have had enough forward momentum to clear the talus even with his scorpion exit.2) Leaving Hands in front for longer time when in Scorpion position, would probably help him to not rotate to the side and give him much faster transition into the track position, which would let him to out track the ledge.The correction into a flat angle was the cause for clipping the talus. Staying in head down until passing the talus might have saved him from clipping his feet.3) Between clipping feet and impact 6 seconds passed. A panic pull might have saved his life. Thomas was a great guy, always friendly and smiling and he will be missed.4) One more thing to add, it was the first day when you cant jump after 9am because of paragliders in the area, so people want to jump before 9am and at this time i think the conditions are the worst, you dont have any lift. Same day i did one jump around 7.50am and i had the feeling that after exit i was closer to the wall than usually.
Thomas had a safe and steady progression over the last years in the sport. He put in the work and never tried to cut any corners. He didnt push his limits and was very aware of what he was capable of and what he wasn't. Thomas was a great guy, always friendly and caring about everyone. He always had a huge smile on his face. His positive energy and attitude touched everyone who met him. It was impossible not to have a good time and not to laugh when he was around. He will be missed.</t>
  </si>
  <si>
    <t>BFL423</t>
  </si>
  <si>
    <t>2022-03-02</t>
  </si>
  <si>
    <t>Wingsuit terrain flight loss of performance</t>
  </si>
  <si>
    <t>The jumper lost speed and glide while flying a wingsuit terrain line ('Cachaca line') and impacted terrain in terminal freefall. Loss of speed and glide during wingsuit terrain flight indicates a failure to maintain adequate airspeed and available lift, which the domain reference identifies as a critical pilot-managed factor. This represents a human error in wingsuit flight management.</t>
  </si>
  <si>
    <t>On a two way flying the Cachaca line when jumper in questions has lost speed and glide and impacted.</t>
  </si>
  <si>
    <t>BFL424</t>
  </si>
  <si>
    <t>2022-03-19</t>
  </si>
  <si>
    <t>The jumper flew a committed proximity line deeper and lower than usual, lost speed and altitude attempting to clear a ridge, stalled during a turn, and impacted terrain. The narrative explicitly describes deliberate flight path choices that left insufficient margin, constituting human error in flight planning and execution.</t>
  </si>
  <si>
    <t>After a normal ascent to the Piton des Neiges (about 3h30) we took the time to stretch and to eat a little bit in the sun before going to the exit, the conditions were perfect: sun, no clouds and no wind.Hugues goes first and turns immediately to the left to pass the first gate and fly on the left side of the first ridge. He flies deeper than usual but with more speed, he flattens out to pass a first obstacle lower than usual, goes flatter again to increase his glide but realizes that he is a little too low to pass the second ridge (which is facing him and oriented 90 degrees from the one he's going along).He decides to turn right to pass on a lower point between the 2 ridges but his turn is not very sharp and the wing stalls slightly on the right, which makes him lose too much height, he flies about 2s to 3s more and impacts in flight about 2m below the top of the ridge. Hugues had a passion for beautiful flying lines and was always chasing novelty: he rarely jumped the same exit or flew the same line several times. He was a really talented flyer but his lines were committed, which he was totally aware of. This accident reminds us that no matter your experience level you should always have an out and avoid turning on the inside of an object.Hugues was a wonderful adventure companion who travelled a lot and was really connected to nature: always barefoot and often ass naked. He was a kind and good man, always ready to help others to progress with a lot of joy and happiness: having Hugues around was a guarantee of good laughs and epic jumps! He had a really strong mind and good values: despite his accomplishments in competition he always stayed really simple, willing to connect with others and will share the passion with you no matter if you were a rock star or a total beginner.He was this very strong and very handsome buddy who knew how to do everything and whom you could love more than yourself.His close ones miss him a lot and so do the people they didn't know... Thank you for having been you, my buddy... we love you!
[A fatal wingsuit accident at the Piton des Neiges - Reunion the 1st (francetvinfo.fr)]https://la1ere.francetvinfo.fr/.../un-accident-mortel-de...Not sure if this is the place for these but will attach, please do all research in case of being a scam and money going to the wrong people.https://www.leetchi.com/c/hugues-5dnnlylv?fbclid=IwAR3QSJn-sgPPU9L6ygpckN7iGYz-O-JyqhuVyMr1JGgklmao9hpmze2O_</t>
  </si>
  <si>
    <t>BFL425</t>
  </si>
  <si>
    <t>2022-03-22</t>
  </si>
  <si>
    <t>Excessive delay slider-down</t>
  </si>
  <si>
    <t>The jumper held the pilot chute for approximately 6 seconds on a slider-down configuration, far exceeding the planned 1.5-second delay. According to the domain reference, slider-down deployments above 4 seconds are potentially dangerous to jumper and equipment, and a 6-second slider-down delay results in excessive airspeed causing a dangerously hard opening. The hard opening likely rendered him unconscious or dazed, preventing canopy control, resulting in a slow turn into the wall and fatal impact.</t>
  </si>
  <si>
    <t>Andy was a cautious base jumper and new to the sport, he only had around 40 base jumps. This was the 3rd jump of the day in the gorge. The first 2 were slider up from La Conque and Bourni. I decided to go for a chilled 3rd jump to finish the day slider down from Bourni for a long canopy ride (1300ft rock drop) out of our group of 6 three decided not to jump as they were tired. Andy had skipped jumps previously because of fatigue but decided to come along on this one. He wanted to jump first with us following one by one a couple of seconds after we hear the opening and conditions were good. He jumped with a good running exit and stayed in view for around 5 seconds still holding the pc, there was no wrap and he was completely stable. I have no idea why he held the pc that long and just before the exit we talked about keeping the delays around 1.5 seconds so we could meet up under canopy but i guess it was around 6 second delay in the end. I heard the canopy open hard and it seems he was unconscious or dazed under canopy with no attempt at an input under canopy and with a slow turn into the wall. We jumped and saw the canopy hung up on the wall but too far up for us to get too. I sent an sos from a garmin inreach and called for a rescue. He had a second fall whilst waiting for the heli. He was alive when they got him from the wall and died later that evening in the hospital. It's been a difficult one to take as he was always happy to take a step back and jump within his limits, never intending to become a name in base he just wanted to have fun with his friends. I find it hard to believe that he could have made the mistake of thinking he was slider up as he had a 46 pc in his hand. He was also complaining about the hard opening on the jump previous that was slider up. The last few days have been spent organising the repatriation of his body, luckily he had found insurance that seems to cover it all. A really fun good person who fell in love with base jumping instantly I'm really sad for his family luckily he had no children but it doesn't stop his partners heart break.Châtelus. Isère: the base-jumper did not survive (ledauphine.com)</t>
  </si>
  <si>
    <t>BFL426</t>
  </si>
  <si>
    <t>San Diego, United States of America</t>
  </si>
  <si>
    <t>The narrative is absent and structured fields provide minimal detail. The cause of death is listed as 'PC in tow or PC-Bridle entanglement,' which could result from human error (weak PC toss, packing/rigging error) or equipment failure, but there is no information to distinguish between these. A night building jump (22:30) with only 3 BASE seasons is noted, but without further detail, neither a human error pathway nor a non-human cause can be clearly supported.</t>
  </si>
  <si>
    <t>BFL427</t>
  </si>
  <si>
    <t>2022-05-04</t>
  </si>
  <si>
    <t>The jumper experienced a total malfunction (impact with nothing out) after a hand-held deployment from a slider-down cliff jump. The narrative explicitly states the cause is 'only speculation' and lists multiple possible explanations (pin lock, bridle wrap, gear failure, incorrect pin tension from previous wingsuit configuration) without evidence to confirm any single cause. There is insufficient information to determine whether human error or equipment failure independent of human error was responsible.</t>
  </si>
  <si>
    <t>Jesus had a normal handheld exit. He took maybe a 1 second delay, long enough that he fell away from view before pitching. We heard him throw his PC and then no deployment. He impacted with nothing out. At this point the cause is only speculation. Pin lock, bridle wrap, gear failure? It's worth noting his previous jump was his first wingsuit Base jump. Maybe he still had his pin tensioned for terminal.</t>
  </si>
  <si>
    <t>BFL428</t>
  </si>
  <si>
    <t>2022-05-20</t>
  </si>
  <si>
    <t>New Jersey, United States of America</t>
  </si>
  <si>
    <t>Bridle Entanglement From Rigging Error</t>
  </si>
  <si>
    <t>The narrative describes a total malfunction caused by the bridle being wrapped around the jumper's leg, resulting in PC in tow with no line stretch. The witness explicitly identifies this as a rigging/setup error, noting the bridle was routed between the jumper's legs and not corrected before exit. This is a human error in pre-jump equipment configuration.</t>
  </si>
  <si>
    <t>['Canopy Entanglement', 'Incorrect rigging setup', 'Pilot Chute Entanglement - PC in tow']</t>
  </si>
  <si>
    <t>Asked if he was good he said "I'm ready to rock" slapped hands fist pump. Have a good jump. Sean didn't like being on the rail together at the same time. I stepped over and a car came by. He ducked down I pretend to inspect weilds car definitely didn't even look at us lol. Then I stepped back over the rail. Looked at him said you good he said yes. I did a count and exited. Flat turn into wind if any finished flare. Started packing in stash bag. Heard the railing ring. Heard him yell then heard impact. Sean Died on impact. Parachute was under him like a tard. No line stretch. Bridal and pilot chute was across his chest. Bridal wrapped around his leg. I've almost made this mistake myself. I was about to jump last to exit bird flew in my path and landed underneath me I looked at my crotch to see bird land and noticed what I did then fixed it. I often will route my bridal between my legs and tie off as a good habit. So I step over the rail putting all gear behind me.Report has been written by Sean's closest Base jumping buddy that was there on the jump.</t>
  </si>
  <si>
    <t>BFL429</t>
  </si>
  <si>
    <t>2022-05-27</t>
  </si>
  <si>
    <t>The jumper died from impact in terminal freefall during a wingsuit proximity flight. Evidence strongly indicates he struck a tree while flying along a ridge during proximity terrain flying, a deliberate flight path choice that placed him within the no-margin zone near terrain. This represents a human error in flight path selection or execution during proximity flying, consistent with the listed possible factors of loss of speed-glide and proximity flying.</t>
  </si>
  <si>
    <t>The day was prefrontal, with the report showing very mild conditions in the morning building to very strong winds around 4:30pm. Kalen and another jumper had shuttled cars to the main landing area very early in the morning to hopefully get two in for the day (they had done three the day prior). Kalen had fallen asleep very early the prior day and was well rested despite the early start.Upon reaching the summit of Chaserugg, winds were ~10kts over the back (up from the North - ie, where the cable car goes) and the Walenstadt valley was beginning to show very early signs of thermals (light wispy clouds developing and rising up the faces). Kalen and the other jumper walked to exit at a "casual" pace, agreed that the two jump plan was probably no longer in play, and to get to exit to assess if one was going to happen. Upon reaching exit, conditions were near perfect. No wind up and over the shoulder behind Sputnik, with light thermic updrafts. Thrown grass gently fell down the face. Grass on exit was lightly blowing upward. The first jumper landed without incident, and waited for Kalen, who never arrived. A hiker had heard the impact, and immediately called mountain rescue. After 30mins, the police arrived in the landing area, the first jumper pointed out Kalen's rental car, and the police began opening it to find identification. Kalen was the second jumper of a two-jumper load. He came to rest near the bottom of the pillar separating the bowl beneath Sputnik from the adjacent bowl, before the grass shelf entrance to the crack. He did not survive impact. I was the next load to exit, and was the first to exit. I saw what looked like a canopy mid-line, with a car and two people, then began to hear a helicopter coming upvalley. I watched the entirety of the recovery. As Kalen was not wearing a gopro or flysight, and there were no eyewitnesses, the following is not definitive but based upon the inspection of his gear, the descriptions of his injuries from the police, and the location where he came to rest. It is strongly believed that he impacted a tree while inflight along the ridge to jumper's left of Sputnik, prior to making a left turn to overfly the grass toward the tree gates. Flight plans prior to the jump had not been discussed with the other jumper. On a personal note - I met Kelan years ago at Perris, and I've been jumping with him for the last week as the Lauterbrunnen spring weather has allowed. I found Kelan to be a shy, reserved guy, but after warming up a bit to be just incredibly brilliant, intellectually curious, and deeply empathetic. We had some great conversations on a lot of muddy hikes, and I very much enjoyed the time together. As we both work in tech, the conversations oft drifted into some of the nerdier aspects of flying wingsuits, with significant focus on starts, start arcs, and how to assess an exit. He said he had been spending a lot of time working on his, which I watched several times over multiple days, and which I would describe as nearly perfect. His flights were calculated and technically proficient from exit to landing. I'm very much going to miss not getting to share more of those hikes with him.</t>
  </si>
  <si>
    <t>BFL430</t>
  </si>
  <si>
    <t>2022-05-28</t>
  </si>
  <si>
    <t>Aragonese - Pyrenees, Spain</t>
  </si>
  <si>
    <t>Inadequate exit and object strike</t>
  </si>
  <si>
    <t>The jumper experienced a 180° off-heading opening resulting in fatal object strike. Multiple human error factors are identified: insufficient forward separation on exit ('not the greatest push'), insufficient experience (only 50 BASE jumps, 100 skydives — well below accepted minimums), lack of currency ('a winter without jumping'), and poor object selection for skill level ('second slider down stowed from a cliff,' site described as 'not really a cliff for slider down'). The mentor's report explicitly identifies complacency, bad group dynamics, and inadequate progression as contributing factors.</t>
  </si>
  <si>
    <t>201C1, 201C3, 202P1, 203T</t>
  </si>
  <si>
    <t>['180 Offheading', 'No or little training', 'Not enough forward seperation on exit', 'Unstable exit']</t>
  </si>
  <si>
    <t>After watching the video of his exit, it seems that exit was normal. Not the greatest push, maybe a bit to the side. He pulled straight after exit, with no delay then a 180 cliff strike to the ground, cliff strike to the ground.Looking at his positive sideHe was a Positive personGood decision maker despite the experience levelExperienced Paraglider Pilot180 Resolution skills
His Negative traitsdue to the positive points mentioned beforeHis own Complacency due to bad group dynamics during a Base boogiea winter without jumpingsecond slider down stowed from a cliffnot really a cliff for slider down (500m, slightly overhanging, too much cliff to the ground in case of a strike.)Report and information has been written by his Mentorhttps://www.heraldo.es/noticias/aragon/huesca/2022/05/28/muere-un-practicante-de-salto-base-que-se-lanzo-desde-una-pared-en-plan-1577686.html?fbclid=IwAR2OKaatDDB6LUtCDDUvdFQ8sG2cU_ZMZSWcPtHZ2VIe0u5CxX8Ohlu0vec
https://wynwood.paris/il-meurt-en-pratiquant-le-base-jump...</t>
  </si>
  <si>
    <t>BFL431</t>
  </si>
  <si>
    <t>2022-06-03</t>
  </si>
  <si>
    <t>Dro, Italy</t>
  </si>
  <si>
    <t>The jumper was wingsuit proximity flying and impacted terrain in terminal freefall, indicating failure to maintain adequate speed, glide, or terrain separation. The narrative describes the flight appearing slower than expected, a line choice far right over terrain that witnesses considered difficult without thermals present in early morning conditions, and the possible factors list includes altitude awareness, loss of speed-glide, and proximity flying. These point to human error in flight path selection and/or airspeed management.</t>
  </si>
  <si>
    <t>Dylan arrived in the Brento area three days ago. We made plans the evening before to head up to "Happy Birthday" on the morning of the 3rd. Dylan had jumped Happy Birthday in previous years, but had not jumped there in a while. When we got to the exit he lasered the exit with the intention of giving the numbers to another jumper, and remarked that the exit was bigger than he had thought it was. The wind was calm on exit. Dylan was second to exit on a load of five jumpers. Dylan had a stable exit. I watched his flight, and from the exit, his flight appeared to be slower. Dylan flew far right over the terrain, and I lost sight of him. I heard a loud noise which I initially thought was a canopy, but I couldn’t spot him under canopy. In my opinion, a line further to the right would be possible on a later jump when there are thermals present, but would be difficult in the early morning when there are no thermals. We’re currently waiting on fly sight data and the video which would provide more insight into what happened.Dylan was a kind and gentle soul who had experienced some trauma over recent years with the loss of a close friend and a serious tandem/skydiving related neck injury. He was determined to make this year a positive year and was always full of bright, bubbly energy. He will be missed very much by many people.</t>
  </si>
  <si>
    <t>BFL432</t>
  </si>
  <si>
    <t>2022-07-03</t>
  </si>
  <si>
    <t>Sausage Too (One Piece Tracking Suit)</t>
  </si>
  <si>
    <t>The narrative from a close friend indicates the jumper flew a proximity line too close to terrain limits despite not having developed adequate wingsuit/tracking suit flying skills, with known instability issues (significant rolling and pitching). The friend states the jumper was 'pushing a lot' beyond his skill level and had been warned about this on more than one occasion. This constitutes identifiable human error in decision-making and execution.</t>
  </si>
  <si>
    <t>201C2, 202P2, 203T</t>
  </si>
  <si>
    <t>Unknown at this stage awaiting report from local Police.https://www.20min.ch/.../schweizer-basejumper-33-stirbt...
Update 9th December 2024Written by a close personal friend
There were no witnesses to Johnny 's incident and from what I know there was no video, or at least none was found.It was noted by the rescue team that the injuries reported showed a high-speed impact.Considering the point where the body was found, we can assume that he made a proximity flight line that was too close to the limit, and impacted a ledge, as he hasn't been able to fly past it.As far as I remember Jonny was flying a Sausage but He wasn't very good at flying even if he was improving, the problem is that sometimes his suit would become highly unstable with significant rolling and pitching movements. In a proximity line with a single piece unfortunately there is no margin, the flight must be clean, if you lose control, even a little, the lateral movements and the resulting loss of altitude, become a key factor that if not calculated can lead to disastrous results.Unfortunately this is the most we can know based on the data collected.What is certain is that Jonny was pushing a lot in the last period before the accident, even though in my opinion he had not yet developed the right skills, and honestly it had been pointed out to him on more than one occasion.Things then went in the worst possible way, and as always in this activity everyone makes his own choices.
I want to add that Jhonny was a very nice guy, with thirst for adventure and genuinely stoked on life. He will be missed!</t>
  </si>
  <si>
    <t>BFL433</t>
  </si>
  <si>
    <t>2022-07-13</t>
  </si>
  <si>
    <t>Head-low exit into ledge strike</t>
  </si>
  <si>
    <t>The jumper exited very head-low and rotated onto his back, striking a ledge below the exit point in freefall. He had experienced a very head-low exit from the same object the previous day, which was a clear warning of an exit technique problem at this specific site. Returning to the same exit without correcting the technique constitutes a human error pathway.</t>
  </si>
  <si>
    <t>This was the jumper’s second exit from High Ultimate. He had jumped it once before – the day prior – and he had a very head low exit on that jump. He was current in the onesie and had been jumping it comfortably at other exits in the valley. After that first jump at High Ultimate, he commented that he felt he had enough separation from the lower ledge that if he had needed to do an emergency front flip, he could do it and still clear the ledge. On his second and fatal jump at the exit, video from Low Ultimate shows that the jumper went very head low and then onto his back – completing the first half of a front flip – before falling out of view. The eye-witness jumper at low ultimate heard an impact and then saw a canopy flying without inputs.Jumpers near the LZ saw a canopy in line twists landing south of the LZ and ran over to the jumper after he bounced on landing. It was immediately apparent that the jumper was deceased based on the state of his head and body. The jumper’s helmet was gone, he was not wearing a camera. His bottom closing loop was missing and his top closing loop was broken, which, along with eye witness account from low ultimate and the state of the jumper’s body make it clear that the jumper impacted the ledge in freefall and his parachute deployed when the force of the impact opened his container. He was pronounced dead by a doctor at the scene.</t>
  </si>
  <si>
    <t>BFL434</t>
  </si>
  <si>
    <t>2022-07-16</t>
  </si>
  <si>
    <t>Colugo 4 (Wingsuit)</t>
  </si>
  <si>
    <t>The accident narrative states 'Unknown at this time' and provides no details about the sequence of events leading to the fatal impact. While possible factors (katabatic airflow, proximity flying) and strong winds are noted, there is insufficient information to determine whether human error or other causes led to the terminal freefall impact. No specific error pathway or non-human cause can be established from the available data.</t>
  </si>
  <si>
    <t>['Strong winds', 'Sunset']</t>
  </si>
  <si>
    <t>Unknown at this time
https://www.blick.ch/.../unfall-in-walenstadtberg-sg...https://www.thefocus.news/celeb.../maxim-slobodian-death/...</t>
  </si>
  <si>
    <t>BFL435</t>
  </si>
  <si>
    <t>2022-07-18</t>
  </si>
  <si>
    <t>Schynige Platte, Switzerland</t>
  </si>
  <si>
    <t>The jumper was performing wingsuit proximity flying along a terrain line he had flown multiple times. After passing the houses, he turned right into terrain instead of left toward clear airspace, became boxed in below tree level, attempted a maximum flare to clear the trees but was unable to do so, and impacted terrain in terminal freefall with no canopy deployed. The decision to fly a line that left insufficient margin to clear terrain, combined with possible altitude/terrain awareness errors during the flight, constitutes human error.</t>
  </si>
  <si>
    <t>Updated 20th July 2022I met Chris on Sunday at the Eiger the first time this season, but we were texting for the last couple of days, trying to sort things out for the upcoming missions. Chris and I have jumped a handful of times before and our first two ways were back in 2019.On Monday 18th it was time for the Dream lines jump.. I was super stoked about jumping that Exit with him and so was Chris, He was super happy to share it with me.He opened this Exit in 2021 and told me all the background stories on the hike, what a mission it was finding the exit and that he already did 15 or 16 flights sincethen, knowing the terrain by heart and having a detailed plan of his next line.We watched his last flight videos 10+ times, analysing and studying the line, he was going to take. Chris watched some sections over and over again movedhis shoulders and body, imagining the turns and flightpath, he was getting really into it.He was very detailed when briefing the whole flight until the end part where he was not clear about his intentions.He said the terrain flight would be more or less over after the houses and that there is clear airspace to our left.We were stoked on exit, we didn't rush and everything felt good. It is a north facing exitso it is in the shadow and there was not a lot of lift also almost no wind. The flightpath is on the southside of the mountain, fully exposed to the sunand it was already late. Being my first jump there, I knew I would fly higher above the terrain.We exited at 1pm and turned left to fly around the ridge and into the terrain. When we crossed the ridge we hit a wall of lift, it felt bumpy and I saw Chris struggling a bit.We pitched down, entered the first gulley and picked up speed and got into efficient flight. I was high above Chris when we flew far left around a group of trees and then linedup to head right again towards the houses.We were coming from the left, heading to the right, traversing across the terrain towards the houses. We were flying fast but in turbulent air and probably a bit slower than expected.After flying over the houses the way out of the terrain goes left but Chris did a slight turn to the right instead into what looked like flat terrain from my perspective. It looked like he was boxed in below tree level with no way to turn left to fly out.As I cleared to the left, I could see him tilting up the suit, initiating a massive flare, using up all his speed to clear the terrain and flare over the trees at the end.He gave everything. He disappeared low behind the trees and I couldn´t see the first impact. The next moment I could see him reappearing with a lot of momentum,tumbling down the cliff face without any conscious movement and finally coming to a rest after heavy impact about 50-60m lower at the bottom of the cliff. No canopy out.He had no chance. I flew away from the scene, out to the middle of the valley, pulled, landed and called REGA. His death was confirmed by the medic.Chris was flying his dream line, while living his dream, giving everything until the end. It was not enough.Everybody who knew Chris, knows, what a great human being he was, what a big heart and spirit he embodied.Chris was driven by his dreams, still humble and open to listen and learn but also self conscious and knowing about his capabilities.Always open and sharing his knowledge with the community. He was 100% aware of what he was doing, what the consequences are. He was ready and willing to accept.Undoubtedly he will be remembered as one of the best if not the best of his time, a free bird, chasing his dream of flying the dream lines.He once said his passion for flying, the art he put into his flights is his way of expressing himself.Art is controversial sometimes, it is confronting us with uncomfortable questions and the artist left without clear answers.All I can say is, that we both were extremely happy and free at the exit, hugging each other and sharing a great timetogether, aware and conscious, ready to take whatever may come.Fly free brother. It was an honour to know you and to share a piece of life together. You will be missed but you will not be forgotten. Love you heaps broey!Yeeeeeeeewwwh!</t>
  </si>
  <si>
    <t>BFL436</t>
  </si>
  <si>
    <t>2022-07-20</t>
  </si>
  <si>
    <t>Aerial exit led to object strike</t>
  </si>
  <si>
    <t>The jumper performed an aerial maneuver (tweener) from a cliff, resulting in a 140-degree off-heading opening with line twists, leaving insufficient time or ability to correct heading before striking the wall. Performing aerials from a slider-down cliff object introduces known risks including off-headings and instability at deployment, and the domain reference identifies aerials as exponentially increasing danger. Additionally, the wingloading of ~0.87 lbs/sqft significantly exceeded the accepted mid-range of 0.70 and the upper recommended range of 0.80, which would increase forward speed on opening and reduce time available for heading correction.</t>
  </si>
  <si>
    <t>['180 Offheading', 'Aerials', 'Line twists']</t>
  </si>
  <si>
    <t>He did a tweener and opened up 140 right, half a line twist, heading towards a dihedral (inverted corner) on the wall. Visibly no attempt (or time) to correct heading before hitting the wall and losing consciousness. Parachute flew unpiloted, one more major impact with another dihedral, then impact with talus.Please noteProbably worth stating, Chris’s wingloading was roughly .87</t>
  </si>
  <si>
    <t>BFL437</t>
  </si>
  <si>
    <t>2022-07-21</t>
  </si>
  <si>
    <t>Mont Blanc - Italy Side, Italy</t>
  </si>
  <si>
    <t>Terrain flight impact</t>
  </si>
  <si>
    <t>The jumper impacted terrain during wingsuit proximity flight near a glacier. The narrative describes flying a technical line with several sharp turns close to the ground, with the companion noting they flew closer than other times. Multiple consecutive tight turns caused speed loss, and katabatic airflow contributed to sink, but the decision to fly a technical proximity line at that closeness to terrain represents human error in flight path management.</t>
  </si>
  <si>
    <t>['Katabatic air flow']</t>
  </si>
  <si>
    <t>From the jumper who was with Jonny:We started from the bottom of the valley around 05:30 a.m., and we stopped for a coffee at the refuge around 07:00 a.m. When we got to the exit, after about 1800m of elevation gain, we decided to wait for good conditions. We got ready and loaded some light mountaineering equipment that we were carrying and we jumped around 10:00. The weather conditions were zero wind but when we started to fly on the glacier the Katabatic wind was noticeable. We flew a technical line where I filmed Jonny. The flight had several sharp turns, after one of these turns came a flatter part just at the end of the glacier, in an area with a river and I saw how Jonny hit the ground. I had to continue flying in order to disconnect from the ground and to be able to open. I did not see him again and called the emergency services.I suppose that the main reason for the accident is flying so close to the ground, but regarding the technical part, I would say that it was not the first time we had flown the glacier, and that is perhaps why we flew closer than other times; that many tight consecutive turns make you lose speed; and that the glacial Katabatic wind sinks you towards the ground, especially I noticed it at the end of the glacier, in the area where the accident occurred.From other friends:Jonny was an accomplished alpinist and climber, and loved combining climbing with jumping. He was incredibly motivated and trained hard both in climbing and jumping for his alpine projects. He had excellent ability in flying. However he also had a tendency to go all out and fly right at the limit.Please note he was born in Israel but his closest friends had explained he had obtained Spanish citizenship and would like him written as Spanish not Israeli.Jon was a big hearted man who brought so much joy and happiness to everyone around him. He lived at full speed. He was much loved by many and will be sorely missed by his family and friends.
https://www.timesofisrael.com/israeli-killed-while-jumping-with-wingsuit-in-italian-alps/?fbclid=IwAR1Qn1sO8qBmxh8zOA7U1vwLWG9UNA1qUs-ZdShSfSWaYJEx0enjUvEfgZ4
https://www.desnivel.com/alpinismo/fallece-jonathan-trango-en-un-accidente-de-base-en-el-monte-bianco/?fbclid=IwAR0XAPyVFuenRkJJks08eXvRpbJZEpe1d7oXLXAe5aV6PS50joyTHjVU7mE</t>
  </si>
  <si>
    <t>BFL438</t>
  </si>
  <si>
    <t>2022-07-30</t>
  </si>
  <si>
    <t>Terrain flight misjudgment</t>
  </si>
  <si>
    <t>The jumper was flying a wingsuit close to terrain and most probably failed to recognize in time that he could not clear a hill, attempted a late escape maneuver, became trapped in a cove, and impacted. The narrative explicitly states he habitually flew close to terrain despite low experience and repeated warnings from peers, and that he made a mistake in his decisions during the flight. The possible factors also indicate he extracted his pilot chute too late, resulting in PC in tow or PC-bridle entanglement, consistent with a late emergency deployment attempt.</t>
  </si>
  <si>
    <t>I knew Adrien for the last 7-8 years and we spent a lot of time together.
On the day he gave no different signs of being more or less stressed and we arranged to fly the forest line. He pushed 1 sec after me which a 3rd jumper confirmed later. He was always over 50m behind me until we disappeared from the 3rd jumper's perspective still on exit.
I flew voluntary lower and I adapted to his angle of flying as I do often and thinking he'll stay above me, with what was briefed before jumping. I answered to all his questions and waited for his ok to make a countdown.
I realized very quickly I'm alone under a canopy and tried to call him with no answer so I called the Rega and they did an unbelievably good job on the rescue and retrieval. He was found with an opened canopy but closed eyes, unfortunately too late. I have many suggestions and assumptions but until we find his camera, I can't really know what has happened.
Most probable to me, he realized too late of not passing a hill, tried to escape left, trapped into a cuve, pulled and impacted.
It was not his first scex rouge and he knew where to escape but made a mistake somewhere in his present decisions. After several discussions with other close friends of Adrien they all said he loved to fly close to the ground and fly close to terrain, even with his low level of experience and was told on numerous occasions to slow down by them and myself included
If you don't wanna impact, don't fly close. Love 
 https://www.lalibre.be/dernieres-depeches/belga/2022/07/30/un-homme-decede-dans-un-accident-de-wingsuit-dans-les-montagnes-suisses-WRVSL2PXM5CL7KAFX2C5PHAUWM/?fbclid=IwAR3RSMWinJwKvqZu8dK0tlCcnnbCQTOClupkd1o_vkqfySdKXLCF8uRMMOs
https://www.watson.ch/!847100450?fbclid=IwAR1Ut7m-U4uYlthaDtUhviQhc_M0Bry6WKDsuzps-s9K-4Lt1R5g3Ocb0Hs
https://www.20min.ch/story/wingsuit-pilot-36-prallt-in-felswand-tot-131035756942?fbclid=IwAR2ccgiw4w2owGhFUfhiLHxy6Ka6RbcgUUtG18mjCRoRZjz3WatHmNhpky4</t>
  </si>
  <si>
    <t>BFL439</t>
  </si>
  <si>
    <t>2022-08-03</t>
  </si>
  <si>
    <t>Poor exit resulting in impact</t>
  </si>
  <si>
    <t>The jumper impacted very close to the exit in terminal freefall, indicating failure to achieve flight. The narrative identifies two probable causes: slipping at the exit or jumping too head-low, and notes the jumper had a known tendency for head-low exits. Either scenario represents a human error in exit execution that prevented the wingsuit from generating adequate lift to fly away from terrain.</t>
  </si>
  <si>
    <t>I Had jumped 30 seconds before him and in spite of having a nose wind at the exit down close to the talus it was sinking a bit. The wind wasn't strong. Just a light head wind. He was supposed to jump a few seconds after me, after landing I thought he took too much time to appear and I called other jumpers that were at the Sputnik exit. They went to the high trench exit and saw Gleison's Canopy close to the talus. They called the Air Glacier. Later the Air Glacier said that he impacted very close to the exit. Two things could have happened, he slipped at the exit and had a bad one or he just jumped too head low. He use to have head low exits.
https://www.krone.at/2776521
https://www.toponline.ch/news/stgallen/detail/news/basejumper-in-walenstadtberg-toedlich-verunglueckt-00190381/
https://www.schwaebische.de/landkreis/landkreis-lindau/lindau_artikel,-basejumper-stuerzt-in-den-tod-_arid,11539776.html
https://www.fm1today.ch/ostschweiz/basejumper-toedlich-verunglueckt-147371506
https://www.aargauerzeitung.ch/news-service/vermischtes-people/unglueck-basejumper-stuerzt-bei-walenstadt-in-den-tod-ld.2324508
https://www.vilan24.ch/articles/145847-wieder-fliegt-ein-basejumper-in-den-tod
https://www.20min.ch/story/brasilianischer-basejumper-stuerzt-in-den-tod-292508429546
https://www.watson.ch/schweiz/polizeirapport/555326319-47-jaehriger-basejumper-in-walenstadtberg-toedlich-verunglueckt
https://www.tagblatt.ch/ostschweiz/ressort-ostschweiz/risikosportart-bei-walenstadt-ist-schon-wieder-ein-basejumper-gestorben-von-einem-verbot-sieht-die-gemeinde-weiterhin-ab-ld.2324679</t>
  </si>
  <si>
    <t>BFL440</t>
  </si>
  <si>
    <t>2022-09-18</t>
  </si>
  <si>
    <t>Gainer leads to fatal object strike</t>
  </si>
  <si>
    <t>The jumper performed a gainer (aerial exit) from a slider-up cliff despite primarily being a wingsuit jumper with limited aerobatic experience. The gainer led to over-rotation, instability, insufficient forward separation, and a 180-degree off-heading opening facing the wall, resulting in object strike. The decision to perform the gainer and the resulting unstable body position constitute identifiable human errors.</t>
  </si>
  <si>
    <t>Saturday Morning, we got on a 10.30 train with all our friends to celebrate the wedding of two beautiful humans. It was a beautiful morning, and the mountains and trees were covered in snow. We watched them marry on the bottom of the Eiger, under the mushroom. The ceremony was beautiful, we caught up with a lot of friends we haven’t seen in ages. Jonno and I hadn’t seen each other in a week, so we sneaked out of there super early without saying goodbye (sorry guys) and took the train back home. We got out off the train at Kleine Scheidegg around 4. There was a half an hour layover, and we walked out a bit and got into a huge snowball fight. Not far from us was an Asian couple taking Instagram, perfect loving snow shots. They looked at us in shock and I just said, ‘well there’s two types of relationships.’ Where after we continued attacking each other with snowballs. We were home in Lauterbrunnen at 5pm, had a chilled night, made some chicken burgers, drank some healthy fruit juice, and watched Pirates of the Caribbean in a massive beanbag, laughing about being old.
The following morning, we got up around 8, had some coffee and homemade banana bread and tried to visit Sandi to cuddle the baby cows. They said Nadja really wanted to see Jonno, and she’d be back a bit later, so they asked us to come back in the afternoon.
We decided that we’d go for a jump first. Jonno wanted to do a 2-way. I suggested he take his wingsuit, but he wanted to go slick, so I asked him to at least wear some drag. He pulled the Pikachu onesie out of the cupboard, and I just laughed. We took the 10.38 gondola up, followed by the train to Winteregg. We stopped there had some coffee on the terrace and watched the view. He took some photos for an Asian couple and went full focus on that. Those that know him will laugh at this, because you can just picture him trying to get the perfect framing and instructing them on how to pose and where to stand. 
We slowly walked down to Nose 3, he joked about doing a gainer and I said that was a stupid idea as he only ever jumps his wingsuit. When we got there the conditions were perfect. We both started gearing up and I routed the Pikachu tails through the left side lateral of his rig, because I was afraid it might be a snag hazard. We gave each other gear checks, kissed, and walked down. We got to the exit, called Air Glacier, and got clearance to jump. Jonno did the countdown, I did a flat and stable exit while looking under my right shoulder, I could see him do a gainer, go unstable and tumble. From the footage and what I’ve seen, we gathered the following:
12.39pm
0 sec: exit + gainer
2 sec: starts too over-rotate
4 sec: unstable drops right side of body
6 sec: turned 90 degrees to the right and pitches
7 sec: Jonno is facing away from the wall
8 sec: Canopy fully inflated, 180 degrees facing the wall.
9 sec: He grabs the rear right and front left risers. Then drops the rear right riser and starts to pull down on the front left riser.
10 sec: Both hands on front left riser. Pulling hand over hand, up the lines.
11 sec: First impact.
13 sec: Canopy collapses. Still holding front left lines.
14 sec: Second Impact. He lets go of the front left lines and they wrap around the Insta 360 unicorn extension. The canopy is still facing the wall. The front risers have (swoop/dive/Louie) loops. The left riser loop snags on the lower unicorn mount bolt (6cm long), at the helmet mount.
15-18sec: He slides down the wall.
19 sec: He tries to unhook the riser loop.
23 sec: Third impact. Lines twisting up.
27 sec: He pops the right brake.
28 sec: Fourth impact.
32 sec: He’s still trying to clear the malfunction. Front left riser loop is still snagged on the lower bolt.
33 sec: The camera mount snaps at the helmet but is wrapped in his lines and slider. The canopy turns to the left.
34 sec: He tries to control the left turn.
36 sec: Fifth impact. He seems to lose consciousness and the camera falls away.
We spoke with a few jumpers who saw the incident from the ground. They said that he then fell to a ledge, where he was hanging for about 5 minutes. The canopy released from the wall, and he fell to the top of the talus.
Jonno was a legend and a beautiful human. He will be dearly missed by all who had the privilege to meet him.</t>
  </si>
  <si>
    <t>BFL441</t>
  </si>
  <si>
    <t>2022-10-29</t>
  </si>
  <si>
    <t>New exit point misjudgment</t>
  </si>
  <si>
    <t>The jumper changed to a new, higher exit point on the day of the jump, which was offset from the planned flight axis. The terrain assessment from this new exit was inadequate—a ledge on the flight trajectory was imperceptible from the exit point, and the couloir's details were obscured by shade. The decision to use an insufficiently evaluated exit point, combined with the resulting inability to execute the flight plan, constitutes human error.</t>
  </si>
  <si>
    <t>The peak Corno di Pichèa, well seen from the valley, seemed to offer a beautiful long flight. As long ago as in June 2022 Anatoly made all the necessary measurements and prepared a plan. He waited for a day with the perfect weather conditions because of the technically difficult exit.
The day October, 29th 2022 had those conditions. That day, coming to the peak, Anantoly and Mario found a new spot, which was 20 meters higher than the original one, however located to the right of the flight axis and the deepest part of the couloir. Anantoly measured the place again with two lasers, and the guys made a decision to use the new exit point, which seemed more comfortable.
Mario was absolutely sure, that the landscape measurements of this exit were similar to Ferrari, which suggests with high probability that Anatoly was of the same opinion.
The initial part of the landscape, bordering on the exit, is located in a closed couloir; in addition, at that time of the day it was in the shade, which made it really difficult to see the details of the landscape. In fact it turned out to be similar to the exit La Stella, where, as soon as two seconds after the push, the landscape aggressively falls upon you on the right. However, unlike La Stella exit, in this case the space for a manoeuvre on the left was limited.
The deepest part of the couloir was located on the left, however the exit sector in this direction was limited by the wall. Besides that, about 100 m further the flight line was supposed to go on the right because of the specifics of the landscape, which defined the exit vector.
Everything happened in 6 seconds. After the push, as soon as the landscape began to move, all the hidden details became visible, including the ledge imperceptible from the exit point, which turned out to be right on the trajectory of the flight. Anatoly realised that the prepared jump plan did not correspond to the reality, but there was too little time to change it. He made an input to the left to slide in direction of the saving depth. He hadn’t reached the terminal speed yet, that’s why the input did not have the immediate result, and Anatoly reinforced it. However, a few seconds later, when the speed was already sufficient, this movement turned out to be excessive, which led to an uncontrollable deviation of the flight trajectory to the left and impact with the rock.
The impact caused the deployment of the canopy, which caught hold of the rock about 20 meters lower the impact point.
The rescue team verified immediate death due to fatal injuries.
https://www.ildolomiti.it/cronaca/2022/dramma-in-volo-si-lancia-con-la-tuta-alare-ma-finisce-contro-le-rocce-morto-anatoly-uzun-base-jumper-residente-ad-arco?fbclid=IwAR2gog0aaorlXHjD8VM8eyHCWyI2GmdWe72QEssZ2_IeFdR9qp51Lkt-dPc</t>
  </si>
  <si>
    <t>BFL442</t>
  </si>
  <si>
    <t>2022-11-02</t>
  </si>
  <si>
    <t>Hohe Wand, Austria</t>
  </si>
  <si>
    <t>Poor exit causing object strike</t>
  </si>
  <si>
    <t>The jumper's foot caught on the railing during exit, causing a head-low over-rotation that produced a 130-degree off-heading opening into the wall. The awkward exit position (upper body sideways, climbing over a rail at a difficult exit point) and the resulting foot snag constitute identifiable human errors in exit execution. Additionally, the hand-mounted camera may have contributed to delayed heading correction.</t>
  </si>
  <si>
    <t>201C1, 203T, 204E</t>
  </si>
  <si>
    <t>This was a static line jump. He climbed over the rail and stood with his upper body sideways to the left of the jump direction He jumped in a rotation to the right, got hung with his foot on the rail what caused a head low over rotation to the right. He had a 130 degree off heading to the right and flew into the wall. He fell 60 meters down to the first ledge with his canopy facing the wall. There he got hung up for about 1 min. Until he fell the last 70 meters down. Alfred was wearing a hand cam mounted which may have distracted him or cost him some time in terms of reaction and correcting the off heading.  This exit is very uncomfortable and difficult to stand there if you climb over the rail.
https://www.salzburg24.at/news/oesterreich/base-jumper-72-stirbt-bei-sprung-von-hoher-wand-129304576
https://noe.orf.at/stories/3180610</t>
  </si>
  <si>
    <t>BFL443</t>
  </si>
  <si>
    <t>2022-11-29</t>
  </si>
  <si>
    <t>The jumper performed a gainer that over-rotated, leading to an additional rotation during which the pilot chute wrapped around his leg and the bridle wrapped around his body, resulting in a total malfunction (PC in tow / bridle entanglement) and closed-container impact. The domain reference identifies aerials as exponentially increasing danger, with bridle entanglement around limbs being a specific known risk of deploying from non-belly-to-earth positions. The over-rotation and subsequent deployment from an unstable/inappropriate body position constitute identifiable human errors.</t>
  </si>
  <si>
    <t>Yesterday morning we woke up early and didn't party the night before, so we were feeling great. We then met with the Spanish crew at 7.30am, due to car issues we ended up walking up to exit around 7.30am.
3 of us on exit, first jumper jumps and throws a gainer and opens with no issues and then lands on the big field underneath.Marvin decides he is feeling good and wants to exit, he threw a gainer, but this was too quick and over rotated so he decided to throw in another and then threw the pilot chute but has came out and wrapped in a bow style around his leg and then as he further rotates the bridle starts to wrap around his body. The other jumpers rush to Marvin but there is nothing anyone can do Marvin was killed on impact.The other two jumpers rushed to Marvin and seen that he had been killed on impact and there was nothing they could do. They noticed that Marvin had managed to free the bridle but wasn't quick enough, the jumpers could see that the bridle had now been released and that one pin has popped on impact but no canopy out.
Marvin was a really good guy with so much energy, happiness, pure passion for the sport and beautiful all round person, we will miss him.
https://www.francelive.fr/.../un-base-jumper-se-tue.../...https://www.ouest-france.fr/.../base-jump-le-parachute-ne...</t>
  </si>
  <si>
    <t>BFL444</t>
  </si>
  <si>
    <t>2023-01-04</t>
  </si>
  <si>
    <t>Rafale 23 (Wingsuit)</t>
  </si>
  <si>
    <t>The accident narrative is only a URL link with no accessible text content describing the sequence of events. The structured fields list possible factors (katabatic airflow, insufficient forward separation on exit, proximity flying) but these are speculative labels without supporting detail. The cause of death (impact in terminal freefall) indicates the jumper never deployed a canopy, but without a substantive narrative explaining what occurred, there is insufficient information to determine whether human error or other causes led to the fatal outcome.</t>
  </si>
  <si>
    <t>['Katabatic air flow', 'Not enough forward seperation on exit', 'Proximity flying']</t>
  </si>
  <si>
    <t>https://www.police.be.ch/de/start/themen/news/medienmitteilungen.html?newsID=03437b80-3413-4825-8193-596e285a2bc7&amp;fbclid=IwAR0pzRaTjWC13j9kR-6C9twRyalr6Ed3AHrW8GzgnFHhdZNCuaUJeWX0WDU</t>
  </si>
  <si>
    <t>BFL445</t>
  </si>
  <si>
    <t>2023-01-25</t>
  </si>
  <si>
    <t>Otter (Wingsuit)</t>
  </si>
  <si>
    <t>The narrative states 'Unknown at this time' and provides no details about the circumstances of the fatal impact. The cause of death is impact in terminal freefall, indicating the canopy was never deployed, but there is no information to determine why. Without evidence to identify a human error pathway or to positively establish a non-human cause, the classification is Insufficient Information.</t>
  </si>
  <si>
    <t>Unknown at this time, if you have more information please contact https://news.russia.postsen.com/trends/amp/181496...https://www.youtube.com/watch?v=113HvrB4iFo&amp;feature=share...https://www.instagram.com/nikbumer/?hl=en</t>
  </si>
  <si>
    <t>BFL446</t>
  </si>
  <si>
    <t>2023-02-14</t>
  </si>
  <si>
    <t>Pibeste Massif, France</t>
  </si>
  <si>
    <t>The narrative states the circumstances are 'Unknown at this stage.' The only known facts are that this was the jumper's first cliff jump, he had 2 BASE seasons, and he died from subterminal impact near the exit. While a first cliff jump with only 2 BASE seasons and a subterminal impact near the exit point could suggest multiple human error pathways (e.g., inadequate progression, poor exit, failure to deploy), the narrative provides no specific information about what actually occurred during the jump to support any particular classification over others.</t>
  </si>
  <si>
    <t>Unknown at this stage but we do know that this was his first cliff jump.https://www.ladepeche.fr/.../massif-du-pibeste-un-base...If you have more information or an image of jumper please contact.</t>
  </si>
  <si>
    <t>BFL447</t>
  </si>
  <si>
    <t>2023-02-26</t>
  </si>
  <si>
    <t>ATC3 (Wingsuit)</t>
  </si>
  <si>
    <t>Bridle misrouting causing total malfunction</t>
  </si>
  <si>
    <t>The jumper mis-routed the bridle when re-closing the container after a popped pin, creating a pin lock condition that resulted in a total malfunction (pilot chute in tow). This was a rigging error — the jumper failed to verify correct bridle routing from PC to canopy attachment points after replacing the pin, which is explicitly identified as a critical procedural requirement.</t>
  </si>
  <si>
    <t>https://apexbase.com/its-way-easier-to-cause-a-pin-lock-than-you-think-preventing-deadly-bridle-misrouting/?fbclid=IwAR0nHheH1m52FAHJQFUHSM0oz1MHhmk06QZgWcxf0MGyUslDV551zBKGP_0
This fatality was the result of mis-routing the bridle and creating a total malfunction. Kali popped her pin while getting her gear out. She asked another jumper on the load for a pull-up cord while they were gearing up. She then threw it back at him, said thanks, and started putting her gear on.The other jumper had to connect his suit to his rig and took longer.
Kali waited for him and they went to the exit together. She jumped first and he watched her jump. She had a good exit, good flight, she flared, pulled and he noticed her pilot chute in tow. She started losing altitude fast and reached back before getting unstable and impacting the trees.
This type of pin lock malfunction cannot be cleared by pulling on the bridle, and the pin cannot be released by pulling on the bridle below it. To fix the mal, you must open the pin flap and pull the bridle out from between the two pins – this is not really possible in a wingsuit in flight.
She was a smart jumper and we can only assume she didn’t know about this malfunction.
All jumpers should know that you should never replace a popped pin unless you fully check your bridle routing all the way from PC to canopy attachment points.The video shows very clearly how the pin and bridle was mis-rigged and how this leads to a total mal..
https://apexbase.com/its-way-easier-to-cause-a-pin-lock-than-you-think-preventing-deadly-bridle-misrouting/?fbclid=IwAR0nHheH1m52FAHJQFUHSM0oz1MHhmk06QZgWcxf0MGyUslDV551zBKGP_0</t>
  </si>
  <si>
    <t>BFL448</t>
  </si>
  <si>
    <t>2023-03-05</t>
  </si>
  <si>
    <t>Off-heading with failed correction</t>
  </si>
  <si>
    <t>The jumper's canopy opened with a 90-degree off-heading on a cliff that 'doesn't allow for mistakes.' The detailed narrative identifies multiple human error factors: suboptimal exit technique (side-slipping instead of pointing skis to the fall line, losing speed), adopting a belly-to-earth position instead of the agreed tucked-race position (contributing to body rotation), and releasing only one toggle during the off-heading correction attempt, which caused an additional 90-degree turn into the cliff. The decision to jump a small, unforgiving cliff with edges that make off-headings problematic also reflects decision-making errors.</t>
  </si>
  <si>
    <t>Apparently he had a stable exit, but the parachute opened with a 90 degree off heading, and for unknown reasons couldn’t correct it, resulting in multiple cliff strikes. The rescue team arrived and tried CPR but couldn’t help him. JP was a great person, and friend, very motivated and driven. A super sporty person, professional kitesurfer and good skydiver. He will be deeply missed by his friends and family for his strong energy and for the great friend he was.
Updated 10th March - Written by the jumper with himSki-base was one of JP's dream, as it was for me, so when I went to inspect the cliff in my local resort that I knew had already being jumped, he was already committed to do it as well. My measurements showed that it's a cliff that doesn't allow for mistakes: it's not a big one and even though the straight line is slightly overhung, at the sides you have some edges that make an off heading quite a problem.The take off and in run are though really nice, and that helped our confidence.
By the time he got to the resort with a friend, for what should have been a week of fun, the forecast had changed and it looked like we'd had available 3-4 days of good weather.We spent the first day skiing, hitting jumps in the park and on the slopes, it was the first time I saw him skiing and I felt reassured, as he was a good skier, solid on his skis and well balanced in the air.We ended the day having a look at the cliff and inspecting the landing area.
Probably with a bit of pressure from the weather forecast he told me he wanted to go for it the following day, and without much hesitation I agreed, we had an easy dinner and set a meeting point for the following day at lift's opening.
On our way to the exit we went for few more jumps off some nice rollers, again no problems or hesitations. At the top of the last lift we parted ways with our friend as he wasn't going to jump and will watch us from a slope right in front of the exit.
As we got to the exit I found out the snow has melted more than expected since my last jump and told him that the starting point now would be a few meters below what I did in my previous 2 jumps, he asked me if I thought it was still ok and I replied that it shouldn't be too much of a difference.We went to the edge and I showed him the right direction, he expressed a little bit of a concern about the slight turn that has to be done in order to go around a rock and get the right direction, I told him not to worry about that, has it was far into his ability, not to overthinking it and to focus instead on the exit position.
We geared up and he decided to go first, handheld. He had the Go pro on his helmet and I suggested to remove it and so he did. From the already lower start position, instead of pointing his skis to the little turn and the fall line, he slowly side slipped forward losing some meters and what in my opinion, might have been some speed that could have helped him. He then turned his skis to the exit.In the first moments in the air, instead of keeping the tucked-race position we agreed was better, he extended his leg and went into a more belly to earth position.
What follows is a supposition of what might have happen by looking at the video and what we saw inspecting his container and risers (the canopy hasn't been recovered).From the video took by our friend positioned in front of the exit, we can see that between the pilot chute throw and the opening, his body turn slightly to the left and this, once his canopy opens with a 90 to the right, probably resulted also thanks to the added inertia of the weight of boots and skis, to violent rotation of his body back to the right which might have caused the last mistake: he released only his left toggle and not the right one, this might have been the reason why his canopy does another 90 degrees turn to the right and brings him to impact.
From the exit I've only heard the opening and not the expected scream of joy, I look at our friend standing on the slope and I see him moving frantically, I realize how stupid I have been to not exchange telephone numbers with him. I get to the edge but can't see anything included our friend that was supposed to move to the landing after the first jump, eventually I calmed myself down, went back up, and did my jump. Under canopy I tried to see if I could spot anything but with no success, at that point I believed it was just a trip that I got myself into. But once I landed alone I got informed that patrollers have been called and a microlight started to fly above the area, with no success in spotting him for over 30 minutes but eventually found him, his white and green canopy might have not helped.The rescue Heli with the needed hoist was busy in another rescue and got to JP an hour later after the call, reanimation has been tried but it was soon after declared dead.Speaking with the first doctor from the Heli, said he thought JP probably died at impact.
https://euro.dayfr.com/local/18075.html...
https://www.ladepeche.fr/.../un-base-jumper-chilien-meurt...
https://france3-regions.francetvinfo.fr/.../savoie-un...</t>
  </si>
  <si>
    <t>BFL449</t>
  </si>
  <si>
    <t>2023-03-21</t>
  </si>
  <si>
    <t>Catalonia, Spain</t>
  </si>
  <si>
    <t>Unplanned fall from unscouted exit</t>
  </si>
  <si>
    <t>The jumper did not jump from the established exit point but from a location 20 meters to the right where no viable exit existed. Evidence indicates he climbed down unstable terrain to scout a new exit point without adequate safety measures and fell, attempting an emergency deployment that did not complete before he struck a large ledge 30 meters below. Additionally, his toggles were set asymmetrically (one deep, one shallow brake), and he had not jumped in 3 years, indicating currency and rigging errors.</t>
  </si>
  <si>
    <t>Description:Hello, we tried to figure out as many details as possible, for us and for his family but everything is assumptions, the real truth we will never know, but we really think this is the closest to what could have happened to Luis.First of all, we thought Luis had a 180 with a cliff strike to the ground. While checking the rig we realized toggles were still in break mode, never released. And we could see there was one toggle in shallow mode and another one in deep mode, so one more reason to contribute and emphasize a possible offheading. It was also his first jump after 3 years of not jumping, so other possibilities like unstable position, etc were also in our minds.We could then speak to the two people that witnessed the accident, and it is when we realized by what they explained that Luis never jumped from the real exit. He was 20 meters on the right (facing the cliff). Luis sent us a picture while he was gearing up, and it confirms that he jumped from a place where no exit was possible. Our conclusion is that Luis in fact never jumped but fell while checking this new exit point. From the top you don’t see the big ledge, but if you climb down a couple of meters of unstable terrain, then you realize there is a big ledge 30 meters down below, very difficult to jump over even with a strong push. We believe he went down to check and for an unknown reason he fell and so as a last resort he tried to push and jump while pitching the PC asap. He impacted in the ledge while the parachute was not yet fully deployed.We know how important it is to triple check your pack job, and to take all security measures as much as possible when opening a new exit even if you feel comfortable walking on the edge of a cliff. Once more this proves that all measures are not enough and that we all make mistakes.Although link says paraglider this was a base jumping death.https://www.lavanguardia.com/.../hombre-muere-haciendo...https://aesbase.miraheze.org/wiki/Torre_Roja...</t>
  </si>
  <si>
    <t>BFL450</t>
  </si>
  <si>
    <t>2023-03-29</t>
  </si>
  <si>
    <t>Kladno, Czech Republic</t>
  </si>
  <si>
    <t>Failed to deploy pilot chute</t>
  </si>
  <si>
    <t>The jumper impacted in terminal freefall with the rig still packed and the pilot chute still in the BOC, indicating he was unable to locate or extract the pilot chute after exiting. This failure to execute deployment constitutes a human error in the deployment process. The night conditions likely contributed to the difficulty locating the BOC handle.</t>
  </si>
  <si>
    <t>This was a Solo night jump as he would usually do. He had exactly 55 jumps from this object in various configurations, aerials included. Also was the place of his first base jump. Tomas was found just under the chimney with a packed rig on his back and pilot chute still in a BOC. No camera was found there.
Tomas was one of the most active and dedicated jumpers in Czech community where he is known for opening many objects and also doing first WS BASE in Czech from 350m A.</t>
  </si>
  <si>
    <t>BFL451</t>
  </si>
  <si>
    <t>2023-05-05</t>
  </si>
  <si>
    <t>Aura 5 ultra light (Wingsuit)</t>
  </si>
  <si>
    <t>Slow wingsuit flight into terrain</t>
  </si>
  <si>
    <t>The jumper was observed flying very slowly during a proximity wingsuit flight around a rock spire. He impacted trees in terminal freefall with a closed container and no pull attempt. The domain reference identifies flying too slowly as a critical wingsuit error that bleeds energy, reduces available lift, and kills glide performance. The jumper chose a line requiring good glide performance while flying without adequate speed, and failed to abort to the available escape route to the right, constituting human error.</t>
  </si>
  <si>
    <t>He arrived to the exit feeling good, nothing unusual. Alex discussed flying around the back of a rock spire, which requieres a good start and good glide to reach. Zero wind at the exit, which faces north-west so it is protected.Normal push, good start. He appeared to be flying very slowly. It's possible that his performance was affected by the south wind. At any time he could abort by flying to the right. He impacted into the trees before reaching the spire. There was no attempt to pull, the container was closed. It seems he died instantly. What we can learn, the lesson we already know, is that we need to fly with speed and be ready to change the plan. Even very experienced jumpers can sometimes make the mistake of flying without speed.Alex was an inspiring person to be around, always ready to laugh, generous and big hearted. He will be sorely missed by the Spanish jumping community and others who's heart he has touched.</t>
  </si>
  <si>
    <t>BFL452</t>
  </si>
  <si>
    <t>2023-06-03</t>
  </si>
  <si>
    <t>Slow flight leading to terrain impact</t>
  </si>
  <si>
    <t>The narrative describes the jumper flying very flat with the wingsuit likely stalling, making repeated overcorrections with almost no forward movement for approximately 7 seconds. This flight pattern - flying too slowly/flat near stall - is a well-documented human error in wingsuit BASE. Additionally, despite sufficient time for an emergency deployment, the jumper did not pull, suggesting a decision error in believing he could outfly the terrain.</t>
  </si>
  <si>
    <t>Mark had been jumping in the Brento area for about a week, he was current and flying well. After the early morning Brento load we went with 2 other jumpers to the Paganella cave exit. We stopped at the refuge on top for coffee on route, he was in good spirits, excited to jump a new exit. We arrived at the gear up area and there was no visibility due to cloud. Winds were light at the exit and landing area. We got dressed slowly and descended to the exit, after a short wait the clouds opened, and the 1st jumper went. Mark had asked to watch someone else fly first. Once the first jumper had landed Mark moved into position. His initial exit push looked normal but shortly afterwards he turned slightly to the left, he turned back to the right and ended up over correcting and then turning back to the left and then to the right once more. During these corrections he was very "flat" and the suit was most likely stalling as he had almost no forward movement. After around 7 seconds the suit finally made some forward movement but he was already very low and impacted the terrain with nothing out 10 seconds after exit. We can only speculate as to Mark's thought process, there was sufficient time for an emergency pull but perhaps he still felt he could out fly the terrain. My condolences to Mark's family and friends. He was well liked within the community, easily spotted on the exit with his famous red mohawk helmet.https://www.mirror.co.uk/.../brit-base-jumper-falls-400m...https://www.dailymail.co.uk/.../British-base-jumper-65...https://www.news.com.au/.../677b2208406eec0fd1a6a08d702f60e5https://www.lbc.co.uk/.../base-jumper-mark-andrews.../...</t>
  </si>
  <si>
    <t>BFL453</t>
  </si>
  <si>
    <t>2023-06-10</t>
  </si>
  <si>
    <t>Corvid 2 Ultralite (Wingsuit)</t>
  </si>
  <si>
    <t>Low pull after terrain proximity flight</t>
  </si>
  <si>
    <t>The jumper flew in extreme terrain proximity, performed a speed-reducing corkscrew maneuver, achieved only marginal separation from terrain, and initiated deployment at an altitude too low to survive. The narrative explicitly identifies late separation from terrain, dependence on an effective flare for pull altitude, and loss of speed as contributing factors—all reflecting decisions and actions within the jumper's control.</t>
  </si>
  <si>
    <t>201C1, 202P</t>
  </si>
  <si>
    <t>['Altitude awareness', 'Extracted Pilot Chute too late', 'Unable to locate pilot chute']</t>
  </si>
  <si>
    <t>Dom leaves the trench line and flies into the Schattenbach Canyon. After leaving the canyon, he performs a corkscrew, which appears to cause him to lose speed.
He continues flying to the right, down to the Stolle forest, following the Hinderlaui trench low above the trees.
After a flyby over trees at approximately 744 m.a.s.l. (200 m above landing), he continues flying along the terrain, directly above the Chriesistei path. Just above landing at about 80 m (maybe even lower), he initiates a flare with little or no gain in altitude (deceleration instead of flaring).
First pull attempt: He reaches back with only his right hand (asymmetric pull) and does not find the handle.
Second pull attempt: Due to his asymmetrical position, he rolls slightly to his right and fabric from his arm wing appears to get in the way. He grabs more fabric than handle and performs a pull movement but does not throw the pilot chute.
Third pull attempt: Once he reaches back with his left hand as well (symmetrical pull), his right hand gets to the handle and he has a successful pull. PC extracts the canopy from the container but he impacts in a horizontal body position before line stretch (primary stow still in place). Dom appears to remain calm and focused until end.
Interpretation and conclusion:
Dominik enjoyed every single flight until the very end and often separated late from the terrain. The altitude that he gained from the flare was often needed to get a good pull altitude. On this flight he did not have a Flysight (GPS) with him.
A combination of factors contributed to the accident:
Loss of speed following his corkscrew after leaving the canyon
Late and only marginal separation from terrain
Flare was ineffective resulting in the deployment process happening at lower-than-expected altitude
First pull attempt: Asymmetric pull results in tilt to right, further loss of altitude.
Second pull attempt: He couldn’t get to the pilot chute because of fluttering fabric on his right arm wing (low airspeed and depressurizing wingsuit).
Individually, each of these points would probably not have been a problem. In total, they were fatal.
Recommendations:
Give yourself margin for the unexpected.
Don’t depend on a good flare to get reasonable pull altitude.
A flare can work 100 times and it can fail on the 101st time.
A “no-pull-find” can happen to all of us. Give yourself some margin to deal with it.</t>
  </si>
  <si>
    <t>BFL454</t>
  </si>
  <si>
    <t>2023-06-12</t>
  </si>
  <si>
    <t>The jumper exited in a wingsuit and immediately entered an unstable, uncontrolled, spinning freefall, clipping a ledge near the exit point and impacting sub-terminally. The unstable exit and failure to achieve controlled flight represent human error in exit execution, leading directly to the fatal outcome.</t>
  </si>
  <si>
    <t>Myself and 2 other jumpers were geared up and ready to go down to the exit when a solo jumper arrived to the gear up area. We exchanged names and wished each other a good jump. The 3 of us had successful jumps.After 10-15 min in the BASE LZ, I looked up at the exit and thought I could see the solo jumper on the platform. I started to walk from the LZ on the road to the parking lot. I missed the initial exit, but shortly after could see a red Wingsuit in an unstable and uncontrolled freefall, spinning.About 3/4 below exit it appeared he regained control but was close and flying parallel to the wall. At that moment a tree obscured my view as we were slowly walking. I had expected to see a canopy right after passing the tree, but did not. Then heard a very loud crack, similar to a loud gunshot.I tried to get a better view of the talus to see if there was any sign of the jumper. A call was made to air glacier and rega. Shortly after an air glacier helicopter made multiple passes in the area and then landed next to the PG landing zone. We spoke with the local police and air glaciers about what we saw and heard, others had also heard the same sound.They went up to search on foot and eventually after about an hour, did find the jumper deceased in the area we had suspected below exit.</t>
  </si>
  <si>
    <t>BFL455</t>
  </si>
  <si>
    <t>2023-06-14</t>
  </si>
  <si>
    <t>Freak 4 (Wingsuit)</t>
  </si>
  <si>
    <t>The narrative field is empty ('None'), providing no account of what occurred. While structured fields indicate a wingsuit proximity flight resulting in terminal freefall impact with possible factors of loss of speed-glide and insufficient separation, there is no narrative detail to deduce a specific human error pathway or to establish a non-human cause. The 'Possible Factors' field lists speculative contributing elements but does not constitute evidence sufficient to classify a specific error or other cause.</t>
  </si>
  <si>
    <t>BFL456</t>
  </si>
  <si>
    <t>2023-06-17</t>
  </si>
  <si>
    <t>Meru (Wingsuit)</t>
  </si>
  <si>
    <t>Proximity flight trajectory error</t>
  </si>
  <si>
    <t>The jumper made an aggressive right turn during proximity wingsuit flight that resulted in greater altitude loss than anticipated, leading to terrain impact. The narrative explicitly identifies a 'bad trajectory analyse' — the jumper misjudged clearance from a pillar, likely due to looking far ahead on the line rather than monitoring the close terrain during the turn. This constitutes a human error in flight path management.</t>
  </si>
  <si>
    <t>We went for a two way, the plan was Thomas to lead and I will follow either behind or on the side.The line was to go right around everything, follow the ridge and go for the landing in the forest road.
Exit was good and at 6 s Thomas goes for an aggressive right turn and then impact at 7-8 s on the end of a pillar.
After many discussions on the video , we think that it is a bad trajectory analyse.
What seems to happens is :As he is high, he took a quick look on the right and thought ok I can turn now as I am high enough.And then he probably didn't look anymore to this close point, and look very far to the direction we are going.The turn was bit too aggressive and made him lose more altitude than what he predicted.
The moment he touches the rock, there is no sign of any change like mini flare or something, he is still in his turn, as if he doesn't even see what is below him (probably as he was looking far on the line.</t>
  </si>
  <si>
    <t>BFL457</t>
  </si>
  <si>
    <t>2023-06-24</t>
  </si>
  <si>
    <t>Lysebotn, Norway</t>
  </si>
  <si>
    <t>Low pull after performance loss</t>
  </si>
  <si>
    <t>The jumper lost all forward performance in his tracking suit near the end of the gully, began falling vertically, and deployed his pilot chute too late, resulting in object strike during line stretch/canopy inflation. The narrative explicitly identifies an emergency low pull as a factor, and the deployment was made at insufficient altitude to achieve a fully flying canopy before striking trees/cliff. The performance loss and delayed deployment represent identifiable human error in flight management and deployment timing.</t>
  </si>
  <si>
    <t>['Emergency low pull']</t>
  </si>
  <si>
    <t>We actually started talking about Exit 8 at the beginning of Heliboogie. I was gonna have some jumps from more conservative exits before venturing to exit 8, to dial everything in. So we did 3 jumps from various exits together before going to exit 8. On the day of the accident we jumped exit 4.5 in the morning and he seemed really on his game. He was gonna take it all the way along the wall and land on the (leg breaking LZ) don’t remember it’s exact name! But something like that. I turned half way to the Primary LZ. It was an awesome jump. We had decided before this jump that we would go to exit 8 afterwards.
We jumped on the chopper around 1pm. When we landed he asked me if I was nervous, I told him that I didn’t actually feel nervous but more tense. He said that he actually felt nervous and that he could feel it now! But I was all smiles, laughs and love. There were 6 of us. 4 x Wingsuit’ and then Kivi and me In our OnsiePower 19. Which we actually had our first jump in together at Brento back in March 2019. We talked about that when we arrived to exit 8. It felt exactly like that. A little tense of the whole situation.It was my first time at exit 8 so I was very “excited” to see what it looked like and how it felt inside my mind and body. I felt that it was absolutely durable so I felt good and ready.
Kivi had jumped exit 8 a few times before, in both 2 piece and Onesie. So he told where and how to fly the lines, where to go and where not to go. He told me to not get too close to the right side of the cliff when you leave/exit the gully. The weather conditions were good. No wind at the exit and maximum 1-2 Knots from the east when getting out of the gully. We knew that we were probably not gonna make it to the primary LZ so the plan was to land on the leg breaking LZ which is along the rocky beach way before the primary LZ for most jumps from Kjerag wall. We geared up and everything seemed just perfect. We all hugged and everybody had their game face on. So we exited Kivi first me right behind him and then the Wingsuiters. After a few seconds the wingsuiters had flown straight over us and left the valley.So for some reason he flew all the way to the left side of the gully, like along the left side, I stayed more or less in the middle of the gully. We had good speed and good height, so everything was going as planned. When we got to the end of the gully Kivi made a slight turn to the right, direction LZ. I’m a little higher than him and a little behind on his right side. So he crossed from left to right in front of me. Here he suddenly loses all performance in his suit. He loses all forward speed and starts to fall vertically. He suddenly puts his arms in front of him. I do not know if it was because he had actually tried to pull and was waiting for the pilot chute to come out! But nothing happend and he is getting close to the tree line at the end of the gully fast. Then it’s like he is trying to recover, maybe an unstable position, he makes a couple of swim strokes (winding up the windows in a car)  and then pulls his pilot chute. But very very sadly to late and he goes through the trees/cliff in line stretch. Before he comes to rest the parachute is actually more or less inflated.As soon as I landed we called 113 and not to long after the rescue was in the area. I’ve known Kivi since 2013. He inspired me right away, both his passion for jumping but also his attitude. He became a very good friend. I’m so so sorry for everyone who knew Kivi and especially his family and also all those who will not get to meet and get inspired by this beautiful soul. Hi will be deeply missed.</t>
  </si>
  <si>
    <t>BFL458</t>
  </si>
  <si>
    <t>2023-06-27</t>
  </si>
  <si>
    <t>Intrudair RS (Wingsuit)</t>
  </si>
  <si>
    <t>The jumper was proximity flying a wingsuit along terrain and flew too low from the beginning of the flight. When encountering a flatter terrain section, he lacked sufficient altitude/separation to clear it and attempted an emergency pull too late, resulting in terminal impact. The decision to continue proximity flight at insufficient altitude, combined with flying a line that left no margin for the conditions encountered (headwind, thermals, shade-induced sink), constitutes human error in flight path management.</t>
  </si>
  <si>
    <t>['Anabatic air flow', 'Proximity flying']</t>
  </si>
  <si>
    <t>Description: First jump in this location for both. Last year we didn’t make it due to the weather. So, this season was one of our goals. We studied the hike and the jump properly and chose a dry weather day to do it. We took the first bus up to bussalp, go with some friends to bussalp exit to see them jumping and then keep going up. Didn’t take too long to get there, waited for 20 min resting and started gearing up. Some gusts of head wind were coming but followed by calm. Shade in the wall but few meters after sunny. He decided to jump first, good push and started flying soon but seemed like sinking a bit after the 4th second. Turned left and I saw him flying to the right side of the ledge. Then he passed to the other side of the mountain so I couldn’t see him anymore. According to what the police say after seeing the footage, he started flying too low from the first part of the flight. The second section was a flatter terrain where you cannot see it from the first section. He went too low in that part realising that wasn’t going to be able to pass the second flatter section, he tried an emergency pull but not in time. Probably the head wind, high temperature and shade in the wall make us sink more than usual even with a good exit. At least felt a bit of not much power from the 4th to 9th second. Also, a bit turbulent flight due to the stronger wind at the mid-flight. Bruno was a very experienced jumper, Skydive instructor and many years of Wingsuit base and Wingsuit test pilot. Healthy and sporty guy. Taking seriously everything. He passed away doing what he loved all his life. He is going to be missed. Big hug for his friends and family</t>
  </si>
  <si>
    <t>BFL459</t>
  </si>
  <si>
    <t>2023-08-11</t>
  </si>
  <si>
    <t>Aerials led to object strike</t>
  </si>
  <si>
    <t>The jumper performed two backflips from a backward-facing exit off a ramp. He failed to complete the rotations and achieve adequate separation from the cliff, striking a ledge during terminal freefall. Performing aerials from a cliff exit is an advanced technique that exponentially increases danger, and the failure to pull through the rotations and gain separation constitutes identifiable human error.</t>
  </si>
  <si>
    <t>['Aerials', 'Not enough separation from object']</t>
  </si>
  <si>
    <t>The jumper went to High Ultimate with ramp and stood backwards then proceeded to do 2 backflips off the ramp during the rotations he has not managed to pull through the rotatations in time and clipped the second ledge.  He was on this ledge when the helicopter arrived and due to non responsiveness he was pushed off this ledge and gift wrapped in canopy to the talus below.</t>
  </si>
  <si>
    <t>BFL460</t>
  </si>
  <si>
    <t>2023-08-13</t>
  </si>
  <si>
    <t>The jumper impacted subterminal near the exit with no parachute out, indicating a total malfunction or failure to deploy. However, the narrative provides no details about the specific cause—whether it was a deployment failure, equipment issue, exit error, or other factor. The limited information ('no parachute out,' found on a ledge 200m below exit) does not allow clear identification of a human error pathway versus an equipment or other cause. While the jumper's low experience (1 season, 40 jumps) and progression against advice are noted, the actual mechanism of the fatality cannot be determined from available information.</t>
  </si>
  <si>
    <t>At this time, we have no more information this fatality happened on 13th August, and he was eventually found around the 19th of August. If anyone has more information, please contact. Updated 22nd August : Rodolphe began Base Jumping against the advice of his coaches and friends. He didn't tell his family about his base jumping activity so nobody knew exactly where he was. This is why search and rescue took so long. He supposedly jumped from the "toit de pratz" a slider off jump in Magland. He has been found dead on a ledge 200m under the exit. No parachute out.https://france3-regions.francetvinfo.fr/.../haute-savoie...</t>
  </si>
  <si>
    <t>BFL461</t>
  </si>
  <si>
    <t>2023-08-18</t>
  </si>
  <si>
    <t>Off-heading object strike</t>
  </si>
  <si>
    <t>The jumper deployed from a cliff (slider-down, BOC) and experienced an off-heading opening that resulted in multiple impacts with the wall. The narrative indicates the jumper scraped the wall around opening and then had an off-heading, suggesting issues with deployment technique or heading correction that constitute human error pathways. The domain reference identifies off-heading with object strike as a known failure mode addressable through proper technique, brake settings, and heading corrections.</t>
  </si>
  <si>
    <t>Information coming in was that this was 5 jumpers exiting handheld, information from the 3rd jumper was that both jumpers before him had exited and threw pc with the first scrapping the wall around opening and flew away. Fernando has jumped second and thrown pc and scrapped the wall around opening then an off heading and has then had multiple impacts on the wall, a helicopter was called but when arrived had discovered Fernando was not alive.</t>
  </si>
  <si>
    <t>BFL462</t>
  </si>
  <si>
    <t>2023-08-21</t>
  </si>
  <si>
    <t>Vampire 23 (Wingsuit)</t>
  </si>
  <si>
    <t>The jumper impacted terrain during wingsuit flight, but the narrative explicitly states they were flying alone and exact information is unavailable. No details on conditions, flight path, equipment state, or specific cause of the terrain impact are provided, making it impossible to determine whether human error or other causes were involved.</t>
  </si>
  <si>
    <t>Due to AU RL flying alone we are unable to obtain exact information, but it is believed he has impacted in the middle of flight.If anyone has more information on AU RL missing details please contact.</t>
  </si>
  <si>
    <t>BFL463</t>
  </si>
  <si>
    <t>2023-09-06</t>
  </si>
  <si>
    <t>Terrain misjudgment during wingsuit flight</t>
  </si>
  <si>
    <t>The narrative states the probable cause was that Jay misjudged the position of a large boulder while making a left turn into his intended flight path, resulting in terrain impact without deploying his pilot chute. This was a new line for all participants, and the report explicitly concludes with the lesson to 'fly it high the first time' when flying a new line, indicating the jumper flew too close to terrain on an unfamiliar line. This constitutes a human error in terrain assessment and flight path execution.</t>
  </si>
  <si>
    <t>Description of Incident: Jay was the first of three jumpers to exit Powerlines in Cortina, in the Italian Dolomites on the morning of September 6. Prior to the jump we had a discussion on the exit point about the line and it was agreed that this jump was well within our experience limits and nothing out of the ordinary in relation to other exits completed this season. The flysight / laser data was also assessed and was well within our margin. After discussing the jump, which was new for all participants, Jay decided to go first; he exited at 09:46am. His exit was filmed and looked good, however, it was observed that he pushed from approximately 20 cm back from the edge during the exit, which was unusual behaviour for Jay. This deviation did not seem to impact his sub-terminal performance and approximately 3 seconds after his exit, Jay was in flight and appeared to be actively manoeuvring to get into the intended line. However, 8 seconds after his exit, Jay tragically impacted the terrain without deploying his pilot chute. Like a true gentleman. We did not jump and notified mountain rescue. Probable Cause of the Incident. Based on the available information, it is believed that Jay misjudged the position of a large boulder to the right of the line while making a left turn into the intended flight path shortly after the exit. His camera was recovered however the data is corrupted. Jay's Experience and Condition: Jay was experienced and current in the sport and throughout the season he displayed strong flying skills and a good understanding of the required flight characteristics for Wingsuit BASE and terrain flying.His decision to exit first that day indicates his confidence in the jump. Jay was seen by many as an experienced Wingsuit BASE jumper, with many seasons in the sport across many continents. The previous lines Jay had flown this season were extreme and all executed well. Jay was in a good head space and told us the previous night “Man, I really do love my life right now”. Conclusion: The unfortunate loss of our mate Jay is deeply felt by the BASE jumping community. He was a well-liked and respected individual within the sport, and his passing represents a significant loss. Jay was a colourful character, the life of the party who made everyone around him laugh. If you were around Jay while he was in the mountains you knew you would be having a good time. Jay had a passion for Wingsuit BASE and loved every minute of it. You were a legend Jay and you won’t be forgotten. This incident serves as a reminder of the importance of careful terrain assessment and precision during Wingsuit BASE jumps, even for experienced jumpers. If you’re flying a new line, fly it high the first time. Stay alive. Love you Jay, WB &amp; PK Date of Report: September 7, 2023https://news.italy24.press/local/844884.html</t>
  </si>
  <si>
    <t>BFL464</t>
  </si>
  <si>
    <t>2023-09-10</t>
  </si>
  <si>
    <t>Bolzano, Italy</t>
  </si>
  <si>
    <t>The narrative is absent and structured fields provide minimal detail. The cause of death is subterminal impact near the exit, which could result from multiple causes (exit error, stall, equipment issue), but without a narrative, experience data, weather information, or witness accounts, neither a human error pathway nor a non-human cause can be reliably identified.</t>
  </si>
  <si>
    <t>BFL465</t>
  </si>
  <si>
    <t>2023-09-13</t>
  </si>
  <si>
    <t>Ultimate Tracking (Tracking Suit)</t>
  </si>
  <si>
    <t>Low pull / altitude awareness failure</t>
  </si>
  <si>
    <t>The jumper deployed his pilot chute too late, resulting in ground impact before the canopy could inflate. The witness observed the jumper tracking past well below pull altitude, reaching for the PC late, holding it for approximately one second before releasing, and impacting at full speed with the canopy only partially extracted. This indicates a failure in altitude awareness leading to a fatally late deployment.</t>
  </si>
  <si>
    <t>['Rain', 'Winds light and variable']</t>
  </si>
  <si>
    <t>He didn’t jump the day before and it was his first jump of the day. He came into packing room to ask me to jump the high nose with him. We have been doing exactly same kind of 2-way tracking jumps from high nose many times before.  Suit what he was using was new for him and he was happy because he had made couple good tracking jumps with it. He was in good mood on the hike. We had fun and lot of laughs. It started to rain just a bit on the hike and in gear up we were talking should we wait if the rain goes away but we were looking that it might get worse and both of us were fine to jump in little rain.  Joonas had some kind of sunglasses what I have seen him wearing on other jumps and he asked me:” what do you think are these going to fly off during the jump?” I said:” I don't know, maybe it can fall off if you have hard opening or something” We planned to do 2-way. Joonas took the exit from the ramp, and I was on the cliff on right side of the ramp. We agreed that Joonas will jump and fly little to the left and I will stay on the right side. Joonas made the count and we exited exactly at the same time. He had great start and started to track right away. He slightly turned to the right in flight, and we were pretty close to each other, but I was all the time on right side and little above him, so he did not see me in flight. When it was time to pull, he was little behind and below me. When I pulled and my canopy was open, I saw him tracking past from the left side little below me. Then he reaches his hand to his pilot chute and start falling more down. He holds his hand on the PC about for a second and then pulls. Pilot chute inflates and canopy comes out at the same time when he crashes to the tree beside the road. Canopy did not inflate. It was full speed impact.https://www.hs.fi/urheilu/art-2000009853326.html</t>
  </si>
  <si>
    <t>BFL466</t>
  </si>
  <si>
    <t>2023-09-20</t>
  </si>
  <si>
    <t>The jumper impacted in terminal freefall with no canopy deployment. The pack job was found intact, indicating no deployment attempt was made. The narrative offers a theory of a medical event (stroke) but explicitly states 'we do not know exactly what happened,' there were no cameras, and the exit was not filmed. There is no positive evidence confirming a medical event (which would support 002OC) nor clear evidence of a human error pathway (which would support 001HE). The information is insufficient to support either classification.</t>
  </si>
  <si>
    <t>['Altitude awareness', 'Health issues']</t>
  </si>
  <si>
    <t>He did a 2 way with a friend that was wearing a xxx suit. Greg jumps in front slick tracking to impact no canopy out. He was found by rescue with his pack job Infront of him still folded just opened because of the impact. We do not know exactly what happened, but the theory is he had some kind of stroke during the jump. He had an early night before, no partying, first jump of the day. None of the 2 jumpers were wearing cameras and his exit was not filmed.Anyone with any images please contact.
https://www.ledauphine.com/.../vercors-un-base-jumper-se...
https://france3-regions.francetvinfo.fr/.../un-homme-se...</t>
  </si>
  <si>
    <t>BFL467</t>
  </si>
  <si>
    <t>2023-10-06</t>
  </si>
  <si>
    <t>Terrain flight with insufficient margin</t>
  </si>
  <si>
    <t>The jumper flew a wingsuit line over a prominent ridge that more experienced jumpers had warned against, in conditions that were less favorable than the previous day (no wind/lift on exit versus the prior day's headwind and lift). Evidence indicates he impacted terrain in terminal freefall near the beginning of his chosen line, with only an emergency deployment attempt, indicating insufficient separation from terrain. The decision to fly this line in degraded conditions constitutes identifiable human error.</t>
  </si>
  <si>
    <t>We arrived in Les Diablerets on the morning of the 5th and did one jump from the classic Scex Rouge exit at 14:45. This was Reed’s third time in the region, and 6th-8th jump from this exit. There was a 5-10 mph quartering-headwind (South/Southwest) on the exit with long lulls, and lots of lift coming up the face. We jumped, and Reed flew a high line over the prominent ridge to the right (notated in black). I hugged the ridge, stayed low, and flew the traditional terrain line (notated in red) after coming around the corner. We watched our videos that night, and he had approached his chosen line with plenty of altitude and was able to dive down onto the terrain with (what appeared to me as) ample margin and lots of speed. We planned on doing 3-4 jumps the next day and caught the second gondola to Glacier 3000 on the morning of the 6th.Jump:That morning, we arrived on the exit point around 10:50 and jumped by 11:15. It was 62 degrees (the prominent ridge/meadows above had been in direct sunlight for at least an hour and a half), and while a 1-5 mph crosswind (Southeast) was forecasted, there was no wind on the exit. I jumped first, had a mediocre exit and start, and was noticeably lower than the day before. After flying a variation of yesterday’s line, landing safely, and watching the second jumper land 3-5 minutes after me, I stowed my gear and waited for Reed. About 10 minutes after he failed to appear, I called him twice, and we used the iPhone’s “Find my Friend” feature to approximate his location. We immediately called Search and Rescue, gave them the coordinates, and his body was located on the upper ridge (near the beginning of the line he had previously flown the day prior).A picture provided by Search and Rescue showed a balled-up canopy near Reed, and a bridle/PC fully stretched and tensioned in the direction of travel, suggesting a low, emergency deployment.Cameras have not been recovered yet, and the Fly Site is currently in police custody.Flying across that ridge is something I’ve been warned about before, and I know that Reed had received the same advice from more experienced jumpers. While his previous video of that line looked subjectively “safe”, the wind/thermic conditions appear to have been considerably better.</t>
  </si>
  <si>
    <t>BFL468</t>
  </si>
  <si>
    <t>2023-10-11</t>
  </si>
  <si>
    <t>Wingsuit terrain flight stall/impact</t>
  </si>
  <si>
    <t>The jumper depleted forward speed by maneuvering to regain altitude after a deep start arc, then lost speed and altitude rapidly after aborting onto an alternate line. The narrative describes a trajectory consistent with flying too slowly (near or at stall), a recognized human error in wingsuit BASE, resulting in terminal freefall impact without successful deployment. The decision to use speed to regain altitude rather than maintain energy reserves, combined with apparent loss of altitude awareness, constitutes identifiable human error.</t>
  </si>
  <si>
    <t>On this particular day, which was our second consecutive visit to Dreamline's and Dawid's third consecutive day at this location (his eighth visit in total), we arrived at the exit point in the afternoon, around 16:25. This timing was intentional to avoid jumping into the shaded areas and to ensure better conditions. We were both well aware of the technicalities of the thermal activity and local conditions in the area. Our plan was similar to the previous day, but it was always contingent on the conditions we encountered. We were cautious about potential downdrafts after the exit, even with an updraft present at the exit point. My plan was to either proceed with the higher planned line, taking into account the exit performance, or to abort and opt for the line with a larger safety margin. In the worst-case scenario, I would abort and fly around the Ridgeline. We exited at 16:36 with a slight thermic updraft. Shortly after exiting, I noticed that the conditions were not as favourable as the previous day, likely due to the presence of a downdraft out from the terrain. Consequently, I decided to abort the higher planned line and used my speed to transition onto the snow barrier line, maintaining more energy as a buffer. Upon reviewing my 360-degree camera footage, it became evident that Dawid had a deeper start arc than me but used his speed to regain altitude and catch up. However, just before we were to make the turn onto the snow barrier line, he chose to abort and veered to the right of the entire Ridgeline. His earlier manoeuvre to regain altitude had depleted his forward speed, which became apparent in the video footage. As I continued into the line, he disappeared behind the trees. Approximately three seconds down the line and through a gap in the trees, I could still see him flying on the other side of the ridge. However, his trajectory was losing forward speed and altitude rapidly. Upon closer examination of his impact location and his last position on the video, it seemed that he either stalled his wingsuit while attempting to maintain the glide from the turn and initiated an emergency pull, or he attempted to align with the slope of the terrain to regain speed but was unable to do so, ultimately impacting the ground without a parachute. I've known Dawid since his FJC in 2019. He displayed a strong motivation and talent right from the start, particularly in his passion for chasing people. He excelled in this pursuit and became skilled at it, with a substantial portion of his 1476 BASE jumps in the past four years involving such camera work, either in a 2-piece or a wingsuit in mountains. Dawid was a person who radiated happiness and positivity. He was well-liked by everyone who had the pleasure of meeting him, and he served as a jumping partner to many while being a friend to all. It's difficult for me to put into words the profoundly positive impact he had not only on me but also on countless others. I miss you already.</t>
  </si>
  <si>
    <t>BFL469</t>
  </si>
  <si>
    <t>2023-10-21</t>
  </si>
  <si>
    <t>Oludeniz, Turkey</t>
  </si>
  <si>
    <t>The narrative is absent ('None'), providing no details about the circumstances leading to the 180° off-heading and fatal object strike. While a 180° off-heading from a cliff with slider-down configuration resulted in object strike, the cause of the off-heading (packing, body position, PC issues, wind, or equipment) cannot be determined. Without a narrative or additional details, neither a specific human error pathway nor a non-human cause can be reliably identified.</t>
  </si>
  <si>
    <t>BFL470</t>
  </si>
  <si>
    <t>2023-12-06</t>
  </si>
  <si>
    <t>Alpine 3 (Wingsuit)</t>
  </si>
  <si>
    <t>The jumper performed a weak push with bent knees resulting in an immediately head-low, near-front-flip exit from which he never recovered, impacting terrain subterminal directly below the exit point. He had acknowledged a series of bad exits in this wingsuit and expressed wanting to stop jumping it, yet chose to jump a technical exit despite known performance issues. This constitutes identifiable human error in both the exit execution and the decision to jump.</t>
  </si>
  <si>
    <t>After finishing work at 3pm, we decided to go for a jump. On the way to Lauterbrunnen we started talking about head low exits. Thor had a series of bad exits in his Alpine 3 in the last couple of weeks. He was even saying that he wanted to stop jumping that suit and that he was waiting for a new one. We took the gondola up to Mürren at 15:38. While gearing up, Thor started saying: “I have to fix my exits!”, then he went down to the ramp to go for a solo. On the ramp he checked his gear and his pilot chute. He said: “Okay guys” and jumped. From my perspective Thor had a weak push with bended knees and he immediately went very head low - almost going for a front flip. We heard two soft impacts and didn’t see him in his wingsuit or under canopy. As we all planned to fly far left, we decided to jump and look out for him. After landing we tried to call him. Then we got a call from Air-Glaciers asking if everything was alright. A construction worker witnessed Thor’s accident and asked the helicopter rescue for help. The rescue team found Thor on the ground in a straight line down from the ramp. As soon as we’re getting his footage, we will know more. One lesson is already clear: Never jump a technical exit when you’re not feeling a hundred percent confident. If you’re having a series of bad launches, practice from more forgiving exits.</t>
  </si>
  <si>
    <t>BFL471</t>
  </si>
  <si>
    <t>2023-12-20</t>
  </si>
  <si>
    <t>Aerial causes mid-air entanglement</t>
  </si>
  <si>
    <t>The second jumper performed a gainer that resulted in a bridle/PC entanglement around his body, extending his delay and causing him to impact Jorge's open canopy. This bridle entanglement during an aerial is a human error in execution. The multi-way jump planning that placed an aerial-performing jumper above a jumper with a shorter delay also represents a decision error in briefing and sequencing.</t>
  </si>
  <si>
    <t>Impact with another Jumper</t>
  </si>
  <si>
    <t>['Aerials', 'Canopy Entanglement']</t>
  </si>
  <si>
    <t>Major Update 27th Feb 2024In honour of my brother life! The truth shall come out. Other jumpers jumped after this accident that was a TWO WAY , the wrong briefed jump was to do a gainer above Jorge, Jorge did a nice long delay and was flying on heading and safe when the other jumper got entangled in the bridle and fell on top of Jorges parachute causing a malfunction and not reopening. Jorge fell 60 meters to the talus dying instantaneously while the other jumper got unentangled and flew to the landing zone with no issues.Jorge was a special kind of human being. He’ll be missed strongly by his family and friends.Original report from jumpers
This jump was a three way with all jumpers jumping slider down. Jorge jumps first and has a short delay with canopy opening and no issue. The second jumper does a gainer and when pitching has his bridle and pc entangled around his body this causes his delay to be longer than the first jumper and he then impacts into Jorges's canopy.
At this time the second jumpers bridle wrap becomes untangled, and his canopy opens, and he flies away, but Jorge's canopy has issues and doesn't reopen, and Jorge impacts below exit a hundred feet below killing him instantly.Third jumper jumps straight after but has no issues with previous two jumpers.The Brazilian community and surfing community will deeply miss Jorge with his great personality and always excited to be jumping and surfing.</t>
  </si>
  <si>
    <t>BFL472</t>
  </si>
  <si>
    <t>2024-01-27</t>
  </si>
  <si>
    <t>Pattaya, Thailand</t>
  </si>
  <si>
    <t>Bridle misrouting during rigging</t>
  </si>
  <si>
    <t>The jumper misrouted the bridle through the leg lateral on his rig while setting up for a TARD deployment. Video evidence clearly shows the bridle was laid on the ground during gearing up, and the misrouting was not caught before exit. This rigging error constituted a human error that directly caused the fatal malfunction.</t>
  </si>
  <si>
    <t>After viewing the video,Nathan has geared up on top of the building and seemed to be in a rush (this could be adrenalin), we can clearly see that in Nathan's last video shot by a close friend he is gearing up with his bridle laying on the ground, the person who was with him was not a base jumper and would not have noticed that Nathan has misrouted the bridle for static line and had it routed through his leg lateral on his rig.
Nathan had 1 year of experience and has done atleast 10-15 static lines previously but this habit of gearing up with the bridle outside of the boc has inevitably killed him.</t>
  </si>
  <si>
    <t>BFL473</t>
  </si>
  <si>
    <t>2024-02-03</t>
  </si>
  <si>
    <t>The narrative states only 'Awaiting more details.' The cause of death is listed as 'Fall before jump,' indicating the fatality occurred before the jump itself, but there is insufficient information to determine whether human error or other causes were responsible. No meaningful analysis can be performed with the available data.</t>
  </si>
  <si>
    <t>['Not enough separation from object']</t>
  </si>
  <si>
    <t>Awaiting more details</t>
  </si>
  <si>
    <t>BFL474</t>
  </si>
  <si>
    <t>2024-02-21</t>
  </si>
  <si>
    <t>Lake Como, Italy</t>
  </si>
  <si>
    <t>The narrative indicates the jumper was unable to locate and extract the pilot chute from the BOC during wingsuit flight. The PC was likely still in the BOC upon impact, and the canopy was found close to the container with no deployment. This represents a human error in the deployment process — a failed or missed pull attempt that led to loss of stability and uncontrolled spinning until impact.</t>
  </si>
  <si>
    <t>I’m so sad and for me is devastating to write down this report. Ale was a wonderful guy, still dreaming like a kid, he was a professional long-range pilot, he had a long skydive and base-jumping background, he was the kind of jumper that underestimates his skills, always conservative with good mindset, he never pushed hard in his way of flying.Ale was super kind, gentle and a humble human being. My thoughts go to his family, his friends, his colleagues, his son and lucky jumpers that have crossed paths with him.DetailsIt was a solo jump, a friend of his drove him up to the top of the mountain and while Ale was hiking to the exit his friend drove the car down to the landing zone. Ale texted his friend that he would jump in 2 minutes. His friend never had Ale in sight, but a speleologist (cave diver scientist) has reported to authorities that he saw a wingsuit spinning and never saw it exiting from the valley. Rescue team was called immediately, helicopter operations took about one hour, Ale was found dead.Considering all the information that we have at this stage, information's by climbers who were close to the area, videos on TV news and GPS points of possible impact, we could assume that it was a “MISSPULL”. He used to fly “normal” lines, never aggressive, never low passes. Probably he missed the PC, we suppose he lost stability attempting another pull, wingsuit went unstable starting spinning without control. Probably he has impacted in full speed spinning down, he was found close to the last cliff close to landing zone, where we use to start flare or splitting formations.Canopy was found close to container and PC probably is still in the BOC. Camera was found completely unserviceable, no SD card found. With no videos we could not be sure about what has happened, but we think we are close to the truth. We could consider many factors that could contributed in this Base fatality, but I think it would be disrespectful. I would just say a thing, just my 2 cents that was “philosophy” we share in our “base career”: go jumping conservative, with good friends, with good vibes, when you are happy. I’ve never met people who didn’t have a good word for Ale! Ale you will be missed a lot. Fly free in your infinite skies!https://www.virgilio.it/.../lecco_tuta_alare_non_si_apre...https://www.youtube.com/watch?v=e87Xx1oKezc&amp;t=2shttps://milano.corriere.it/.../abbadia-lariana-precipita...</t>
  </si>
  <si>
    <t>BFL475</t>
  </si>
  <si>
    <t>2024-03-15</t>
  </si>
  <si>
    <t>The rigger's report concludes the pilot chute was never deployed before water impact, resulting in a subterminal closed-container fatality. However, the reason the jumper did not deploy is unknown. The narrative mentions possible health issues and cold/night conditions, but no definitive cause for the failure to deploy can be established from the available evidence. Whether the jumper suffered a medical event, lost consciousness, became disoriented, or experienced some other factor cannot be determined.</t>
  </si>
  <si>
    <t>BFL#: 475 (4th of the year)Name: William MitchellDate: Missing from 15th March - found 17th March 2024Nationality: AmericanLocation: Perrine Bridge, Twin Falls, Idaho, USAObject Type: SpanCOD: Impact nothing outClothes/Suit: slickGear/Parachute: Squirrel CirrusAge: 37Skydive Experience: 8500+BASE Jumps: UnknownYears/Seasons: UnknownTime of day: UnknownOther factors: UnknownExit Altitude: 486 feet (148 metres)Conditions: Cold temperaturesWind: UnknownDescription:The detailed riggers report is all we are aware of Will had been missing for a few days and was found in the waters of the Snake River.Family have been notified and have been helping with information.Updated Riggers report with gear:Magic Backpacks LLCJacob Gardner, FAA Master Parachute Riggerjacob@magicbackpacks.com19 March 2024Equipment inspection reportDate of incident: Mar 15 - Mar 17, 2024Incident: fatalityParachutist: William MitchellTemperature: Unknown, wearing multiple layers appropriate for coldWinds: unknownTime of the day: approx. – unknown, speculative very early morning/nightInspection has been conducted on the following equipment:Parachute: Unknown at this time, Squirrel Manufacturing from bluebartacks seen.Harness/Container: Squirrel CIRRUS-Visual inspection minimal invasion of key components- pending full gear inspection.Facts collected by inspection of the equipment/parachutist:1. The parachutists left lower container, front/side thigh, and side area clothing and rig appeared to have taken first impact. The container fabric layers around the left lateral harness/backpack/side flap peeling apart appearing to be “Blown out.”2. The parachutist’s container pin cover flap was tightly closed top to bottom, no lifting of the edge at bottom of closing flap.3. The closing pin (closest to the pilot chute) was free from the closing loop, bottom closing loop was undamaged.4. After Detectives carefully opened the pin cover flap under guidance- the Top closing pin (pin closest to parachutist’s head) was still inside the closing loop, 99% extracted but still lying 100% flat on its side. This pin was free to move and popped free shortly after inspection.5. The pilot chute was not in the BOC (Bottom of container) pouch and bridle was attached correctly and at full extension. The fold creases for the excess between pins was still crisply visible but unfolded, and the routing to canopy was still neatly tucked away into container as per Manufactures instruction.6. The last 2 feet of bridle before pilot chute was cut cleanly during recovery as it was suspended below the waters surface at full extension acting as an anchor.7. The bottom flap was folded open 3/4, with only the “bottomless corners” container feature holding the containers bottom shaping.8. The parachutists right “ear” of the parachute packjob was neatly unfolded from the container, but the individual layers were still compressed together. Upon visual inspection of this small portion, the proper pieces of fabric (canopy Nose and nose support tape) were visually confirmed to be in the correct orientation for a working pack job.9. Pilot chute and last 2 feet of bridle was inspected and measured without and apparent damage, and PC properly connected. PC was a 46” non vented pilot chute with a Cordura patch handle, older but in good condition.Observations and inspection information:1. Fact 2 and ground tests suggest-that the pilot chute was never deployed in freefall. The pin cover flap was tucked fully and very snugly into position with no evidence the bridle had tried to deploy behind the parachutist in freefall. The flap could have been bumped closed during the recovery/transport/storage, but as I and detective McRoberts noticed, it was a snug fit (not overly tight), with specific pressure points to close the low-profile pin cover flap back after inspection. The other thing it suggests could be possible is that the pilot chute was deployed at an EXTREMELY low altitude, less than the length of the bridle.2. Taking many of the facts into account, as well as information from Detective McRoberts about the recovery and the deceased body position on arrival of recovery crew- It likely suggests the pilot chute could have acted as an anchor, slowly removing the bottom pin straight out the bottom of the pin cover flap when the deceased was removed from the water before the bridle was cut. Extraction at this straight vertical angle wouldn’t pry up the pin cover flap at the bottom edge as it would from a belly to earth deployment, or a “Pin locked” container.3. The way the parachutist impacted the water could explain how the pilot chute was removed from the BOC pouch.4. The 46” Non vented pilot chute is 4” larger the typical size used for jumping an object of such height as the Perrine Bridge. Hanging below parachutist in the water at full bridle length would present substantial hindrance to recovery efforts as it would have a very high surface area and drag when pulled on from above.Plenty of force to allow pin to be extracted as the rig was lifted from water.5. If the bridle entangled the parachutist, often there are visual streaks of burn marks on any exposed skin it contacted. With the parachutists’ multiple layers of clothing, it’s likely it would have left no evidence. No burn streaks or marks seen, but the bridle was wet at time of inspection and could be hiding.Personal opinion and conclusion.After considering all the information available and trying to reproduce the facts/results as well as other ground test examples, I do not believe the pilot chute was ever removed by the parachutist before impacting the water.I don’t professionally think that facts 8 and 7 are possible if the parachutist deployed before impact. If the canopy folds had been exposed to the water current for any period, the fabric folds wouldn’t have been cleanly creased and folded still. This is a common sign that a parachute has been packed inside the container under tension for a longer period before being opened.If the bottom flap was opened pre-recovery and exposed and flapping in the light current for any significant period, the canopy would not still be neatly folded fully seated, it most likely would have slid down (even a little), potentially completely out of the container.The bottom pin holds most of the tension, without it a canopy will typically fall out onto the ground. I do believe the pilot chute was most likely removed by the impact force/position on impact, allowing the pilot chute to sink and the drag in water to open the bottom pin of the container accidentally during recovery efforts.This would explain why the pin cover flap wasn’t opened slightly at the bottom edge, as well as why the top pin wasn’t in the “standing” position vs lying flat.</t>
  </si>
  <si>
    <t>BFL476</t>
  </si>
  <si>
    <t>2024-04-06</t>
  </si>
  <si>
    <t>Inadequate off-heading response</t>
  </si>
  <si>
    <t>The jumper experienced a 180° off-heading opening (possibly with line twists) on a slider-up cliff jump and struck the wall under canopy. Rear camera footage shows very little input was made to avoid the cliff, indicating a failure to execute the heading correction needed to avoid object strike. The narrative also notes a short delay and high opening that reduced separation from the wall, and the jumper's previous experience at this site was limited (one prior jump 5 years ago with a shorter delay).</t>
  </si>
  <si>
    <t>BFL#: 476 (5th of the year)Name: Hayley Alena aka Hayley PreciousDate: 6th, April 2024Nationality: CanadianLocation: Becco dell (Aquilla) ITW, Brento, ItalyObject Type: EarthCOD: Off heading - possible Line twists into wallGear/Parachute: UnknownAge: 41Skydive Experience: 700BASE Jumps: 100Years/Seasons: 5Time of day: 7:13amOther factors: Possibly tired from the hikeExit Altitude: 4658 feet (1420metres)Conditions: Stable, little to no wind on exit.Wind Description: little to no wind on exitDescription:Hayley was last at Brento 5 years ago and she was about to do her 100th base jump here. She had recently been practicing object avoidance at the bridge in Croatia the days prior. We also talked about correcting heading before getting out of twists while gearing up for this jump.
Her previous jump from Brento was only a sub 5 second delay with slow slider. She said she needed to get more airspeed for better separation in her track. Her exit was great, good transition but then another short delay and high opening and I didn't see her canopy come out into the bowl. I don't know if it was just a 180 or line twists as well.
I heard an impact and some rock fall and thought that was it. I called ground control. A few minutes later she called me, sounding concerned but not in pain or desperate. She sounded calm considering the circumstances, she said she was feeling dizzy and needs to put down the phone.That was the last I heard from her. From some distant rear camera footage, it looks like there was very little input made to avoid the cliff, I can only think she possibly froze or just didn't react quick enough. She was a lovely person to be around and was taking steps towards her aspirations and goals within base fully aware of her limitations and the aspects she needed to improve on.
A message from the Skydive Vancouver Island community. Haley was not only a friendly face at our DZ, but she was also family to many of our close friends on the mainland. Her sweetness and warmth will always be cherished in our hearts. She was passionate about our sport and creating a sense of community by ensuring everyone felt welcome. She was a very active member of CSPA Women’s Initiatives Committee and an advocate in our sport and her career for inclusion and support services.
https://www.rainews.it/tgr/trento/articoli/2024/04/base-jumper-caduta-sul-monte-brento-difficili-operazioni-di-soccorso-5becc73c-830c-4478-bc95-04e785860930.html?fbclid=IwAR2NcYujfmj7pZK8PpH6qj2 C4zfw5vR8PD4_GBaYw9fI6fqc3f_kaU4i3Ig_aem_AUnhGrEpt uesgG_INsPnBl8OEuMr28TA9sEUnEw-lJH5SLGaYR7ns2qGZCaojU-Ndjx-b6gGUfb6D-N9XTO13UZv</t>
  </si>
  <si>
    <t>BFL477</t>
  </si>
  <si>
    <t>2024-04-20</t>
  </si>
  <si>
    <t>Altitude awareness loss and failure to deploy</t>
  </si>
  <si>
    <t>The jumper failed to deploy his parachute despite approximately 7.5 seconds of freefall, impacting terrain in terminal freefall with nothing out. Multiple human errors are identifiable: using a Velcro container (contraindicated for wingsuit and terminal/slider-up applications per accepted practice), jumping a technical wingsuit cliff after a long hiatus with insufficient currency, jumping without any experienced BASE jumping partners for gear checks or site evaluation, and apparent loss of altitude awareness or object fixation leading to complete failure to attempt deployment as terrain approached.</t>
  </si>
  <si>
    <t>['Altitude awareness', 'Unable to locate pilot chute']</t>
  </si>
  <si>
    <t>I did not know Kenn very well… In fact, I had just been introduced to him by a local climber about a month before this incident and only got to talk to him on the phone for an hour or so. He was a super nice guy and I enjoyed hearing some of his stories from when he started learning to skydive in the 80s. He told me he wanted to jump Courthouse rock as a bucket list item and was happy that he finally had climbing friends to help him climb the face and take his gear down for him after he jumped. He invited me on the jump weeks in advance and seemed pretty confident with the exit point beta he gathered… I never got to follow up with him about his currency or look up more details about the exit, like I would have wanted to, I decided not to go and quite frankly didn’t know if they were even still planning on going out that day. Unfortunately, Kenn died on this jump. I was contacted later by the climber and was sent the video to analyse what happened... Kenn was in an original prodigy suit with a Velcro rig. In the video he looked extremely tired from the long climb/hike to the exit. It was also one of the first hot days this season so I’m sure that didn’t help with his fatigue. When he exited he had a solid push but after the first second he started drifting to the left a bit. There is a talus below the exit at about 800 ft that continues outwards to jumpers left… Instead of pitching or attempting to pitch as the talus got closer, he just kept going and tried to fly the suit… Kenn impacted the talus with nothing out at about 7.5 seconds. It honestly looked like he got object fixated, once his body was heading towards the rock, and he just froze. There was not any attempt at pitching at all… which is pretty hard to comprehend. I believe that Kenn underestimated what this particular jump entailed and how much fatigue and being uncurrent can have a huge impact on decision making. Lessons learned: This jump is a technical wingsuit jump or a slider down exit. There is not much in-between. Kenn was the only base jumper on this jump with a bunch of climber friends who cannot be a resource to him when looking at the exit, the flight, lzs, gear checks… anything. He also didn’t ask many questions before hand. Somehow, I ended up being his only base contact in the sport and in our brief conversation a month before he went to do this, he didn’t ask me for any extra info and seemed confident in his approach to the jump. I had no idea what suit he was going to be jumping or what he was thinking doing this exit after such a long hiatus… At the end of the day, it’s our responsibility to know what we are getting ourselves into… do the homework, ask questions, use your peers to talk about jump plans and stay current. Kenn was a great guy and will be missed.</t>
  </si>
  <si>
    <t>BFL478</t>
  </si>
  <si>
    <t>2024-05-17</t>
  </si>
  <si>
    <t>Urke, Norway</t>
  </si>
  <si>
    <t>Freak 5 (Wingsuit)</t>
  </si>
  <si>
    <t>Poor exit led to stall and impact</t>
  </si>
  <si>
    <t>The jumper executed a steep, asymmetric exit with kicking legs from a site requiring consistent exits. His attempt to correct resulted in a stalled wingsuit and fatal terrain impact. The narrative explicitly identifies multiple human error factors: jumping a site beyond his demonstrated consistency, choosing to jump despite known exit instability issues throughout the course, and the decision to jump into a situation requiring perfect performance he had not demonstrated.</t>
  </si>
  <si>
    <t>['Altitude awareness', 'Extracted Pilot Chute too late', 'Not enough separation from object']</t>
  </si>
  <si>
    <t>Fatality Report May 17, 2024 B. was a member of our Intermediate Wingsuit BASE Camp in Loen, Norway. He was a very experienced BASE jumper and wanted to improve his exits and performance. Throughout the first few days of the course, his exits had not been great but manageable in the relative safety of Loen. We had been working with him with multiple methods to improve the stability and consistency of his starts, with moderate improvement. On the morning of May 17, we planned to take the course on a hike to a mountain named Saksa. It had been jumped once by a local Norwegian and was reported to have a “9 second rock drop”. None of the instructors had been to the mountain before. We thought it would be a good exercise in site evaluation for the students, and a beautiful hike.  B. was in great spirits as we started the hike at 5am with the intention of jumping before 10am. We added plenty of time to take the hike slow, but he was at the head of the pack. As we reached the summit of the mountain and began scouting for potential exits, we did not find anything close to a “9 second rock drop”. After splitting from the group, Espen and I began looking for something that would work. We found 2 potential exits with vertical numbers in the 170 meter range (with steep terrain below). On top of that, the terrain just opposite of the exit was raised requiring a 30 degree right hand turn shortly after inflation. We agreed that the exit was only acceptable for a few students with consistent exits. Another experienced jumper who had joined us for the hike jumped first, radioing up accurate interpretation of his flight. The entire scene became quite chaotic with some jumpers gearing up and others preparing to walk down. We discussed at length that exit was not suitable if their exits were not dialed and discussed the visual aspect of the jump, detailing the profile and the risks. We informed everyone that we would walk down with anyone who chose not to jump. We had ample food and water and weather was perfect. B. was very fast to gear up and suddenly appeared over my shoulder on exit ready to jump as I was discussing conditions with another student. Another instructor was in the process of gearing up to go first but he insisted that he was ready. B.’s exit was quite steep with asymmetric and kicking legs, he tried to correct and turn right but it looked like he panicked, bent his legs, and dug in his arms. His suit stalled almost immediately, and he impacted shortly after an emergency pitch at 7 seconds. I have known B. for 10 years; he was a good friend. The major failures of the day were as follows:1. Expectations did not meet reality for the day, and B. was expecting to jump.2. The chaos in the 30 minutes of exit point searching and movement around the mountain created a lot of room for errors in analysis and judgement. 3. B. chose to jump into a situation he hoped he would perform perfectly, without enough repetition and consistency.4. Experience or confidence gained over 10 years ago should not equate to modern wing suit jumps.
 Please note this fatality was a paid and guided to the exit point fatality.
https://www.nrk.no/mr/alvorleg-ulykke-med-basehopp-fra-fjell-i-more-og-romsdal-1.16887328</t>
  </si>
  <si>
    <t>BFL479</t>
  </si>
  <si>
    <t>2024-05-19</t>
  </si>
  <si>
    <t>ATC (Wingsuit)</t>
  </si>
  <si>
    <t>Jumped in dangerous weather</t>
  </si>
  <si>
    <t>The official police report states the jumper jumped 'ignoring dangerous weather conditions,' with strong winds reported. His companions declined to jump due to conditions. The decision to jump alone in conditions that other jumpers refused constitutes a human error in judgment.</t>
  </si>
  <si>
    <t>The official police report said that Sergey jumped "ignoring dangerous weather conditions." His body was discovered the next day. Media report that he was with other jumpers; they did not jump due to cloud cover. He jumped alone and did not get in touch.
More Information will become available at a later stage.
https://mash.ru/vkz/news/191756/?
https://kbr.sledcom.ru/news/item/1885382/?fbclid=IwZXh0bgNhZW0CMTAAAR0FBwiu45pZku3bJSBb6O8TjezPkkA010R7YXltJR_jE6hVwRK3Pld-sIA_aem_AT-7WS92ZFEsf4ze0PEEk5EgD4u7UQWLQ_gw1dDRpnicXXJpEN2rHVAy7vV0QY3kUl51HaeGy4MJrDGVcwkxQLUHfbclid=IwZXh0bgNhZW0CMTAAAR0QcjWDkx3ZWJaj7mvn0Q-Xs4lZrnT6SjiPM7HJlRevowsn71HnIBYbtLw_aem_AT8s6cvAMR8GBO30PFsXXouBlXO9ZJCRIw2hK5AfpN1JnQnjVnH3_mWx-Wgszg-1R3gFsERJ9J09fz8__dtDAUBT</t>
  </si>
  <si>
    <t>BFL480</t>
  </si>
  <si>
    <t>2024-05-25</t>
  </si>
  <si>
    <t>Seychelles</t>
  </si>
  <si>
    <t>Unstable exit and object strike</t>
  </si>
  <si>
    <t>The jumper had an unstable exit and tumbled for approximately 6 seconds before an emergency pull, resulting in insufficient forward separation from the cliff. The canopy opened with a 180° off-heading, and the jumper struck the wall fatally. The unstable exit and inadequate separation are identifiable human error pathways contributing directly to the fatal outcome.</t>
  </si>
  <si>
    <t>Francesco had an unstable exit and tumbled for about 6 seconds before an emergency pull. Canopy opened with a 180 and he impacted the wall after 2-3 seconds. He impacted the wall pretty hard an the canopy collapsed as he fell down several hundred meters. He came to rest all the way at the slope grassy area right under exit 6, where he jumped from. Rescue teams were with him within the hour where he was confirmed dead due to severe injuries.
Please note this fatality was professionally guided.</t>
  </si>
  <si>
    <t>BFL481</t>
  </si>
  <si>
    <t>2024-06-12</t>
  </si>
  <si>
    <t>Lahoul, India</t>
  </si>
  <si>
    <t>The narrative explicitly states 'We are awaiting more details on this fatality' and that the jumper was alone with rescue taking over 4 days. The possible factors listed (clipped ledge, not enough separation, unstable exit) are speculative inferences from the outcome (subterminal impact near exit) rather than observed or reported evidence. Without witness accounts, video, or detailed investigation findings, there is insufficient information to establish a specific human error pathway or to confirm a non-human cause.</t>
  </si>
  <si>
    <t>We are awaiting more details on this fatality but it seems he was in this area by himself.Rescue took over 4 days to find him.If anyone has more information please get in contact.
https://www.hindustantimes.com/.../us-base-jumper-s-body...
https://timesofindia.indiatimes.com/.../111042012.cms...
https://x.com/ITBP_official/status/1802181682398945451...</t>
  </si>
  <si>
    <t>BFL482</t>
  </si>
  <si>
    <t>2024-07-13</t>
  </si>
  <si>
    <t>Voss, Norway</t>
  </si>
  <si>
    <t>Proximity flying error</t>
  </si>
  <si>
    <t>The jumper attempted to fly a proximity line between terrain features (shark fins) but was too low and too far from the intended line, passing the point of no return before recognizing the problem. The attempted bailout turn resulted in rapid altitude loss, an emergency pull, and fatal object strike. This represents human error in flight path management and line selection during proximity flying.</t>
  </si>
  <si>
    <t>Emergency Pull</t>
  </si>
  <si>
    <t>A fellow Base jumper who is highly regarded in the area has reviewed the video and stated below "He jumped from Sparkling Diamonds exit and tried to track between the shark fins but he was too low and too far from the fins and he was way over the no return point but then realises this and he tried to do a hard right turn and bail out from the line and then he started losing altitude fast. He pulled his chute we see his feet and then he hits the wall and slides down 20-30 m down to the bottom of the v line.
https://www.vg.no/nyheter/innenriks/i/vggObj/basehopper-mistet-livet-etter-hopp-i-indre-sogn
https://www.instagram.com/beelzebozo_?fbclid=IwZXh0bgNhZW0CMTAAAR2F3MNijg_ck5vU8cFry10guNImpsIaGCBrpndzas95RD4koVtYC_fZTik_aem_yE3wqBcyTtkNS9amJzk4nQ</t>
  </si>
  <si>
    <t>BFL483</t>
  </si>
  <si>
    <t>2024-07-18</t>
  </si>
  <si>
    <t>The jumper was proximity flying a wingsuit line near terrain and impacted the ground in full flight. The two most likely scenarios both involve decision/execution errors: either flying too slowly (at best glide) resulting in insufficient speed and glide to complete the intended line, leading to loss of terrain clearance, or making an aggressive turn into alternate terrain that was unrecoverable. Both scenarios reflect human error in flight management — either inadequate speed management near terrain or an unrecoverable maneuvering decision.</t>
  </si>
  <si>
    <t>['Altitude awareness', 'Clipped ledge after exiting', 'Emergency low pull', 'Extracted Pilot Chute too late', 'Loss of speed-glide', 'Proximity flying']</t>
  </si>
  <si>
    <t>Domi picked me up at home shortly before 7am - we loaded my BASE and paragliding gear and set off. At 7.28 we started our hike from the Hotel Stechelberg - 3 hours and 59 minutes later we were standing on the High Melchstuhl. Something extraordinary happened during this ascent. Just above the alp, a cute white goat with a little bell around its neck decided to follow us. For sure she'll turn back soon, we thought - but we were wrong. Although we never fed her and made several attempts to persuade her to turn back, she accompanied us all the way to the exit of High Melchstuhl where we sat down, relaxed and enjoyed our time together.
We analyzed a video of a line from Dominik Ertl that we were planning to fly (https://www.youtube.com/watch?v=zmeu5m9Un0U). I had done this line twice before, Domi had never done it. From the exit, the reference points and the escape routes to the right are very easy to see. We looked and discussed all of this very thoroughly. The conditions at the exit can be summarized in one word: Perfect. We got ready, Domi called Air-Glaciers and Martina gave us permission to jump. As Domi was flying this line for the first time, we decided to jump individually. I jumped first, he filmed my exit.
My start and my whole flight confirmed our assessment of the meteorological conditions we had made at the exit. After landing, I turned around and started to take my gear off, constantly looking upwards. A few minutes later, at 12:27 to be precise, thinking that I might had missed to see his flight, I sent him a WhatsApp message asking: “Have you jumped?” At 12:32 I called him the first time, but he didn’t pick up. During my second attempt to reach Domi by phone, at 12:37, a chopper from Air-Glaciers flew over my head - the chopper had no load attached, it was lunch time, and it flew into the Rottal - my guts started to twist. At 12:38 I called Air-Glaciers. The only thing Martina was allowed to confirm was that they were doing a rescue in the Rottal. At 12:40 I called my best friend Marcel Geser for advice.
At 12:53 I called Domi’s brother Florian and informed him of the status quo. At this moment I was still walking from my landing spot in direction Hotel Stechelberg, where the car was parked. I found the key that Domi had deposited and drove his car to the Air-Glaciers base arriving around 13:30. I was greeted by two Bernese police officers, Köbu and Teddy. They informed me, that the rescue operation was in its terminal phase and that the victim, a BASE jumper in a wingsuit, did not survive the accident. I got shown a couple of pictures and could identify Domi by his gear. At 13:53 I did the most gut-wrenching phone call of my entire life. I informed Flöru, that his brother and our great friend Dominik had left us. Domi’s camera has not yet been found. I did not see him using a Flysight or a similar device for this jump. That makes a precise analysis of the accident impossible. A search expedition is planned. If the camera is found, an update to this report will follow.
At the moment we only have the following information: We know roughly where Domi impacted (two hikers witnessed the accident), we know where his body came to rest, and we know where the rescue team found some parts of his gear. There is no doubt that he impacted in full flight and tumbled more than a hundred meter down into a narrow gully.
It was an instant death, he did not suffer. We have lost an amazingly gifted sportsman. Be it cross country paragliding, speed riding, BASE jumping, skiing, hang gliding, kiting, foil kiting, wing foiling, surfing, you name it.
Domi was an absolute natural in whatever he did. But what counts even more was his personality, his friendliness, his positive attitude to life, his generosity. I do not know a single person that didn’t like him. He’ll be in the hearts of many forever. For me, when I’ll look up to the sky at night, it will be easy to know which star he is: The one that shines the brightest. My condolences go out to the family of Domi and to all of his friends.
-LOVE Robi Caspani
UPDATED 4TH AUGUST 2024:On July 31, we found Domi's camera. It was about 50 meters below the place where we think he impacted. The Insta360 was in surprisingly good condition, but unfortunately the SD card was no longer in the camera, it must have fallen out on impactor or Domi forgot to put it in. The card remained missing despite hours of searching. Without analyzing the footage, we will never know exactly what happened. However, we do have the testimony of two hikers who saw Domi hit the ground and disappear behind the rocks, and we found small pieces of the wingsuit at the indicated location. Without GPS data (Domi didn't have his Flysight with him on the day of the accident) and without a video, we can only speculate. The following scenarios seem likely: 1. Domi flew in best glide (and therefore rather slowly) to get to the waterfall-line. After about 30 seconds in flight, he realized that he wouldn't make it to the “Rottal” stream. Domi left the intended line, turned to the right, and found himself in flat terrain. Too low to pull the parachute, he hit the ground just before it became steep again. 2. Domi realized that he could not fly the intended line and decided to dive into another gully. He made a sharp right turn and flew too radically.
- Marcel (SBA)</t>
  </si>
  <si>
    <t>BFL484</t>
  </si>
  <si>
    <t>2024-08-01</t>
  </si>
  <si>
    <t>Untrained jumper misrigged gear</t>
  </si>
  <si>
    <t>The narrative explicitly states the jumper had no links to skydiving or BASE jumping, indicating no training or experience. The cause of death is listed as malfunction due to misrigging. An untrained individual purchasing and attempting to use BASE equipment without any skydiving or BASE training represents clear human error in both the decision to jump without prerequisite skills and the misrigging of equipment.</t>
  </si>
  <si>
    <t>The BFL has not found any links to Justin Guthrie and the Skydiving industry nor has any links to Base jumping, he didn't have a USPA membership. We have found that this is one of a few that has purchased a base rig and then decided to use it.
https://www.nps.gov/grca/learn/news/base-jumper-recovery-at-yavapai-point.htm?fbclid=IwY2xjawEcUgtleHRuA2FlbQIxMQABHWEm3ZqQUIujWfDDVSm28YSZsQcn1H_6rtpcPXE5vYcZh2B2UvWneP3dJQ_aem_baPTyxta441aGDXDe5v5Cw</t>
  </si>
  <si>
    <t>BFL485</t>
  </si>
  <si>
    <t>2024-08-06</t>
  </si>
  <si>
    <t>C-Base (Wingsuit)</t>
  </si>
  <si>
    <t>Slow flight and stall into terrain</t>
  </si>
  <si>
    <t>The jumper had a known problem with flying too slowly, had a head-high exit resulting in a bad start, and impacted terrain in terminal freefall with no canopy deployed, consistent with a wingsuit stall into terrain. A close friend confirmed persistent issues with speed and head-low exits, and the jumper was using a suit (C-Base) intended to compensate for skill deficiencies rather than addressing them through training. Multiple human errors in technique and equipment selection for the terrain are clearly indicated.</t>
  </si>
  <si>
    <t>201C2, 202P, 203T</t>
  </si>
  <si>
    <t>We got on the first gondola around 8:30am. There was a group of 6. Everyone was very excited as 5 of us had never done the jump before, Raian was leading us to the exit as he had done it a few times before.When we arrived around 10 am, it was very light to dead winds, got sunny as we got to the top and everyone was stoked. Raian was relatively quiet on the hike up but gave us the info we needed on exit. He geared up pretty quickly and was ready to jump first. He said have a good jump to us all and went first.His exit was quite head high, pendulumed head down and had a bad start what was as normal for Raian what we didn’t know at this stage however he flew right out of sight and we didn’t hear from him again. The next 5 of us jumped about a minute apart.
Only 2 of the remaining 5 made it through the V line (both in Corvid 2’s). We both had good exits and quick starts, and still the conditions didn’t allow for much healthy margin. With a bad exit, I believe it would have been nearly impossible to make the hard flight in the conditions given. (Shaded wall and first time on this line in the C BASE). As we flew overhead through the V, we saw his body resting on the top of the second main impact point through the gulley.
No canopy out, laying flat with head up as though he had stalled out right as he impacted. We just met Raian the day before in Sass Pordoi. He was very kind and fun to hang out with a very good dude! Was hoping to get some epic jumps in with him over our last few days here in Europe. He will be missed for sure, I think anyone who has been lucky enough to hang out with Raian will miss him, a great energy to have in the group.
From a close Friend: Raian was a special person. Really a good soul and always make me smile. 75% off all his jumps I jumped with him. No one knew him better then me. He had many problems with speed on his flying. Thats why he bought a C-Base to solve this problem. But he took this suit for every jump. Short exits. Glidy flights however we talked many month about it and he know his problems with head low exits and flying slow. However fix your problems with training and not just changing a suit. Use the suit for the terrain and glide you fly. You where an amazing human. We love you and thank you for everything! On our way we did together.
https://corrieredeltrentino.corriere.it/.../val-badia-si...
https://www.milanotoday.it/cronaca/raian-kamel.html</t>
  </si>
  <si>
    <t>BFL486</t>
  </si>
  <si>
    <t>2024-08-09</t>
  </si>
  <si>
    <t>Belluno, Italy</t>
  </si>
  <si>
    <t>Proximity line misjudgment</t>
  </si>
  <si>
    <t>The jumper flew a technical proximity line requiring precise altitude management at a gate entrance. Evidence indicates he arrived too low at the gate to execute the required right turn, resulting in terrain impact. This was his first wingsuit flight from this exit (previous jumps were in a less powerful tracking suit on a different, less technical line), indicating a decision to fly a technical line without adequate experience in the specific equipment and configuration.</t>
  </si>
  <si>
    <t>Ludovico was the first of a group of jumpers ready to jump from Castello delle Nevere (Low exit). Weather condition was great, sunny, no wind, the cliff was half in the sun and half in the shade.His exit was good, after 3 seconds he was in full flight and after another 2 seconds he started to set the left turn to go on the line. 12 seconds after the exit he disappeared from sight beyond the mountain. Based on where his body was found, we discover that he decided to go pass on the left side of one tower that is on the left flight line.This tower makes a gate to enter in a steep trench on the right side. To enter in this line it's necessary to be high enough to set a proper right turn. We suppose that he arrived too low at the gate entrance to make the right turn. The impact with the rocks just after the gate was inevitable.This line is a technical line that needs a good flight plan, probably he set the left turn too late and this decision got him too low at the gate entrance. He did two jumps from this spot last year with his Onesie power, flying the left line, outside the tower. He was a good Onesie pilot.This jump was the first jump for him from this spot with a wingsuit. We don't know if it could be relevant for the dynamic of this fatality, but in his previous jump he had complained about problems with the helmet visor fogging up. We can exclude no hypotheses till when the video from his helmet will be analyzed.
https://corrieredelveneto.corriere.it/.../dolomiti-si...
https://messaggeroveneto.gelocal.it/.../belluno.../...</t>
  </si>
  <si>
    <t>BFL487</t>
  </si>
  <si>
    <t>2024-08-14</t>
  </si>
  <si>
    <t>The narrative reports a 180° off-heading opening resulting in object strike under canopy, but provides no information about the specific cause of the off-heading (packing, body position, equipment issue, environmental factor, etc.). The possible factors listed (180 off-heading, not enough separation) describe the outcome mechanism but do not establish whether human error or another cause produced it. Without details on the jumper's experience level relative to the object, exit quality, packing, body position at deployment, or site-specific conditions, neither 001HE nor 002OC can be supported.</t>
  </si>
  <si>
    <t>['180 Offheading', 'Not enough separation from object']</t>
  </si>
  <si>
    <t>This accident took place July 5th,2024 but Nick only succumbed to his injuries yesterday 14th August, 2024 once ventilator was switched off.
https://www.ladige.it/.../Dro%20base%20jumper%20si...</t>
  </si>
  <si>
    <t>BFL488</t>
  </si>
  <si>
    <t>2024-08-23</t>
  </si>
  <si>
    <t>The narrative states only that more information is to be released and provides no substantive account of the accident. While 'Unstable exit' is listed as a possible factor and cause of death is subterminal impact near the exit, the narrative itself contains no details to support a specific human error pathway or to identify a non-human cause. The available structured fields suggest a possible human error but without corroborating narrative detail, classification cannot be reliably determined.</t>
  </si>
  <si>
    <t>More information to be released in coming days when we have information.https://c.ledauphine.com/.../24/un-homme-se-tue-en-base-jump</t>
  </si>
  <si>
    <t>BFL489</t>
  </si>
  <si>
    <t>Les Ecrins, France</t>
  </si>
  <si>
    <t>The jumper was found at the bottom of the north face, with the narrative indicating he likely failed to clear a ledge during a wingsuit proximity flight. The possible factors listed (loss of speed-glide, proximity flying) combined with the terrain strike evidence indicate a human error pathway involving flight management near terrain.</t>
  </si>
  <si>
    <t>Romain was doing a solo écrins tour planed on 2 days. First day : Dome des Ecrins - les rouies Second day : Olan nord with a non jumping friend - tête de l’ours - aiguille du plat de la selle - râteau The PGHM found him at the bottom of the north face of aiguille du plat de la selle. We supposed he didn’t clear the ledge… It’s a big lost for the French community. Romain has opened 15 new jumps this summer in les Ecrins.</t>
  </si>
  <si>
    <t>BFL490</t>
  </si>
  <si>
    <t>Asturian, Spain</t>
  </si>
  <si>
    <t>Wingsuit slow flight and late pull</t>
  </si>
  <si>
    <t>The jumper flew his wingsuit too slowly (near stall), failed to follow the planned flight path along the wall for thermal assistance, and lost altitude awareness, resulting in an emergency low pull that was too late to prevent fatal impact. The narrative explicitly identifies flying near stall speed, taking a longer flight path, and lacking altitude awareness as root causes. These represent decision and skill-based errors in wingsuit flight management.</t>
  </si>
  <si>
    <t>We started the hike at 6:30h, reaching the top at 10:30h. Conditions were perfect, the wall is facing east so we had already good thermals.
The exit is at the top of a high and vertical wall, right at the center of a big bowl from an antic glacier circus. The jump can be broken down in two key sections, where the main landings are located. The first part involves an 800m long flat section with different good landing options, this is where you land after a tracksuit jump. The second section requires crossing an uphill talus and a forest area to reach bigger landing zones, closer to where the car is parked.
We discussed with Fiyi the flight patterns and the different landing options he could probably reach. Basically, before or after a trees/forest section with a higher hill in between. The second section would require flying along/near the left wall, this way the flight distance would be shorter but also taking advantage of the lift generated by the thermals.
Fiyi had previously jumped in this location with the tracksuit, landing in the first section. Being this the most conservative option in case of bad exit or lack of performance during flight.
Fiyi jumped at 10:50am, having a clean and symmetrical exit. However, seconds later he started flattening out, losing gradually the forward speed. He also flew through the middle of the valley, not taking advantage of the wall thermals but also increasing the flight distance to reach any landing from the second section. After 12 seconds we lost visual contact with him, assuming he would have reached the second section, or some small landings in the area.
We tried to contact Fiyi, but there was no phone signal in the area, then we waited about 1.5h near the village, which is the time it normally takes to walk down from any intermediate landing. Then, we walked up to find him expecting he had a bad landing and could be stuck in tree. After 1h of searching and not getting any response from him we called the emergency services. It took them about 2-3h to find his body wrapped with his canopy. Fiyi impacted in the forest area, right in between the two main landing zones. The injuries of the impact caused an instant death, as per the emergency services feedback.
Fiyi’s camera hasn’t been found yet, however other ground images revealed that he managed to pull seconds before the impact, right after crossing the hill before the forest.
Route cause of the accident:
Fiyi didn’t have yet the experience to assess the speed range of the suit, nor to realize he was flying too close to the stall point. Also, didn’t take advantage of the thermals close to the wall, which also made him fling the longer distance to reach the distant landing areas. But the most important part is that he lacked complete awareness of the safety altitude, being probably too much focused on reaching the second landing area of the jump.
Fiyi was a great and unique individual, lovely person with high energy and motivation. He will be very much missed. Fly free my friend.
Unknown at this stage we are awaiting reports from the Spanish community.https://www.lavozdeasturias.es/.../0003172443823247076547...</t>
  </si>
  <si>
    <t>BFL491</t>
  </si>
  <si>
    <t>2024-08-30</t>
  </si>
  <si>
    <t>Aosta Valley, Italy</t>
  </si>
  <si>
    <t>The narrative states the circumstances are 'Unknown at this stage' and provides only that the jumper died from impact in terminal freefall while proximity flying in a wingsuit. No details are available regarding what specific errors or equipment failures occurred. The possible factors listed (emergency low pull, proximity flying) suggest a scenario but provide insufficient detail to deduce a specific human error pathway or to identify a non-human cause.</t>
  </si>
  <si>
    <t>Unknown at this stage but he is suspected of jumping alone.more details to follow in coming days to weeks.
https://aostasera.it/.../recuperato-il-corpo-senza.../...
https://www.congedatifolgore.com/.../base-jumper.../
https://www.regione.vda.it/notizie/details_f.asp?id=474170</t>
  </si>
  <si>
    <t>BFL492</t>
  </si>
  <si>
    <t>2024-09-04</t>
  </si>
  <si>
    <t>Sierra Nevada, United States of America</t>
  </si>
  <si>
    <t>The jumper impacted terrain approximately 500 ft from the exit and 800 ft below during a wingsuit BASE flight. The guide speculates about possible causes (tinted goggles reducing visibility, inability to turn sharply enough, or intentional proximity flying), but no camera was recovered and no witnesses observed the flight. The narrative does not contain sufficient evidence to definitively identify a human error pathway or to establish a non-human cause. Multiple speculative possibilities exist but none is clearly supported over others.</t>
  </si>
  <si>
    <t>Please note this fatality was professionally guided.Leo and I planned on meeting at the LZ between 5 and 6 pm the day before the jump to scout it out and to put up a windsock. He arrived around 745 pm and was pretty frazzled about the traffic. I know there’s nothing you can do about traffic but it was a little disheartening to see my partner being so late with such a huge mission in front of us. But he made it with a tiny bit of daylight left and we jogged to the LZ and placed the windsock and went for some dinner.At this point I was getting worried about how much rest we would have between laying down at 9pm and our 330am wake up time but 6.5 hrs. seemed ok still. We started in the morning on-time as we had both woken up before our alarms. Had coffee and a tiny bit of breakfast and set out. The hike took around 5 hours and we had a wonderful time talking about life. It was an easy pace and he kept apologizing for being so slow but I assured him that the pace was fine and we were in absolutely no rush.We stopped a few times, ate an early lunch on top, and continued to the crux of the mission to where there are fixed ropes to get out to the exit. Leo did well on this section and we made a smooth passing to the exit point. Once we did make it to the exit Leo displayed some fatigue gearing up.At this spot, I gear up with my climbing harness on under my rig and I’m always connected to the rope with 2 straps and carabiners due to the exposure on all sides. His lack of experience gearing up with his chosen setup on a small precipice was starting to wear on him. Again he kept apologizing for his endurance capabilities and I kept assuring him that it was ok and we still had plenty of time. Once he finished his gear up he turned on his GoPros and said ok let’s doit. That’s when I noticed his chest strap was undone. He was extremely embarrassed and apologized again. I’ve been doing this activity for over a decade and caught a few pieces of missing gear and it’s not that big of a deal to me but it does show that he’s forgotten to give himself a basic gear check.After he did his chest strap he requested a gear check. I asked him about his leg straps and he immediately was ashamed again because apparently they were not tightened up. He then took his climbing protection off to tighten his leg straps and I reminded him to stay attached to the rope until he was completely ready to jump. It is a 4000 ft hike from 8000ft to 12000 ft, and with that, the oxygen is thin. I’m sure this played a factor on his mind and body. After he finished his final gear check and we were both confident that it was done properly we took a 15-20 minute breather to let him collect himself. And when he was ready, I jumped first.Our protocol was that if he was going to be longer than 10 minutes to radio down to me and let me know the situation since there is no cell service in the LZ and you cannot see the exit point from there either. When I landed I turned on my radio and started my timer but I immediately had a bad feeling. Especially after 5 minutes, and then 10, and the 15. At 23 minutes I realized that I needed to get to cell service and contact the Sherriff.On my hustle out, I somehow saw 2 skydiving friends that were camping there and they helped me get to cell service. Once we got service we didn’t need to call because there was a Sherriff on a traffic stop just ahead of us. The deputy did a wonderful job, had a helicopter there within an hour, and within 5 minutes of searching they found him. From the lat and long that the SAR sent me, he came to rest about 500 ft away from the exit and 800 ft down and on the opposite side of the gully from the exit point which leads me to believe that his start was fine.Usually it takes 8-15 seconds to get 500 feet away from the exit which also leads me to believe that he was flying. There is a right turn on the exit and he ended up on the left side of the gully so I wonder if he wasn’t able to turn sharp enough or was trying to fly close to the terrain. Leo chose to wear tinted ski goggles and I wonder if this played a roll in his judgement because of the dark color of the rock and the forming cloud overhead blocking the light from the sun, preventing him from seeing exactly where he was flying. I was told there was no camera recovered so we will never know exactly what happened unless it is recovered.Leo was experienced and aware of the risks and the numbers. He’d been asking about the Sierra for years and was a goal of his.Leo was also a friend of mine.</t>
  </si>
  <si>
    <t>BFL493</t>
  </si>
  <si>
    <t>The jumper died from impact in terminal freefall, meaning the parachute was never deployed. The narrative provides only external news links and no details about what occurred during the jump — whether there was a deployment attempt, equipment malfunction, loss of consciousness, tracking failure, or other factor. With no information about possible factors, weather, or witness accounts of the sequence of events, there is insufficient information to determine whether human error or another cause led to the closed-container impact.</t>
  </si>
  <si>
    <t>https://www.gaeta.it/tragico-incidente-a-taibon-agordino-trovato-il-corpo-di-un-base-jumper-inglese-di-33-anni
https://www.repubblica.it/cronaca/2024/09/04/news/belluno_base_jumper_si_lancia_dal_monte_civetta_e_si_schianta_a_terra-423479128/?fbclid=IwY2xjawFGRU1leHRuA2FlbQIxMAABHRNfJzK0sShnkVyTqiHintxNF2Fwk4HnwCE-nB29205HU_665ZK3spBmLg_aem_lx5A2BsfS2J02GzGJsQfIg
https://corrieredelveneto.corriere.it/notizie/belluno/cronaca/24_settembre_04/belluno-un-altro-base-jumper-perde-la-vita-gettandosi-dal-civetta-con-la-tuta-alare-aveva-33-anni-3eecb88d-4924-4ab7-8b27-5ccd8a925xlk.shtml?refresh_ce</t>
  </si>
  <si>
    <t>BFL494</t>
  </si>
  <si>
    <t>2024-09-08</t>
  </si>
  <si>
    <t>Korenici, Croatia</t>
  </si>
  <si>
    <t>Aggressive low turn into ground</t>
  </si>
  <si>
    <t>After canopy opening with a slight 15-degree off-heading, the jumper released toggles causing a canopy surge, then initiated a strong left toggle turn that developed into an aggressive 270-degree rotation resulting in high-speed ground impact. The narrative explicitly describes a continued, increasingly aggressive turning maneuver at insufficient altitude, commonly referred to as 'hooking it in,' which constitutes a clear decision/skill error.</t>
  </si>
  <si>
    <t>Please note this fatality was professionally guided.
Fatality ReportName: James AllenDate: September 8, 2024Location: Limska Draga BridgeExperience:Over 1,500 skydives25 BASE jumpsEquipment Used:BASE gear: Hybrid Alien, OSP 2, 285Full-face helmet: Cookie G4 (CE rated)Hiking bootsBackground:The jumper was an experienced skydiver and current BASE jumper. Earlier in the day, he performed a successful Pilot Chute Assist (PCA) jump under good weather conditions, executing a clean exit and demonstrating good canopy control from opening to landing.This was his third time jumping at Limska Draga Bridge and his second visit to the site this year. He was preparing for an upcoming jump in Italy at Monte Brento in a few days.Incident Details:Time of fatal jump: 16:16Weather:Overcast with a low-pressure system approachingMild crosswind at the exit pointLight catabatic wind at landingConditions were considered safe for jumpingThe jumper exited the bridge with a handheld pilot chute, performing a one-second delay. His exit was stable and textbook, with a proper release of the pilot chute and a controlled body position during the opening sequence. The canopy deployed at the correct altitude, with a slight 15-degree off-heading to the right, directly above the landing area.Canopy Flight and Impact:Upon opening, the jumper had the canopy in a deep brake configuration. After releasing the toggles, the canopy surged, and he initiated a strong left-hand toggle turn, veering away from the landing area and towards a gravel road. He continued the left turn, resulting in an aggressive 270-degree rotation before impact.At the 180-degree point of the turn, his legs brushed lightly against a tree. By the 270-degree mark, he impacted the edge of the road and rocks, with the canopy settling in nearby bushes. The final 90 degrees of the turn occurred at a very fast speed.Immediate Response:Within 10 seconds, a ground crew member reached him and began administering first aid while calling for an ambulance.The jumper was conscious but in shock, clutching his left leg. Initial assessment indicated a likely broken left femur and a fractured right wrist, with feeling still present in both legs. He reported difficulty breathing but did not appear to be in immediate respiratory distress. There was concern about possible internal injuries due to the severe impact.The ambulance arrived within 20 minutes, and paramedics took over care. Upon examination, they found no signs of broken ribs or external bruising to suggest internal injuries. He remained conscious as he was placed on a stretcher and transported to the hospital.Outcome:Later, it was reported that the jumper had passed away. The cause of death is still pending the results of an autopsy. This report will be updated once that information becomes available.Conclusion:Although the crosswind at the exit was mild, the jumper had indicated plans to make a left turn to avoid the trees on the right side. He was offered a PCA, which he declined. From the initial canopy surge after releasing the toggles to the moment of impact, it appears the jumper was focused on returning to the main landing area and continued turning despite the increasing aggressiveness of the maneuver.In summary, the jumper’s decision to continue the turn led to a high-speed impact, commonly referred to as "hooking it in.”https://dnevnik.hr/.../drzavljanin-ujedinjenog...
https://dnevnik.hr/vijesti/crna-kronika/drzavljanin-ujedinjenog-kraljevstva-preminuo-je-nakon-skoka-s-vijadukta-limska-draga---867798.html?fbclid=IwY2xjawFLi9xleHRuA2FlbQIxMQABHc8-ulWLtJZHsKzJ41PSi-IVgb9S4Ll6nrZ_Rn4qXg1_4ggoubd2UmYtZw_aem_5FkXv4yyDCxHN5saaWQJBQ</t>
  </si>
  <si>
    <t>BFL495</t>
  </si>
  <si>
    <t>2024-09-10</t>
  </si>
  <si>
    <t>Wingsuit terrain impact from poor flight planning</t>
  </si>
  <si>
    <t>The jumper flew a flat, highly committed wingsuit line at an unfamiliar site on only his second jump there, with approximately 20 WS BASE jumps total. He flew near stall speed without maintaining adequate airspeed, made a right turn that consumed his remaining altitude and energy, and impacted terrain. Multiple human errors are evident: flying a committed proximity line without adequate site knowledge, flying too slowly (near stall), making a turn that eliminated remaining margin, and insufficient preparation and progression for the flight attempted.</t>
  </si>
  <si>
    <t>201C1, 202P, 203T</t>
  </si>
  <si>
    <t>['Altitude awareness', 'Loss of speed-glide', 'Not enough separation from object', 'Proximity flying']</t>
  </si>
  <si>
    <t>Our trip to Lecco started Monday September 9th. The first half of the day we spent just hiking to the exit with no gear. I just wanted to laser a few points and check everything out. We then spent the majority of the day eating too much food in town and hanging around the landing area until around sunset time. Which is when the winds had finally calmed down.At around 6:30pm Monday, we made our first jump at Forcellino. Winds were inconsistent but manageable. After some time on exit myself and 2nd jumper did a 2-way flying high and just getting a feel for the area. Kimball exited next, followed by another wingsuiter and finally a onesie.Upon opening I realized Kimball was substantially lower and landing before me even though I had previously exited 1-2 minutes prior. I didn't think much of it as I was focused on the landing area and making sure everyone had made it safe.That evening we all went for dinner together and spoke about going to sleep early so we could wake up, eat and make 2 jumps the following day.The Next Day: We started the morning at around 10:30am at a coffee shop in Lecco to eat pastries and coffee. We were in absolutely no rush to get to the exit as the conditions were perfect, there were no winds which was a relief as yesterday we were not so lucky. After finishing up. We set out to stage Kimball's car at the landing area and drive up in one car all together for this first load. After about a 30 minute drive to the top of Piani Resinelli parking lot. We got all of our gear and then began the hike at around 12:10pm. We arrived at the exit point at around 12:35pm having taken our time and just talked the whole hike up.Upon getting to the exit point. The great conditions were a relief in comparison to yesterday. We were stoked and so grateful to all be at this exit point together in Italy. After thinking about the process of gearing up and talking about our plan for the jump it now occurs to me that Kimball had not said much, other than he wanted to fly left and go for his own line.The 1st jumper of our group was slider off who I pca'd. Then Kimball was the second to exit in front of me. He had a slightly head high exit but was flying left pretty swiftly in about 2 seconds from having exited.From there I could no longer see him. I proceeded to gear up and talk about our flight plan and exit as I was doing a 2 way with another jumper. Our plan was just to get together, do some freestyle and pull high above the landing area. Once I was under canopy, I saw the 4th and final wingsuiter's exit flight and deployment.After looking around I saw everyone coming into land but was not aware of Kimball's canopy because I thought he had already landed. Upon landing it had set in that something was wrong and Kimball's location was unknown. No one had seen his canopy. About 20-30 minutes of no contact with Kimball I decided to call the emergency line and a helicopter arrived about 30 minutes later. The search took a long time involving communication with the helicopter to try and pinpoint where he was with FindmyPhone as well a thermal scanner and an additional crew on foot. At around 4pm it was confirmed they had found kimball.Kimball had not been to this jump before except for the evening prior. Kimball had not looked at any previous videos, google earth or any other tools before the first jump. After coming across the video of his previous flight and the way he flew the first jump with such little awareness of the actual terrain below it was hard to understand what more he wanted to do on this jump.Kimball spoke about cutting his trip short and getting back to the US. Which leads me to believe this was one of the last jumps of his trip here and it might have influenced the way he flew. Based on the 360 footage from the slider down jumper who had exited before Kimball, he can be seen making a quick left turn, traversing across as high as possible without maintaining much speed. Seemed like he was almost at the stall point, but just barely makes it over the second ridge. Same ridge as the previous day but significantly higher. He then proceeds to make a right turn that cost him everything. It seemed like he was relying on the potential steepness of terrain to relieve him of his glide over to the second ridge.After about 6 seconds of having made the right turn, pretty blind to what was coming next Kimball can be seen impacting and then disappearing behind the ridge.The major failures this day:1. Jumping an exit for the first time and flying a flat highly committed line. Not much more he could do on his second jump there.2. Kimball was willing to take risks and seemed okay with the unknown.3. Kimball chose to jump into a situation where he hoped it would all work out in his favour without having any repetition or consistency.4. This was probably around Kimball's 20th wingsuit base jump. Not aware of this until now.5. I should have been more aware of his flying and wish I had spoken with him about his flight plan before ever walking up to that exit.Still currently dealing with the local police to retrieve the footage of his last jump from his GoPro to give more a detailed report.Kimball is one of the nicest people I have ever met, and it felt like there wasn't a single thing you couldn't talk about with him. He was as real as they come and it is a shame to see complacency and lack of preparation get someone so capable.
https://www.dailymail.co.uk/.../american-base-jumper...
https://www.tgcom24.mediaset.it/.../abbadia-lariana-lecco...
https://www.ilgiorno.it/.../base-jumper-morto-abbadia...
https://milano.repubblica.it/.../base_jumper_morto.../...
https://www.today.it/cronaca/base-jumper-morto-lecco.html</t>
  </si>
  <si>
    <t>BFL496</t>
  </si>
  <si>
    <t>2024-09-21</t>
  </si>
  <si>
    <t>Mis-pull leading to impact</t>
  </si>
  <si>
    <t>The jumper was unable to locate and deploy his pilot chute during wingsuit flight, resulting in a full-speed impact (total malfunction). The narrative identifies insufficient preparation and experience for wingsuit BASE jumping at a technical site, with the proximate cause being a failed deployment attempt (mis-pull). This represents human error in both the deployment execution and the progression decisions leading to the jump.</t>
  </si>
  <si>
    <t>Philippe had a clean exit.He had a clean flight.He flew in direction of the main road.He didn't pull his pilot chute.He impacted full speed, on the main road, in the dense traffic.
Philippe is dead on impact.People are under shock. Mostly the lady who had to violently pull not to drive on his body. Or the two shaken up fire fighters with ten years of duty, who described to me the action of going for a heart massage, and the dread of feeling the concrete directly through Philippe's thorax... Or the sensation of taking him out of his wingsuit, feeling every bone of him, shattered every 2 cm.That. And more.
That is not intended to be a trial against Philippe. Who was a delightful human being I am sure of that. This is intended to be a warning against dangerous behaviours that go against all base jumping ethics. That are killing the sport and have risked to kill inocent lives all together.That is written to try waking up people from the denial illness that is spreading out without control in this activity.
As it has been stated before, Philippe has been warned multiple time for his impreparation by many experienced jumpers.Last occurence was on a long facebook debate 3 weeks ago. (On the french PIAF page).
Philippe was around 90 basejumps old in 4 years, almost all slick and slider off, when he decided to jump a Freak wingsuit.He declared 200 wingsuit skydives.He has been admitted to a base jumping wingsuiting course in June this year and began to jump his freak in the mountains.He jumped in Norway, Brento and Lauterbrunnen, allegedly totalizing 40 recent WS flights.
Then he arrived in Magland a few days ago and had his accident on his second day (and flight) from here (tête Louis Philippe).
Magland is much more technical than what he was used to. It is alltogether shorter, more positive, the terrain is visually present and civilisation is right there under. (Main road, highway, train line plus electrical cables)
In the precipitation Philippe most likely didn't find his pilote chute, panicked, never found it, and hit the ground.
There is much more to say on all that story. Like for example how Saturday was the local annual feast in Magland, and our base jump association was to take a stand there, to meet the citizens and inform on all the energy we are putting on making the sport safer and the cohabitation neater...
Since the accident implies the public area, the Prefect has been informed. The legal consequences are yet to be known.
In one year 3 men died here in Magland.All three people didn't listen to the warnings of the experienced jumpers.
Please listen to the warnings.Experienced jumpers have seen people die.They recognise the patterns.The patterns don't lie.
Please inform yourself with local jumpers on dangers and flight trajectories for each new exit. Read the website, talk to people. Learn the ethics.
Surround yourself with healthy OG jumpers.
Remember that going in will have heavy consequences on your family, your friends, the rescue team, the sport, etc.
Rest in peace Philippe. We send our most sincere condolences to your friends, wife and family.
We are sad.</t>
  </si>
  <si>
    <t>BFL497</t>
  </si>
  <si>
    <t>2024-09-27</t>
  </si>
  <si>
    <t>Willard - Utah, United States of America</t>
  </si>
  <si>
    <t>Wingsuit terrain flight misjudgment</t>
  </si>
  <si>
    <t>The jumper attempted a wingsuit terrain flight requiring a ridge crossover at an exit he had never jumped before, with only 1 BASE season and 160 BASE jumps. The narrative explicitly states he would have benefited from more experience before attempting this flight, and the exit 'requires specific conditions to safely reach the main landing area and the ability to be decisive about committing to a ridge crossover or a parachute deployment over rough terrain.' The jumper's decision to attempt this technically demanding flight without sufficient site-specific experience, combined with possible wind conditions reducing glide performance below what was needed to clear the ridge, constitutes human error in flight planning and execution.</t>
  </si>
  <si>
    <t>['180 Offheading', 'Altitude awareness', 'Canopy Entanglement', 'Emergency low pull']</t>
  </si>
  <si>
    <t>Jonathan messaged me on Thursday to mention he was going to check out the Big Willard Platform exit. I asked him if he was aware of the prior incident at that exit where a very talented jumper had a close call trying to fly out the center of the valley. He was aware of the incident.The next day he messaged me at 10:39am to say he was looking for the Big Willard Platform exit. By 11:31am he had found the higher exit that has a rope and awkward footing. He shared that he felt the conditions were okay already, but he wanted to wait for boosting updraft. He sent me photos of the spot he was at as well as a lower spot with better footing he found earlier. He shared he intended to go from the higher spot. He sent me a video of another flyer going from the lower exit, flying closer to the center of the valley, and appearing to fly max glide to cross a much lower point on the ridge.I shared that I thought that pilot missed out on a bunch of available lift by not hugging the wall tighter off exit. At 12:20pm he messaged that he was gearing up to and would be jumping in a minute, and said he would talk to me when he gets down. Jonathan and I had never met in person but he would write to me about his adventures searching for new exits. This was the first time he had messaged indicating that he would check in upon landing; I was surprised but told him to enjoy his flight. At 12:42pm I sent him an “All good?”.At 1:12pm I called his employer but did not receive an answer. At 1:14pm I called a good friend of his to check if there was anyone else he might message to inform about a jump. At 1:21pm I received a call back from his employer and explained I was trying to find if there was anyone else he would normally message about his jump that I could double check with before calling the Willard police. During that call we agreed it was time and would not hurt to call the police. I called the police at 1:32pm and relayed what happened and that he might be injured in the canyon.Simultaneously, his employer contacted local search and rescue via a staff member who participates on SAR. A friend and co-worker located his car by roughly 2pm without a sign of Jonathan. He then communicated he would begin traveling up the canyon to search for Jonathan. I made a diagram of three possible flight paths Jonathan may have taken and sent it to the Willard Sergeant and Jonathan’s employer who had contact with SAR.At 3:30pm I received a call from the Willard Sergeant indicating they had a bird in the air searching for Jonathan. I looked through his videos and found a screen grab of what was likely the canopy he’d have used for this flight, and sent a description of his mountain wingsuit to the Willard Sergeant and his employer who had contact with SAR. His coworker called me at 8:17pm to indicate that Jonathan had been found deceased and recovered via hoist. I received a separate call from a police officer at 8:55pm informing me of the same and they had recovered video and watched the video.A description of the video should be included here once a jumper has reviewed the video:�� &lt;TO BE COMPLETED&gt;� While waiting for Jonathan’s message, I checked the forecast and weather report for the exit.Winds were reported at 5-6kmh out of the west with gusts up to 21kmh. The ideal wind for this exit is out of the southwest. The ridge to crossover runs on the southwest to northeast line and the critical crossover section of that ridge is an east-facing wall. It’s possible Jonathan had a sight picture showing him clearing the ridge and then hit cool sinky air from west wind just before crossing the ridge.Jonathan had recently been opening exits in Lamoille and the Wasatch and was flying proficiently. This exit requires specific conditions to safely reach the main landing area and the ability to be decisive about committing to a ridge crossover or a parachute deployment over rough terrain.While Jonathan was a talented flyer, it’s likely he would have benefited from more experience before attempting this flight to inform the intuition needed for making such a quick judgement call off exit.</t>
  </si>
  <si>
    <t>BFL498</t>
  </si>
  <si>
    <t>2024-09-29</t>
  </si>
  <si>
    <t>The jumper flew a conservative line and initiated deployment at adequate altitude, but could not extract his pilot chute. The narrative lists multiple possible factors (late PC extraction, gear failure, health issues, PC entanglement/in tow) without confirming any single cause. The 360 video was distorted and did not allow comfortable analysis. The PC was found out with a folded bridle, but whether this resulted from a human error (e.g., inability to locate BOC, weak throw) or an equipment malfunction independent of human error cannot be determined from the available information.</t>
  </si>
  <si>
    <t>['Extracted Pilot Chute too late', 'Gear failure', 'Health issues', 'Pilot Chute Entanglement - PC in tow']</t>
  </si>
  <si>
    <t>BFL#: 498 (27th of the year)Name: Filippo GuenzaniDate: 29th September 2024Nationality: ItalianLocation: Varan (no contact) - Aiguille de Varan FranceObject Type: EarthCOD: UnknownClothes/Suit: Aura 4 WingsuitGear/Parachute: UnknownAge: 38Skydive UnknownBASE Jumps: UnknownYears/Seasons: UnknownTime of day: 10:20amExit Altitude: 8038 feet (2450 metres)Conditions: Blue Skies but Conditions were 7° in the valley, so plus 2000m it’s below zero.Winds: 10kmh S wind at the exit, I encountered E wind 1400m below.Description:I am sorry to announce the death of Filippo Guenzani (name to be modified if not properly spelled), known as Filippo LeQuerce on Instagram. I wasn’t directly a witness, but I was on site and was called by the PGHM to help provide information to the rescue team about the jump and potential flight lines. I don’t know Filippo nor saw the flight; but I was on another exit 200m south at the time and saw his friends taking off with speed wings.What we knew while searching for him: He exited around 10h20 alone from the “classic” exit of Varan, followed by his speed flying friends, taking off from the Aiguilles Rouges, above, and who saw him passing below them, then lost visual as they focused on their line. He then was missing at the landing and was not responding on his phone. On the location-sharing app they had initiated before the jump, his phone was somewhere close to the exit.
Weather condition: Blue sky, 10kmh S wind at the exit, I encountered E wind 1400m below.-His video was recovered by the rescue team, and I could see it, but since they didn’t have software to read the 360 file on site, I could only access a dual fisheye view, which is distorted and couldn’t allow for comfortable analysis, and it needs to be taken into consideration reading what follows : He had a normal and stable exit followed by a safe flight, the line everyone does from the exit to the Ilettes lake (which is the landing). He flew pretty high on a very conservative line, all along. He initiated a flare then a pull 800m before the landing, pretty high according to the video. He couldn’t get anything out and got on his back almost instantly. He managed to get on his belly, then lost control again, then spins downwards to where he hit the ground and remained until the rescue team arrived. Between his first pull attempt and the ground, 14s elapsed, of which 7s spinning down. We could see him attempting again to reach his BOC a couple times but can’t tell if he tried more because of the 360 distortion and the angle of his camera. His pc was found out with a folded bridle, most probably out on impact.We had a week ago BFL #496 happening a few km away on a national road. 
From what I saw and was told, he most probably was flying an Aura4; he had an adrenalineBase container. I let the ones knowing him, completing the experience section.I’m really sad for his family and friends; he played it safe until he tried to open his parachute.
https://www.instagram.com/filippolequerce/
https://www.youtube.com/@filippoguenzani</t>
  </si>
  <si>
    <t>BFL499</t>
  </si>
  <si>
    <t>2024-10-04</t>
  </si>
  <si>
    <t>Sumo 3 (Tracking Suit)</t>
  </si>
  <si>
    <t>The jumper opened with a significant off-heading (120-150° to the right) combined with line twists and insufficient forward separation from the cliff, resulting in object strike. The possible factors of inadequate tracking/separation and the resulting inability to correct the off-heading before striking the wall indicate human error in the deployment sequence. The conditions (medium winds, rain) were observable before the jump, and the decision to jump in those conditions contributed to the outcome.</t>
  </si>
  <si>
    <t>We were a group of four jumpers on our way to High Nose. We took the 14:38 gondola from Lauterbrunnen and met Nicolas in the gondola. He told us he was planning to jump Nose 2. He seemed in good spirits, eager to jump after two days of rain. We exchanged telephone numbers to coordinate jumps, as we intended to jump from different exits.He started the hike alone, a few minutes before us. That was the last time we saw him. All four of us had uneventful jumps. We stashed our gear and started walking towards Lauterbrunnen approximately 10 minutes after jumping.Just after we started walking, we heard Nicolas’ canopy open. We turned around and saw that he had opened with line twists at a reasonable altitude. In addition to the line twists, he had an off-heading of between 120° and 150° to the right. From the distance, it was hard to tell the exact degree of the off-heading or the number of line twists, but it looked like more than one and above the risers.After opening, he tried to correct the off heading by turning to the left, but it wasn’t enough, and he hit the cliff the first time. It wasn’t a hard hit, so we were hopeful that he would clear it. But due to an offset on his risers or an input from him, the canopy turned to the right again in a steeper turn. This resulted in a more violent second impact, likely fatal.From then we didn’t see any further inputs. He fell the remaining 50-60 meters with a collapsing canopy with multiple smaller hits and came to rest at where the forest meets the cliff. Two of us ran to him, arriving in less than 10 minutes, but found him unconscious with no signs of life. We began CPR immediately and continued until the rescue helicopter arrived.As we didn’t witness the actual jump, we can only speculate on what happened. The distance from the wall after opening suggests he didn’t track very far, but far enough to assume he didn’t fall off the exit unintentionally due to possible wet conditions. We cannot say if there was any camera on this jump. The Helmet had an anti-snag mount, but due to the circumstances we didn’t look closer if there were broken parts on the Helmet.We don’t have any information about his age, experience of base and skydiving. If you have any information, please feel free to reach out and fill in the gaps. Even though we didn’t know Nicolas, he seemed like a nice and calm person. Our condolences and thoughts are with his family and friends.</t>
  </si>
  <si>
    <t>BFL500</t>
  </si>
  <si>
    <t>2024-10-19</t>
  </si>
  <si>
    <t>The jumper was found dead near the exit after an impact at subterminal speed. The narrative focuses almost entirely on the safety message about informing others of jump plans. Possible factors listed (katabatic airflow, loss of speed-glide, insufficient separation) are speculative labels without supporting detail in the narrative. There is no description of the exit, flight, or specific conditions that would allow identification of a human error pathway or confirmation of an unforeseeable environmental cause. The information is insufficient to support either 001HE or 002OC.</t>
  </si>
  <si>
    <t>['Katabatic air flow', 'Loss of speed-glide', 'Not enough separation from object']</t>
  </si>
  <si>
    <t>Due to this jumper jumper alone, no one knew of his whereabouts and he has only just been discovered.
A message from the SBA:Unfortunately, it happens again and again that jumpers have accidents without anyone knowing where they are. This fatality is another example. We have made it a habit to send a message to someone at the exit if we are alone in the mountains. This message can look like this: “I'm at the Ecstasy Board (High Eiger, Grindelwald). I'll get back to you after landing (in about 10 minutes).” Make sure that your phone is sufficiently charged. If you jump in an area with a poor signal, write: “I'll get back to you in about 1 hour.” This will give you enough time to return to a populated area and no one will worry unnecessarily.Most of us tend to believe that death only strikes others. This is an illusion.
Be respectful to your beloved ones and inform someone about the planned jump. If you don’t, your selfishness can put your family in a very unpleasant situation. They will suffer terribly because they are desperate to know where you are, and they may have to pay for horrendous search and rescue costs.Imagine your girlfriend/boyfriend goes hiking - you have no idea where - and you don't hear from her for a few days. You could call the police, but what do you tell them? That your girlfriend is hiking somewhere in Switzerland? That is not a comfortable situation.
Check in before the jump - check out after landing. It's a small thing, but it helps a lot.</t>
  </si>
  <si>
    <t>BFL501</t>
  </si>
  <si>
    <t>2024-11-07</t>
  </si>
  <si>
    <t>Loss of control after wingsuit gainer</t>
  </si>
  <si>
    <t>The jumper performed an aerial (gainer) with a wingsuit and lost control of the suit after the rotation, experiencing strong uncontrolled turns before impacting the cliff in terminal freefall. Performing aerials with a wingsuit is an advanced technique that exponentially increases danger, and the loss of control following the rotation constitutes a human error pathway.</t>
  </si>
  <si>
    <t>['Aerials', 'Unstable exit']</t>
  </si>
  <si>
    <t>We were on the wingsuit exit of Mt Granier. In the previous days, Nico was used to jumping a gainer with his wingsuit and did it also on this jump. The rotation seemed ok (maybe a little bit over rotated but not much).He then didn't manage to control the suit at the end of the rotation. He lost control, did a few left and right strong turns and then hit the cliff.Rescue helicopter was immediately called and found his body quickly under the exit. But they were only able to confirm he was immediately killed by the high speed impact.A more detailed report will come later.</t>
  </si>
  <si>
    <t>BFL502</t>
  </si>
  <si>
    <t>2024-12-05</t>
  </si>
  <si>
    <t>The jumper was performing wingsuit proximity flying and clipped a tree while entering her line, resulting in a fatal spiral into trees. The possible factors listed include 'Altitude awareness' and 'Extracted Pilot Chute too late,' and the cause of death was impact in terminal freefall, indicating the jumper failed to deploy in time. Proximity flying near terrain with insufficient margin and late deployment constitute human errors in judgment and execution.</t>
  </si>
  <si>
    <t>We had a chill morning and met 3 other jumpers at the parking lot at 11.00am. We started hiking around 11.15am or so. Chill hike talked about nothing in particular on the walk. Once we got to our exit we assessed the conditions and decided it was nice to jump.Compton told me more about the jump even though we had talked about the jump quite a bit and walked away from it the day before because it was too windy. We geared up and talked about some flying techniques and different suit shapes.
We called to the other 3 jumpers that were jumping a different exit close by that we were ready. They flew past us, I jumped first and Compton was about 5 seconds behind me. I landed and turned around to only see 3 other canopies in the air and knew things were not good.The others under canopy watching us fly saw what happened and we ran up the mountain to find her, with 1 staying behind to meet SAR. We got to a climbing section that Spencer was comfortable climbing so the 2 of us waited. He found her at rest quickly and waited with her for SAR to get her down.As she was entering her line she clipped a tree and sent her into a hard downward spiral into the trees. It was quick and probably painless.</t>
  </si>
  <si>
    <t>BFL503</t>
  </si>
  <si>
    <t>2024-12-09</t>
  </si>
  <si>
    <t>The narrative reports a 180° off-heading and line twists leading to object strike, but the jumper was alone with no witnesses, and there is insufficient detail to determine why the off-heading occurred or whether a specific human error (packing, body position, site selection, equipment configuration) versus an unforeseeable equipment or environmental factor was responsible. The possible factors listed are outcomes, not confirmed causes, and the evidence does not clearly support either a human error pathway or a non-human cause.</t>
  </si>
  <si>
    <t>Currently we are aware that Matteo was jumping alone, when his friends didn't receive a reply to text messages they sent someone went down to see the landing area and found his canopy hung up low on the cliff, SAR were called and he was found deceased. After finding him deceased they also discovered that he has impacted the cliff multiple times and came to rest at a lower smaller ledge section.
https://www.piazzapinerolese.it/2024/12/09/mobile/leggi-notizia/argomenti/cronaca-21/articolo/si-schianta-contro-una-falesia-morto-il-base-jumper-di-barge-matteo-rodolfo-maranca-3.html?
https://www.piazzapinerolese.it/2024/12/09/mobile/leggi-notizia/argomenti/cronaca-21/articolo/si-schianta-contro-una-falesia-morto-il-base-jumper-di-barge-matteo-rodolfo-maranca-3.html
https://www.gardapost.it/2024/12/09/si-schianta-col-paracadute-tragedia-a-campione/
https://www.bresciatoday.it/cronaca/campione-garda-morto-parapendio-oggi.html</t>
  </si>
  <si>
    <t>BFL504</t>
  </si>
  <si>
    <t>2024-12-17</t>
  </si>
  <si>
    <t>Aragon, Spain</t>
  </si>
  <si>
    <t>Swift 4 (Wingsuit)</t>
  </si>
  <si>
    <t>Wingsuit line selection with degraded start</t>
  </si>
  <si>
    <t>The jumper committed to a more complex flight line (right turn over a shoulder) despite a poor start and progressive speed loss caused by backwind conditions. FlySight data shows constant speed degradation that should have prompted aborting to the simpler straight-line exit, but the jumper continued the planned line until the suit stalled at low altitude near terrain, resulting in an emergency pull with insufficient altitude to fly clear of the slope.</t>
  </si>
  <si>
    <t>201C1, 201C3, 204E</t>
  </si>
  <si>
    <t>['Altitude awareness', 'Extracted Pilot Chute too late', 'Katabatic air flow']</t>
  </si>
  <si>
    <t>FACTORS
Those intrinsic to alpine jumps: fatigue from a long and technical approach and the added discomfort of jumping with equipment
Backwind - which caused descents and further height loss on the recovery arc
Not being aware of the loss of speed
DESCRIPTION OF THE DAY
The plan was to do an alpine jump in Peña Telera, with winter conditions. There was abundant snow in poor conditions that made the approach very uncomfortable. 
We were equipped with winter equipment (ice axe, crampons, sticks, harness and ropes)
It took us about 4 hours to ascend the +1300m.
It was necessary to rappel down about 30m to the exit.
CONDITIONS
Exit clear of snow and ice
Strong back wind, but exit fully protected and without wind
Not too cold
BACKGROUND
Nacho had a lot of experience in this type of alpine jumps and jumping the climbing equipment, with and without a wingsuit.
He already did that exit several times (the first repetition in slick, flying straight with onesie and flying the right line with swift)
The rock drop of the jump is large (250m) although the view is impressive (north face, dark and closed). 
The simplest line for this exit is to fly straight down the channel and open outside. 
There are other lines such as flying to the right and passing at different heights of a shoulder, depending on the suit you are wearing or how high you go. After passing the shoulder, there is a wall that allows you to separate the terrain for the opening and landing on a lake.
DESCRIPTION OF THE ACCIDENT (FLYSIGHT)
We haven't recovered the camera, but we have the flysight information.
His original jump plan, which he had done on other occasions, was to fly right over the shoulder, continue flying to pass the separation wall, open and land by the lake. He jumped in last place.
Analyzing the flysight data, Nacho jumped and followed that plan, starting the right turn from the very beginning, probably without noticing that he did not have a good start (none of the three of us who jumped with him that day had good numbers at the start, probably due to the wind from the back).
From the first moment the FlySight indicates a constant and progressive loss of speed, which Nacho should not have noticed because he continued flying right towards the shoulder instead of aborting the line and redirecting the flight to exit the channel straight. 
Once it was over the shoulder, very close to the ground and with no option to change flight line, the suit stalled. Nacho did an emergency pull and the canopy opened onheading and flew for 4s. We could see the canopy fly from the landing. He lost a lot of height before opening due to the stall of the suit and the opening, so he could not fly out of that slope and touched the ground. 
We assume that he rolled down the slope without removing zippers, which meant that he could not protect himself in the fall.
CONCLUSIONS
Make plan A always as the easiest line to fly. While in flight, we should evaluate if we can enter a more complicated line instead of evaluating if we have to abort to make a simpler plan. We have thousandths of a second to make a decision, if inertia leads us to the simplest plan it is more likely that we can have another opportunity in the future in which we see more clearly entering into a more complicated line. 
Fly fast, flying slow is never a good option. 
When attacking edges, end up passing a little below the height at which you are going. Doing so will make you gain speed and a safety margin.
PARA AMIGOS Y FAMILIA
Fue un día extremadamente feliz, de esos que tenía cada lustro en los que exteriorizaba su buen humor. Durante la subida dijo literalmente: ‘Esto es lo que más me llena’, refiriéndose a ascender una montaña, con condiciones invernales peleonas, con material alpino, acompañado de sus amigos, para luego saltar. 
Fue grande no solo por lo que hacía, teniendo una lista infinita de historias vividas que ni el mejor de los guionistas podría imaginar, sino por ser un AMIGO excepcional al que no le hacía falta ni ser simpático para entrar en nuestros corazones. 
https://www.cartv.es/aragonnoticias/huesca/muere-un-deportista-de-salto-base-cuando-realizaba-la-actividad-en-pena-telera
https://www.instagram.com/cifuentes.nacho/</t>
  </si>
  <si>
    <t>BFL505</t>
  </si>
  <si>
    <t>2025-01-28</t>
  </si>
  <si>
    <t>Sled exit into obstacle</t>
  </si>
  <si>
    <t>The jumper used a sled exit method that deviated from a straight path, striking a protruding rock at the cliff edge. This stopped his forward momentum and caused him to fall onto a ledge approximately 30 meters below, rendering him unconscious and unable to deploy his parachute. The decision to use a sled exit on a path with a known protruding rock and known ledge hazard, in sticky snow conditions with less coverage than previous attempts, constitutes a human error in exit planning and execution.</t>
  </si>
  <si>
    <t>Antony and I went to Dumpster after it had snowed quite a bit. We spent a moment shovelling snow onto the “running exit”. The plan was that I would do a ski base first and Antony would follow shortly after doing a sled-exit with a wingsuit (wooden sled with two metal rails).The snow was sticky, and Antony mentioned that there was less snow than the last time he was there. I jumped first and exited with a lot of speed. Everything went well. Antony went second and I saw him in an unstable body position shortly after the exit. I stayed calm because I knew that Antony had trained to regain stability in wingsuits.But then he showed no sign of making any effort to correct the rather slow spin. His head was resting against his chest as if he was already unconscious. He fell in this position until he hit the bottom of the cliff and came to rest on the talus.Shortly before the jump, I asked Antony what he thought about me doing a front flip on skis. He told me that he was afraid of the first ledge which is about 30 meters below the exit. So, I decided to do a normal exit. When Antony did his first wingsuit sled-exit at Dumpster ( plastic sled, in a sitting position )he came close to this ledge.A day after the accident, I walked down to Dumpster to check the tracks of the sledge and my skis. The tracks of the skis go straight, the tracks of the sled go about 2 meters to the left and end at a rock that’s pointing out at the edge of the cliff. Most likely Antony hit this rock at very low speed and was stopped immediately. He then hit the first ledge and was knocked out. That would explain why he didn't correct his instability and didn’t pull his parachute.The police have found his camera and are still trying to watch the footage. If my theory is wrong, we will update this report.
https://www.instagram.com/antygravity_/?hl=en
https://www.police.be.ch/de/start.html?newsID=944cfd19-10d1-4874-ac48-70f63ae33921
https://www.blick.ch/fr/suisse/oberland-bernois-le-base-jump-a-fait-une-nouvelle-victime-a-lauterbrunnen-id20540210.html
https://mobile.plattformj.ch/artikel/229229/
https://www.nau.ch/news/schweiz/basejumper-in-stechelberg-be-todlich-verungluckt-66900729</t>
  </si>
  <si>
    <t>BFL506</t>
  </si>
  <si>
    <t>2025-03-30</t>
  </si>
  <si>
    <t>Chelan, United States of America</t>
  </si>
  <si>
    <t>TARD exit error causing 180 off-heading</t>
  </si>
  <si>
    <t>The jumper performed a TARD (unpacked deployment) from a cliff exit he had never done a TARD from before, in a cycling crosswind, and appeared rushed and nervous on exit. He experienced an immediate 180-degree off-heading opening and struck the cliff within approximately 2 seconds with no appreciable corrective inputs. The choice to perform an unfamiliar TARD variant at an unfriendly cliff in crosswind conditions, combined with the poor exit execution, constitutes identifiable human error.</t>
  </si>
  <si>
    <t>Squancher had been attempting to do 365 BASE jumps this year. He had gotten behind and was trying to catch up, often doing multiple jumps, sometimes 4 or more, in a day. He had done 80 jumps since January 1st, most of which had been done on this cliff.
Anyone who has spent any time around Chuckles knows he’s a stubborn little bastard. Telling him what to do has significant potential to make him want to do the opposite. Chuck also regularly spoke about his belief that flying larger canopies does not have a major effect on object avoidance if you’re a good pilot and that winds have little effect on heading performance. These two topics were both things he joked about and in my opinion, did not fully believe, but that he would also use to justify his jumps. He often jumped solo in these conditions.
We had done a successful jump earlier in the day and had decided to go to another local exit for a second jump. Conditions on the ground were calm. Up top, there was a 2-5 knot right to left crosswind that was cycling every few minutes. bitzkrieg seemed a little rushed while he prepared his TARD and walked over to the “poised” exit. The exit is slightly uphill, the cliff is not a very friendly one for TARDs, and Smelliot had not done one from this cliff before. He looked nervous on exit and left quietly and without a count. Mr. Peters had an immediate 180 and struck the cliff within 2 seconds or so of exiting. No inputs were appreciable, and he struck the wall several more times, got hung up for a moment, released, and streamered to the talus, rolling down to his final resting point at the very bottom of the talus.
Over the last 12 or so years I have spent with Sir Barstow, these last two have been the happiest, driven, and just generally stoked I have ever seen him. Legend he already was and will continue to be.
Many lessons can be gleaned from this incident almost all of them obvious. If there’s one that I learned long ago it’s this: BASE jumping is delicious poison. Its cost is only recognizable through loss, it's worth is personal, and its point is pointless. The great Chuck Peters knew that through and through. May he haunt the souls of FAA regulators and financial establishments for the rest of time!
Crutches of Hoodie and CrutchesHadlerVPiss Missile
Great way to remember himhttps://vimeo.com/125218080
https://www.kxly.com/news/man-dies-while-base-jumping-in-chelan-county/article_f3480fd3-d783-42fe-b18a-eb3b8d322b78.html?utm_medium=social&amp;utm_source=facebook_4_News_Now&amp;fbclid=IwY2xjawJXIjxleHRuA2FlbQIxMAABHaeZZrOyrHixJ1THvzrXSHzJuIgwyJjRbMhuFM1lFcKPG90XFOHdRyiPXQ_aem_Sb6TbWP90_DrifdQ2di9sA
https://www.yoursourceone.com/columbia_basin/local-man-dies-in-base-jumping-accident-north-of-wenatchee/article_7934b033-38ed-48b1-995b-e221db7bee8c.html?fbclid=IwY2xjawJXIgJleHRuA2FlbQIxMAABHaIJSKzzF7Wrcrn1ppV0wa68UXdY5jJ9LjjMFaeP1h08bi5l42Mov6ty5w_aem_9Mis8-GPEwg9V8I1bpdVgQ
https://www.ncwlife.com/news/entiat-base-jumper-dies-after-parachute-failure/article_7ac01073-934f-46c1-b966-89c175b91049.html
https://www.youtube.com/watch?v=QjiHUB7FZd4
https://www.yoursourceone.com/columbia_basin/local-man-dies-in-base-jumping-accident-north-of-wenatchee/article_7934b033-38ed-48b1-995b-e221db7bee8c.html</t>
  </si>
  <si>
    <t>BFL507</t>
  </si>
  <si>
    <t>2025-04-05</t>
  </si>
  <si>
    <t>Jumped non-jumpable exit</t>
  </si>
  <si>
    <t>The jumper exited from a cliff profile that post-accident measurements confirmed was non-jumpable for wingsuit flight. He either mistook this location for the classic exit or attempted to open a new exit without adequately assessing the terrain profile, constituting a decision error. He struck the snow talus 4.5 seconds after exit due to insufficient vertical relief and forward separation.</t>
  </si>
  <si>
    <t>201C1, 202P1, 203T</t>
  </si>
  <si>
    <t>Fabrice was jumping alone when the accident happened.He reached the exit by skiing up from the top of the last cable car (2700m) and leave his ski gear on the glacier before the rock part.As he was missing for 2 days, another jumper sounded the emergency.His body was found a hundred meters northeast from the "classic" exit, close to the summit of the Petite Aiguille Verte (3512m) by the Chamonix rescue unit.His go pro was found.He jumped from a 60m vertical pillar, followed by a steep snow talus and a gorge.Fabrice made his countdown but waited 11 seconds grunting before jumping.He started flying and hit the snow talus 4,5 seconds later, less than 100m below.Measures taken the days after shows a non-jumpable cliff profile.We don't know if he tried to open a new exit or if he thought the classic exit was here, but we suppose he didn't really measure the place.Fabrice knew this place from being there twice without his rig.Despite having a good experience of high alpine wingsuit jumps and a good alpinism curriculum, he was not current on opening exits.Fabrice was known as a pretty conservative jumper, more as a safe jumper.As he was a discreet and often a lonely jumper, we miss elements to have a complete analyze of the factors driving him to do this bad decision making.Fabrice was really appreciated by the community and will be missed.
https://france3-regions.francetvinfo.fr/auvergne-rhone-alpes/haute-savoie/chamonix/un-homme-de-40-ans-meurt-apres-un-accident-de-base-jump-dans-le-massif-du-mont-blanc-3135067.html?fbclid=IwY2xjawJi0qtleHRuA2FlbQIxMAABHkcfp0OsSbOv1gsHH_VIico5noeRoQ8nJylv07jaInifpeIB6-TE59x2-fJ3_aem_UjHy94TpFOxFA6bBhUGrhQ
https://www.francebleu.fr/infos/faits-divers-justice/haute-savoie-un-homme-decede-lors-d-un-accident-de-wingsuit-dans-le-mont-blanc-1254987?fbclid=IwY2xjawJi0xdleHRuA2FlbQIxMAABHiJn5pz8PcRtQq6zuxWysFHH0lTG8JVz1VTghMnyigDCfesnMxw1ECwIcB_M_aem_kJBxckbPAatc_JJKJifqNQ</t>
  </si>
  <si>
    <t>BFL508</t>
  </si>
  <si>
    <t>2025-04-12</t>
  </si>
  <si>
    <t>The narrative states a head-down exit, early pull around 4-5 seconds, and a 180 off-heading resulting in cliff strike. However, the narrative provides insufficient detail to determine why the off-heading occurred. A head-down exit is not inherently an error for an experienced wingsuit/tracking pilot, and the brief description does not clarify whether the off-heading resulted from a specific human error (body position at deployment, packing issue, equipment problem) or from factors outside the jumper's control. Without clearer information identifying the causal mechanism, neither 001HE nor 002OC can be adequately supported.</t>
  </si>
  <si>
    <t>head down exitEarly pull around 4 5sQuick cliff strike
Julien was a constant clown, a joker, an acme cartoon character He has bitten the life like few of us,Practiced jazz flying saxophone head down, circus, and everything he could.</t>
  </si>
  <si>
    <t>BFL509</t>
  </si>
  <si>
    <t>2025-04-25</t>
  </si>
  <si>
    <t>Conan (Wingsuit)</t>
  </si>
  <si>
    <t>The jumper was found 150m from the exit with no camera footage and no flight sight recovered. The narrative explicitly states 'we can only guess what caused the accident.' Multiple possible factors are listed (altitude awareness, late/unable to locate PC, health issues, rotor wind) but none can be confirmed. There is insufficient evidence to establish either a specific human error pathway or a non-human cause.</t>
  </si>
  <si>
    <t>['Altitude awareness', 'Extracted Pilot Chute too late', 'Health issues', 'Unable to locate pilot chute']</t>
  </si>
  <si>
    <t>Larisa went to jump on her own, did not have phone reception.Was found the next day by rescue team about 150 m away from the exit.She didn’t have a camera on her, the flight sight was not found; so we can only guess what caused the accident.Obviously she had a problem in the first phase of the jump and didn’t manage to recover. Hypothetically she might have been pushed by a rotor from the back.Details will be published as soon as any further information is discovered.
https://corrieredeltrentino.corriere.it/notizie/cronaca/25_aprile_26/giallo-sul-monte-brento-base-jumper-russa-scomparsa-nel-nulla-dopo-il-salto-non-ha-fatto-rientro-nel-suo-alloggio-bfc0af13-c76b-4408-8bfe-ff10153c3xlk.shtml?refresh_ce</t>
  </si>
  <si>
    <t>BFL510</t>
  </si>
  <si>
    <t>2025-05-18</t>
  </si>
  <si>
    <t>Late deployment from new container</t>
  </si>
  <si>
    <t>The jumper was unable to locate the pilot chute handle on his new container system (different BOC placement from his previous rig), resulting in a destabilized body position during the reach attempt and a fatally late deployment. Contributing factors include jumping a new container system without sufficient familiarization and reduced currency.</t>
  </si>
  <si>
    <t>Lorenz and I drove together to Fürenalp and met up with another jumper at the gondola station. All three of us were well-rested and the mood was very good. We took the gondola up the mountain and hiked down to the exit together where we put our gear on. There were three of us standing at the exit. Lorenz jumped off first. We assumed that he was just flying straight out and opening high because the first jump was with his new LD5 rig that he had never jumped before. But, then he turned right and flew towards the gondola station and parking lot instead of to the standard landing area. We watched his flight and talked about how slow it looked, but it could also have been because of the headwind.
Then I could see him reaching backwards to try to get to his PC. At the same moment, he dipped his right shoulder, tipped forward, and dove head down. From that moment on, it was about two to three seconds until impact. About one to one and a half seconds before impact, I saw the red canopy come out of the container. Lorenz was too low for the parachute to deploy, so he spiraled into the bed of the stream next to the footpath without an open canopy. When we got to him, he was lying in the bed of the stream with the stretched lines and parachute next to him.
The factors that contributed to this accident were (1) deploying the parachute too late, (2) not being able to find the PC handle on his new LD5 as his previous Zack rig’s BOC was in a different place, and (3) not being very current at the moment. The last years he jumped a lot and he was highly current but that year he had been focusing on a paragliding course and not BASE jumping as much as he used to. With regard to the initial missed pull, I, personally, had the same experience with the LD5 -- that if the body position wasn't 100% correct, it was difficult to get to the PC.</t>
  </si>
  <si>
    <t>BFL511</t>
  </si>
  <si>
    <t>Speed loss and failed canopy response</t>
  </si>
  <si>
    <t>The jumper gradually lost speed during wingsuit flight, a recognized error pattern (flying too slowly/high AoA). After opening with 360-degree line twists and the canopy flying toward the wall, he cleared the twists but made no input to turn away from the cliff for 8-9 seconds, resulting in object strike. The speed loss and failure to execute heading correction after clearing twists indicate human error.</t>
  </si>
  <si>
    <t>['Line twists', 'Loss of speed-glide', 'Not enough separation from object', 'Strong winds', 'Unstable exit']</t>
  </si>
  <si>
    <t>Milosz jumped from Exit 4 and had a clean exit, he started flying a little left towards exit 5 and 6. Flew ok in the beginning then started losing speed gradually, he then turned a little right towards landing area, and pulled quite high after 25 sec of flight.In the opening he received 360 line twists and the canopy started flying towards the wall. He managed to get out of the line twists after 7 sec but continued against the wall for 8-9 more seconds and hit the cliff without any input to turn the canopy away from direction to the cliff.He hit the cliff and bounced off 3 times before he coming to rest at the 4th impact. The canopy hung up on the cliff and he was hanging in the harness where he came to rest.Milosz himself called the rescue boat and told that he was in a lot of pain. The small ambulance helicopter was already on the way, but when they came, they couldn’t get to him due to he was under a overhung area, so they flew back and gathered an alpine rescue climbing team. They got dropped off quite a bit higher in the wall and repelled down to him. We heard signs of life from him before they reached him. But soon afther they reached him they lost his pulse. He was badly injured and had lost to much blood.
Milosz Barczyk Instagramhttps://www.instagram.com/adrenalintherapy...
Milosz Barczyk Youtubehttps://www.youtube.com/c/AdrenalinTherapy?app=desktop
https://www.aftenbladet.no/lokalt/i/vg2Jxp/melding-om-luftsportulykke-i-sandnes</t>
  </si>
  <si>
    <t>BFL512</t>
  </si>
  <si>
    <t>2025-06-01</t>
  </si>
  <si>
    <t>Yunnan, China</t>
  </si>
  <si>
    <t>Aerial exit insufficient separation</t>
  </si>
  <si>
    <t>The jumper performed multiple gainers (aerials) and over-rotated the last rotation, ending up in a standing/facing-cliff position. This required additional time to reorient and track, resulting in insufficient forward separation from the cliff at deployment. The canopy struck the cliff during inflation due to inadequate object separation, directly caused by the failed aerial maneuver and consequent poor body position.</t>
  </si>
  <si>
    <t>['180 Offheading', 'Aerials', 'Line twists', 'Not enough forward seperation on exit']</t>
  </si>
  <si>
    <t>Myself and Matthew had spent the last ten days jumping at both Nizhuhe glass platform and glass bridge
This was our 4th jump of the day from Nizhuhe glass platform
We geared up and made our way onto the platform. On arrival at exit we discussed the wind conditions at the LZ and made our plan of landing direction and landing area
We then spoke about a plan for the jump. We decided I would exit on Matty’s left side, the direction of push and also the direction of track for horizontal separation on opening. I was to also pull higher than Matty for vertical separation on opening
I was to do 1 front flip then into a track, and Matty was to do 3 gainers then into a track
Matty had performed this jump already on this trip, with solid and stable rotations, catching the last rotation perfectly and tracking away from the cliff with good separation, and a safe pull hight
However on this jump, he over rotated the last rotation and ended up in a standing position, still rotating. He looked over his right shoulder and initiated a turn which put him facing towards the cliff and in a belly to earth position. He then made a 180 degree clockwise turn, facing away from the cliff and initiated a track for barely 1 second before he deployed
His canopy made line stretch and had inflated barely 1/4 when it was clear he had impacted the bush on the side of the cliff, from there as the canopy inflated more it looked like he had made hard contact with the cliff ledge while the canopy was inflating
The canopy fully inflated on heading, and matty flew away from the cliff. He reached for his toggles and landed alongside some small train tracks, on the small loose rocks. He didn’t get up when he landed and I knew I had to get to him quickly
We all love you brother
CB❤️</t>
  </si>
  <si>
    <t>BFL513</t>
  </si>
  <si>
    <t>2025-06-13</t>
  </si>
  <si>
    <t>Untrained jumper, unjumpable object</t>
  </si>
  <si>
    <t>The jumper had only 12 skydives (never completing AFF), no formal BASE training, no mentor, no packing skills, and attempted a solo jump from a 195ft antenna described as potentially not jumpable at all—surrounded by guy wires, trees, fences, and power lines with no viable platform. He was found with only partial canopy out, indicating a deployment too late or incomplete. Multiple human errors in progression, object selection, and deployment are clearly supported by the narrative.</t>
  </si>
  <si>
    <t>Last report update from 18th June 2025 includes information on the object and the packing class Derrick took.
* THE ACCIDENT ** EventsDerrick’s girlfriend reported him missing after not hearing from him for 6 hours and explained he went to jump an antenna by himself.He was found by search and rescue at the bottom of the antenna with partial canopy out.More details will be added once we know more about the circumstances of his death.
* About the objectThe object is a 195ft-tall antenna in the eastern foothills of San Jose. It is not beginner friendly by any means and may not be jumpable at all.It is supported by 3 guy wires and is surrounded by trees, fences and power lines. There is one slopy open field to the southwest of the antenna that may be a viable landing zone.The structure has a lot of antennas mounted to it making this object very snaggy. One such antenna extends 8ft out of the structure towards the open field and sits 165ft above the ground.The structure of the object may be too narrow to climb inside and lacks of platform to stand on. Climbing it outside and setting up a static line while hanging from its side would be a significant added risk.Two cameras point at the antenna.It is unclear at this point what direction and what height Derrick jumped from.
* Equipment configuration[To be completed]
* PROGRESSION ** SkydivesDerrick had performed 12 skydives over the last 12 months and never graduated from AFF.Just one week before his death, Derrick did one last skydive which ended with a very low 90+ degrees turn under canopy. He miraculously landed fine and got out of it uninjured. When the DZO and AFF instructors talked to him about how dangerous that last maneuver was, Derrick seemed attentive and open to feedback. Regardless, he was banned from the DZ.
* BASE JumpingIt is unknown at this stage how exactly Derrick had gotten access to a BASE rig.It appears that Derrick had gotten into BASE jumping on his own with no mentor or specific training. It is suspected that he had been BASE jumping for several months and had performed approximately 59 BASE jumps.While he had learned a fair number of things through his own research, there were huge gaps left in his theoretical knowledge and skills that he seemed oblivious to. Some examples are presented below.- Objects choice: The objects Derrick had chosen to jump off were inadequate for his experience level (unforgiving bridges, low illegal antennas and cranes, etc.). One such object is the Bixby bridge where he had multiple mishaps including a cliff strike just a month before his death. The LZ at this bridge is surrounded with a creek and the ocean which makes it a particularly dangerous object for someone who does not know how to swim like Derrick. There are plenty of more forgiving objects that are better suited for learning to BASE jump such as the Perrine bridge in the US and the Kanfanar bridge in Croatia for example.- Gear selection: Derrick was jumping an older piece of equipment at a questionable wing loading (0.56). He had been jumping without a tail gate until he was advised to use one.- Deployment technique: Derrick did not know how to pack a parachute and was exclusively performing unpacked jumps, especially roll-overs. His roll-overs were regularly performed under inadequate wind conditions (tail wind) and very poorly executed (off axis front flip, line twists, toggle inadvertently unstowed, etc.).- Canopy piloting: Derrick’s canopy piloting skills were much too low for the objects he had chosen to jump (lack of spatial awareness, poor landing accuracy, slow reaction time to toggles, etc.)
Derrick took a packing class from a reputable BASE school just one week before he died.Upon inspection of Derrick’s rig, the BASE instructors caught 2 rigging mistakes related to line continuity. As can be seen in his jump videos, two risers are twisted. Derrick received help with re-rigging his lines properly. The 3-ring assemblies were properly assembled and correctly oriented for this type of risers.Derrick had lied about his lack of skydiving experience and a lack of packing skills was apparent during the class. Derrick was advised to be patient with packing and to go to the Perrine bridge to get more experience.
* MOTIVATIONS *It’s unclear at this stage what motivated a smart and articulate young man to get into BASE jumping by himself. It is suspected that social media fame, over confidence and a possible glorification of death all played a role in this tragic loss.
* CONTACT WITH THE COMMUNITY *Just 2 weeks before Derrick’s death, local skydivers and base jumpers became aware for the first time that Derrick had been BASE jumping.The footage and information he had shared showed an obvious lack of training as well as very concerning BASE practices. Several people reached out to him.One of his AFF instructor took a strong stance and communicated firmly to Derrick that BASE jumping has a very high fatality rate and that it requires much more training and knowledge. Derrick thanked his AFF instructor but unfortunately, this message did not seem to land. He said he had already heard that from his mom and that he was fully aware of the risks he was taking. Communication slowed down between the two after that.A local BASE jumper attempted a different approach by playing it cool and acting admirative of Derrick’s stunts. He seemed more receptive to this communication style. They texted back and forth nearly every day until his fatal accident. While working on gaining his trust, the more experienced BASE jumper offered some advice which, surprisingly, Derrick seemed very open to. Topics of discussion included equipment set up, weather science, roll over technique, object specificities, etc. There was hope that Derrick could be talked back into a more sustainable path. The two of them had planned to meet up for coffee to have a serious discussion about getting back into skydiving and getting proper training before returning to BASE jumping down the road. Unfortunately, Derrick died 2 days before this talk ever happened.In addition to being contacted directly by locals, Derrick was also in contact with the Skydiving/BASE community through social media. He had been told online many times that he needed to pause BASE jumping and get more training in skydiving first.
* LESSONS LEARNED** Gear salesSomehow, a 19-year-old kid with just a handful of skydives managed to get his hands on a BASE rig. And I’d bet my money he didn’t buy that rig at his local thrift store. When we sell some skydiving or Base-jumping equipment, it is our responsibility to ensure the buyer has enough experience to use it. The equipment manufacturers already enforce sanity checks. I expect nothing less from any other BASE jumper. So please please, do your due diligence before shipping your old BASE rig to a stranger. You could prevent the next fatality. Get on the phone with potential buyers and test them. Ask specific questions like… Who did you/are you going to learn to BASE jump from? Then contact their instructors. What is your favorite brake setting? What is your favorite pilot chute size for BASE jumping? What kind of deployment technique would you choose for a 140ft antenna? Answers will make it clear whether you’re talking to someone with enough training or dealing with the next Derrick… Selling gear to someone without making sure they have or will receive proper instruction on how to use it is unacceptable.
* Communication stylePeople respond differently to various communication styles. You never know which style is going to work best for them so get a few folks together, make a plan and try different approaches. Try a girl. Try a dude. Try someone local. Try the Base-jumping super star they idealize. Try a straight talk. Try a smoother approach. Try a “Bro, excellent job getting out of this line twist! That was rad! Hey by the way, do you want a pro tip on how to make your roll-overs look even cleaner?”. Just try different approaches and remember any attempt to help someone is worth the effort.
TrainingIf you read this and you are wondering whether you should get some training or just buy a parachute and figure things out… you’re in luck, I’ve got the answer for you: 100% get the proper training!This means learn to skydive first. Make at least 200 skydives (I promise you’ll have a blast). Read/watch everything you can about BASE jumping. Read the Great Book of BASE, listen to the Exit Point podcast, read every single entry of the BFL, etc. Find a reputable BASE instructor/mentor you vibe with and go live your dream.BASE jumping is one of the rare sports where you can easily contact your favorite top athlete and train with them. It’d be a shame not to learn from the best when you can.There is no substitute for training in BASE jumping. All the cool BASE jumpers you admire on the Internet have trained really hard to pull off the tricks and stunts they do. Nobody is special. You’re not special. You have to go through the training and put in the work like everybody else if you want any chance of surviving your BASE-jumping journey. BASE jumping is not a sprot where you can figure things out by yourself. Most if not all people who have tried to learn it by themselves are now dead. So go do the training necessary so you can send some rad base jumps till you’re 99 years old! Plus, training is super fun, don’t miss out on it.
Yes, this will cost a little bit of money but really, how much is your dream worth? So pick up extra shifts and start saving.And please think of the aftermath if you die BASE jumping. Think of the trauma your loved ones will need to overcome. Think about your AFF instructors and the guilt they’ll experience. Think about the strangers that will need to pick your dead body and write a report about it. Your actions have consequences beyond what you might imagine.
Links to his social media pages
https://www.instagram.com/theturfgeneral
https://www.reddit.com/r/SkyDiving/comments/1l77i4p/banned_from_local_dz/?utm_source=share&amp;utm_medium=mweb3x&amp;utm_name=mweb3xcss&amp;utm_term=1
https://www.youtube.com/watch?v=tCrElkpVbSI
https://www.facebook.com/levi.leads.77</t>
  </si>
  <si>
    <t>BFL514</t>
  </si>
  <si>
    <t>2025-06-17</t>
  </si>
  <si>
    <t>La Grave, France</t>
  </si>
  <si>
    <t>The jumper was found 200 meters below the exit with an open parachute on a snowy ledge. The narrative lists multiple possible factors (180 off-heading, clipped ledge after exiting, fell before setting up, not enough forward separation on exit) but the witness did not observe the exit or flight, the camera was not recovered, and the cause of death is listed as unknown. There is insufficient evidence to definitively identify a human error pathway or to confirm a non-human cause.</t>
  </si>
  <si>
    <t>['180 Offheading', 'Clipped ledge after exiting', 'Fell before setting up', 'Not enough forward seperation on exit']</t>
  </si>
  <si>
    <t>This was our fifth training outing in mountaineering: three days in May, followed by two more in June.The day before, we had climbed the Bruyères ridge — our third ridge climb together — and we had planned to end this training cycle with a wingsuit jump.
Thibault had been a high mountain guide for several years. He had done this particular jump one or two years earlier, I believe — he showed me the video the day before.He was experienced in wingsuit flying, having practiced for about ten years and completed several hundred jumps. A few days prior, he had done a solo wingsuit jump and had already jumped several times this year, though I’m not sure how many.
As planned, we took the first cable car from La Grave at 7:30 a.m. By 8:00, we were roped up and had our crampons on.We crossed the glacier quickly, with Thibault leading, until we reached the base of the southeast ridge of the Trifides. It was 8:30.
This time, I led the climb, with Thibault seconding.The route was beautiful, the conditions perfect: bright sun, a light breeze, and incredible views.After two hours of climbing, we reached the summit at 10:30. We took a break to enjoy the panorama. Physically, we felt good — no notable fatigue.
We prepared our wingsuits and packed our respective gear: crampons, ice axe, jacket, harness… I took the 40-meter rope inside my wingsuit; Thibault carried the rest of the gear (8 quickdraws, 4 cams, 2 slings).We geared up as we had rehearsed the day before. Then I rappelled first using a rope that was already in place.
Conditions were ideal: a perfectly blue sky, and a light headwind of around 5 knots at the exit.Before I unclipped, Thibault reminded me to visualize my push direction clearly.I decided to push slightly to the right and told him. We did a final check. I wished him a good flight.He was right behind me, slightly higher up. He said he was filming my exit.
I jumped around 11:15 a.m. I pushed off with both feet from a rock point that felt solid, just above a makeshift wooden platform set into a rock ledge where we had finished gearing up, safely clipped in.
The exit went well. The jump profile wasn’t technically demanding — that’s why Thibault had chosen it.The numbers were: 140-20 / 200-40 / 370-90 — a 400-meter wall.
The flight was straightforward — a long straight line through the air with no terrain to follow.I deployed at a comfortable altitude, just above the start of the forest, and landed as planned on a final patch of frozen snow, where the river begins, at the bottom of the valley.
We had each planned separate flight paths and landing zones. I was flying an Aura 5 — a larger suit with better glide — and Thibault was in a smaller Strix.I landed softly, facing into the valley wind. A gentle breeze was rising from the valley floor.
I turned around, but didn’t see him jump.I tried calling, with no success. He had warned me that there might not be cell service where he was planning to land.
I packed my gear and started hiking down the trail at around 11:45.I reached the car about an hour later, changed clothes, and tried calling him again — still nothing. It was 12:45.
At the mid-station of the gondola, I spoke with the staff. They said they couldn’t see anything through their binoculars.Thibault had planned to return via the gondola from the mid-station and then meet me at the car. I was told that depending on where he landed, it could take him one to two hours.
I kept trying to call, but there was still no answer.At 2:00 p.m., I called the PGHM (mountain rescue) in Briançon. The helicopter was dispatched and on site 40 minutes later.At 3:00 p.m., I called them back. They told me they had found his lifeless body on a snowy ledge, 200 meters below the Trifides exit — his parachute was open, and one leg wing zipper was open on the side where it appeared he had impacted.His camera wasnt recovered
https://www.ledauphine.com/societe/2025/06/17/un-pratiquant-de-wingsuit-decede-a-la-grave?fbclid=IwY2xjawLB_wpleHRuA2FlbQIxMABicmlkETFnTkh5R0FmQnhRVUJYS3YzAR6UFF-IdESiLczJbwLVSL2glR7ETYvo-WMR5PP79_yW-bf0fj5bwT-pr8VUOQ_aem_3sRNhKsAgDKWRYlLj3y-dA</t>
  </si>
  <si>
    <t>BFL515</t>
  </si>
  <si>
    <t>2025-06-21</t>
  </si>
  <si>
    <t>The jumper was flying a wingsuit in proximity to terrain and impacted near the tree line past a shaded grass field. The narrative indicates the jumper was attempting or setting up for a proximity line (corkscrew over a ridge to reconnect with terrain) and likely lost adequate speed/glide in sinky, shaded conditions, resulting in terrain impact with no deployment attempt (pins not popped, PC in BOC). Flying a proximity line through conditions that exceeded available margin constitutes human error.</t>
  </si>
  <si>
    <t>We woke up at 05:30 to shuttle vehicles and catch the first gondola up to Gitschen. We made it to the top of the gondola by 06:30.We started our hike nice and easy, took plenty of breaks and didn’t have to rush. Talked a lot of shit about probably half the cunts reading this, our normal morning routine.The weather was great. Slight cross/tailwind on the summit, but as we made the little scramble down to the exit, there was basically no wind. The sun was on the exit and the start of the line, so it was nice and lifty. It took us just over three hours from the bottom of the gondola to the exit.We all got geared up, made sure everyone was ready, and went one at a time—myself first, Jeremias second, and Liam last.When I jumped, my start felt great. I stayed on the outside of the upper ledge, flew over to the left to set up and bomb down the trees. I didn’t cross over into the grass ridge and played it safe for my first jump here.Liam and I had spoken about ripping down the grass field the day before. Ideally, we would come back, jump this exit again, and he wanted to corkscrew over the last ridge to connect back down into the terrain. This was not the plan for this jump. I know it was in the back of Liam’s mind for a while.We all jumped individually. I landed where we talked about. I saw Jeremias’ canopy a few minutes after, so I went in to grab a beer, came out and Jeremias showed up not long after.I told Jeremias we should have another drink to give him some time, maybe he had to land off and was walking to us.After about 30 minutes, we decided to go back to the original meeting point to see if he had walked back to the car instead of the bar. Once we arrived at the vehicle and I didn’t see Liam there, I knew what had happened.We called REGA, who sent out a helicopter to search for him.After about an hour or so, the helicopter found him—just past the grass field, down near the tree line. At that time of morning, the grass section of the mountain was still shaded. My best guess is he was nicely set up to do a corkscrew coming over the top, just as we’d talked about. Except that the cold, shaded side was probably sinky. So as he would have come around, he more than likely impacted there, trying to reconnect with the terrain.This was his second time flying Gitschen, and he knew the line he was flying. That’s why I believe these are the circumstances that brought Liam to his end.
His helmet and camera was not found. His pins were not popped and his pilot chute was in his BOC.
Catch you on the other side Cunt.– Mr. Spooky Eyes
https://www.ur.ch/polizeimeldungen/127549?fbclid=IwY2xjawLF0b5leHRuA2FlbQIxMABicmlkETFNV09rMHJYY2lJVm52UVg4AR7Tp1UmaSjyLpR18WXiUOLPox-QBewslTPPYseFVdvTsFU_glPjHTQxS0A_nw_aem_Q9uMdXKRgzxE8dmjKKibng</t>
  </si>
  <si>
    <t>BFL516</t>
  </si>
  <si>
    <t>2025-07-01</t>
  </si>
  <si>
    <t>Wilderswil, Switzerland</t>
  </si>
  <si>
    <t>Vampire 24 (Wingsuit)</t>
  </si>
  <si>
    <t>The narrative states 'Unknown at this time' with no details about the accident circumstances, possible factors, or cause of death. There is no information to identify a human error pathway or to support a non-human cause.</t>
  </si>
  <si>
    <t>Unknown at this time
https://www.instagram.com/half.bananas/
https://www.facebook.com/tris.webb.648564
https://vimeo.com/728278261?share=copy</t>
  </si>
  <si>
    <t>BFL517</t>
  </si>
  <si>
    <t>2025-07-13</t>
  </si>
  <si>
    <t>The jumper exited head-low and entered a scorpion/vertical position that progressed into an unrecoverable front flip, resulting in an emergency pull with insufficient separation from the cliff wall. The narrative and possible factors explicitly identify an unstable exit with insufficient forward separation as the mechanism leading to object strike and death.</t>
  </si>
  <si>
    <t>It was a gorgeous day and the 3 of us decided to jump Punta Calva. We started the hike at about 8am, it was great to be in the mountains and we were happy to be together. Marta was recovering from an ankle injury and I expected us to hike slower than normal, however she went full speed. We geared up and were on the exit at 10.30. There was no wind. The plan was for Marta to jump first solo, and then Miguel and I would jump together.
Marta was looking relaxed, not stressed, and not tired. She normally has a nice wingsuit exit, flat and quick to start flying. This time, she gave a good push like normal, but we were startled to see her go off quite head low. She did not appear to slip. When she dropped out of sight she was vertical with legs bent... scorpion. After that we couldn't see, but video shows what looks like her going for a front flip. She didn't come out of it and presumably made an emergency pull. What we heard was a canopy opening, but it didn't sound right, like it was mixed with an impact. We saw her canopy flying out near the base of the wall. It made a slow left-hand turn with no visible input and came to rest between some trees at the top of the talus. We called for a rescue immediately. There was no sign of movement. The helicopter arrived half an hour later but Marta was not alive.
Marta had not jumped her wingsuit for about three months due to recovering from an ankle injury. The week before, she made some wingsuit skydives for currency and also opened a new slider-down exit. She had a conservative approach to jumping wingsuit and never let her ambitions influence her progression. Her accident on this day was a horrible surprise to all of us. Once again it shows how fast everything can go to shit.
Marta's energy, exuberance, pure love of life, and love for the people around her will live on in our minds. She is deeply missed by her family and friends. A devastating loss for her loving partner. Vuela libre, amiga.
https://www.eldiariodehuesca.com/actualidad/fallece-marta-jimenez-colaboradora-de-el-hormiguero-en-un-salto-base-en-el-valle-de-chistau_34332_102_amp.html
https://www.heraldo.es/noticias/aragon/huesca/2025/07/13/muere-una-persona-que-practicaba-el-salto-base-en-un-accidente-en-el-valle-de-chistau-1839130.html
https://www.heraldo.es/noticias/aragon/huesca/2025/07/13/la-victima-mortal-del-accidente-de-salto-base-en-plan-es-la-mujer-adrenalina-de-el-hormiguero-1839209.html#
https://www.instagram.com/marta_inthewild?igsh=MXVzaGFoNHVpeXoycQ%3D%3D
https://www.ouest-france.fr/sport/sports-extremes/une-celebre-cascadeuse-espagnole-meurt-a-34-ans-lors-dun-saut-en-base-jump-38738e0a-618b-11f0-91aa-ff002258fe78?fbclid=IwY2xjawLlDfNleHRuA2FlbQIxMABicmlkETFubE5vMUY4anI4U1FXUDdPAR56n161NYowOo-q6F_Da0ovRqoBX3GQcM0tdr4sHOVxC4043hr6C8e5u7_Mrg_aem_RjoSIvD8238TOlIbS9reVw#
https://www.news.com.au/travel/travel-updates/incidents/tv-presenter-dies-in-horror-base-jumping-accident-in-spain/news-story/d44926ff25aef354e490ccdd5de5310b
https://www.elprogreso.es/gl/articulo/espana/mujer-fallece-accidente-salto-base-chistau-huesca/202507132006391894752.html
https://www.20minutos.es/television/muere-marta-jimenez-mujer-adrenalina-hormiguero-un-salto-base-pirineo-huesca-5731005/
https://www.eldiariodehuesca.com/actualidad/fallece-marta-jimenez-colaboradora-de-el-hormiguero-en-un-salto-base-en-el-valle-de-chistau_34332_102_amp.html
https://www.the-sun.com/news/14718074/tv-presenter-dies-horror-base-jumping-accident/?utm_medium=Social&amp;utm_campaign=sunusnewsfacebook&amp;utm_source=Facebook&amp;fbclid=IwY2xjawLkS7dleHRuA2FlbQIxMABicmlkETF4RHBuMUMyWTVHYW1xZDhmAR56RC8cgJCnB-pIN0iNmDGtr2Lo9_PcsauoxY8IanCkV2BoDxE7mQx8twmW-g_aem_hqc9DNS-wadK7vGqyYQ_Ig</t>
  </si>
  <si>
    <t>BFL518</t>
  </si>
  <si>
    <t>2025-07-16</t>
  </si>
  <si>
    <t>The narrative provides only that the jumper died after striking a rock face during a wingsuit BASE jump. No details are reported regarding weather conditions, equipment state, flight path, deployment attempt, or any specific factors contributing to the impact. There is insufficient information to determine whether human error or another cause led to the fatality.</t>
  </si>
  <si>
    <t>https://www.lenouvelliste.ch/valais/un-italien-domicilie-en-valais-perd-la-vie-en-wingsuit-aux-diablerets-1460795
https://www.lematin.ch/story/les-diablerets-vd-un-homme-en-wingsuit-meurt-en-percutant-une-barre-rocheuse-103383770
https://www.instagram.com/filippo.ermini/</t>
  </si>
  <si>
    <t>BFL519</t>
  </si>
  <si>
    <t>The jumper was unable to locate and extract his pilot chute during the deployment sequence, resulting in a total malfunction and closed-container impact. The narrative explicitly identifies a mis-pull as the cause of death, notes he had experienced a previous mis-pull the day before potentially related to a new flare technique, and describes him attempting to find his PC in a fetal position before impacting. This represents a human error in the deployment process.</t>
  </si>
  <si>
    <t>['Extracted Pilot Chute too late', 'Gear failure', 'Unable to locate pilot chute']</t>
  </si>
  <si>
    <t>After completing a successful speed run. James has initiated a big flare ( 74m as per flysight data ) at a safe height above the LZ to achieve a minimum 40 second canopy flight
He has initiated his deployment sequence at the top of his flare which has been unsuccessful
He has continued to attempt to deploy, however has ended up in a fetle position, still attempting to find his PC
This has led to him rolling on his back, and impacting on his side, coming to rest next to a switchback road, next to the lower LZ
James had had one previous miss pull the day before, this could or could not be because of adopting a new flare technique. This was raised between his peers, and he had mentioned the need to go back to skydiving, and perfect the technique of the new flare. However, he was happy and confident to continue the competition, and felt comfortable to keep jumping
On arrival to his final resting place, no signs of life were present. James was told he wasn’t alone, that he was loved, and made comfortable to the sounds of his favourite hip hop until emergency services arrived
Madskillz , We all love you brother
https://www.ildolomiti.it/cronaca/2025/tragedia-nei-cieli-del-trentino-un-uomo-precipita-con-tuta-alare-e-muore-sul-colpo</t>
  </si>
  <si>
    <t>BFL520</t>
  </si>
  <si>
    <t>2025-07-18</t>
  </si>
  <si>
    <t>Late deployment impact</t>
  </si>
  <si>
    <t>The jumper impacted subterminal near the exit with the canopy still in the container, and the possible factors explicitly identify 'Extracted Pilot Chute too late' and 'Altitude awareness' as contributing factors. This indicates a human error in failing to deploy the pilot chute in time, resulting in ground impact before canopy extraction.</t>
  </si>
  <si>
    <t>Impact with canopy in container.
More info to come later, police are still investigating</t>
  </si>
  <si>
    <t>BFL521</t>
  </si>
  <si>
    <t>2025-07-20</t>
  </si>
  <si>
    <t>Martigny, Switzerland</t>
  </si>
  <si>
    <t>Exit in strong crosswind</t>
  </si>
  <si>
    <t>The jumper exited in a known strong left-to-right crosswind from a position more vulnerable to that crosswind (right side, pushing straight out into a quartering tailwind over more demanding terrain), rather than positioning to mitigate the crosswind as the first jumper did. The narrative also notes the jumper exited without gauging the wind in the moment and with arm wings already outstretched, which made him immediately susceptible to being rolled by the crosswind, resulting in loss of control and subterminal impact. These constitute identifiable human errors in exit technique and decision-making given the known hazardous conditions.</t>
  </si>
  <si>
    <t>We were a group of 4 planning to jump Petit Dent de Morcles. We staged a car in the LZ at 730 and got on the first chairlift at 830. A few days prior we hiked and jumped Dent de Morcles, an approach which took 2h17. Petit Dent took 3h25 because a couple climbing sections towards the end took us longer than expected to downclimb safely. During the approach the winds seemed pretty strong, but they were also a little strong on our previous Dent jump and conditions then were great when we got there, so we kept going.We arrived to the exit around 1215 to a strong left to right crosswind. I took a few laser profiles and during that time we noticed one or two lulls, so we decided to gear up and wait for up to an hour to see if conditions improved enough to jump. The difficulty of the downclimb was a contributing factor to our decision to wait for lulls - had it been a simpler approach I personally would have been more inclined to go back down.While lasering, I found that the path of least resistance was to fly the gully about 20 degrees jumper's left. The gully straight ahead also went but was a shorter start with a noticeable ledge to clear. I expressed my concern that since the wind was also coming from the left, there was the possibility of being pushed from the bigger gully towards the shorter one in the start arc.The exit is on a ledge that offers a fairly wide range of push directions, so I positioned myself on a nice push platform towards the left and aimed about 30-40 degrees left which had me pushing into more of a headwind. As soon as I felt a lull I pushed off and jumped, staying high in flight and landing safely. Conditions were a little bumpy during the flight but not that bad, and ground winds were medium but consistent.
Within a minute or so of landing I got a call from the other jumpers up top, who said that Logan had gone in. After reviewing the video I saw that instead of pushing from the same spot Logan had opted to go from one on the right side pushing straight out, which made him more vulnerable to the crosswind/quartering tail and over a more demanding terrain profile. It seemed like as Logan positioned himself on his exit platform he was already in go mode, exiting without gauging what the wind was doing in the moment. He exited with his arm wings already outstretched and immediately started getting rolled from the crosswind. By 2-3s he was completely on his side and still rotating, at which point he disappeared from view and impacted at about 6s. The two jumpers still on exit immediately called Rega to begin the recovery.Unlike in similar previous fatalities, Logan's fatality doesn't appear to have been the result of a bad exit made worse by conditions. Aside from not knowing to close his arm wing / stay relaxed for the first second or two after exit in a crosswind, his exit appeared to be normal.
In the attached image the red line is the path of least resistance and the blue is the shorter start.
https://www.instagram.com/the_nylon_rubicon/</t>
  </si>
  <si>
    <t>BFL522</t>
  </si>
  <si>
    <t>2025-08-05</t>
  </si>
  <si>
    <t>Failed to bail from terrain</t>
  </si>
  <si>
    <t>The jumper committed to flying into a canyon notch despite agreeing to bail early if conditions were not favorable, and despite being warned the canyon was bumpy. He stalled before reaching the first notch and impacted terrain while attempting a late bail, indicating a decision error in continuing the terrain line beyond the point where safe abort was possible.</t>
  </si>
  <si>
    <t>['Altitude awareness', 'Loss of speed-glide']</t>
  </si>
  <si>
    <t>Please note this fatality was professionally guided.
On August 5, 2025 Randy, myself and 2 other jumpers ascended Piz da Lech at 12:00 to arrive on exit when lift started to form on the SW face. The hike was simple and upper winds were calm. Upon arriving at the exit I told Randy to make me a promise, that he would bail on the upper canyon early if he wasn’t able to dive into it. Before exiting, another jumper under canopy radio’d up to us and said the canyon was a little bumpy.
The last words I said to him was better to avoid the canyon and come back another time…he agreed and shut his visor.Randy had a near perfect exit, with great lifting conditions. We lost site of him shortly and heard nothing while Julia lined up to jump. The slider off jumper who jumped before radio’d up to say he did not see a canopy. We hung back and waited further news. When 5 minutes went by, we immediately called 112 and started rescue.
Randy was found at the base of the first notch. He stalled before reaching the first notch and impacted while trying to bail left. Randy had shown me a lot of maturity in the last few years, and I had developed trust in him to make the right decision and do what he said he was going to do. You must be fully prepared to bail early on the crack at Piz da Lech, and Randy knew that. On this day, he made the wrong choice.
 https://www.instagram.com/randyz_xy/
 https://www.facebook.com/profile.php?id=100028933057419
https://www.rainews.it/tgr/trento/articoli/2025/08/base-jumper-cinese-si-schianta-e-muore-sul-piz-da-lech-221de811-1e92-4ce4-b9f8-fc78f67f7df1.html</t>
  </si>
  <si>
    <t>BFL523</t>
  </si>
  <si>
    <t>2025-08-15</t>
  </si>
  <si>
    <t>Late deployment in wingsuit flight</t>
  </si>
  <si>
    <t>The jumper impacted terrain in terminal freefall while flying a wingsuit. The possible factors explicitly identify 'Extracted Pilot Chute too late' and 'Altitude awareness' as contributing factors, and a witness observed the jumper 'didn't have enough speed,' suggesting inadequate airspeed management leading to insufficient glide performance and failure to deploy in time. The late or absent deployment constitutes a human error that directly produced the fatal outcome.</t>
  </si>
  <si>
    <t>They were 4 in total. Michael jumped first, followed by another jumper. The person right after him explained that Michael didn’t have enough speed. He had to decide to continue his own line and lost sight of Michael. It seems Michael impacted the glacier.
https://www.police.be.ch/fr/start.html?newsID=9fe2b7e6-db5b-42e0-a7e9-e90cbe1fc83a&amp;fbclid=IwY2xjawMODvFleHRuA2FlbQIxMABicmlkETFzV0pRWkdpUkVxcmJmbmp2AR7BVrtVk40uw5cq-OZ4Q-JP0kZPSOI3xZ_Y29jt8BjDyskfAPfjSyr7foQ6LQ_aem_2Da2q0jApze_k2NFObZrzA
The below link is of the jump from another persons video a few years back
https://www.youtube.com/watch?v=WdT8C3dyurc</t>
  </si>
  <si>
    <t>BFL524</t>
  </si>
  <si>
    <t>2025-08-19</t>
  </si>
  <si>
    <t>ATC 4 (Wingsuit)</t>
  </si>
  <si>
    <t>Wingsuit stall and terrain impact</t>
  </si>
  <si>
    <t>The jumper had only 1 prior wingsuit BASE jump, which is drastically below the accepted minimum of 100+ regular BASE jumps and 100+ wingsuit skydives before first wingsuit BASE. The narrative indicates the jumper likely stalled his wingsuit subterminal and lost control, impacting terrain approximately 600-700 meters below the exit. The guide's observation that the jumper used unfamiliar terminology ('beat the suit') and the extremely low experience level point to inadequate progression as a human error pathway. The cause of death was terminal freefall impact, consistent with a wingsuit stall and loss of control.</t>
  </si>
  <si>
    <t>['Katabatic air flow', 'Not enough separation from object', 'Pilot Chute Entanglement - PC in tow', 'Proximity flying']</t>
  </si>
  <si>
    <t>Please note this fatality was professionally guided.
Danny and I started the hike around noon and arrived at the exit point around 5, we laughed and joked and took our time.
Once on top, we took a rest and started slowly gearing up and going over his flight plan.
He said he was going to push off and “beat” the suit and then turn right and pull high.
I have never heard “beat” the suit and reminded him to just execute this jump the same as his balloon jumps which were great. I also mentioned to fly straight out and then turn a little right towards the LZ and pull high, to which he agreed.
We went over the basics of the landing pattern, took a picture together, and had a high 5.
The baring classic exit is big, 32x,-309y meters and is 2 piece track-able. The wind conditions on exit and landing were both 3-6 mph from left to right.
Danny had a great push and I was vocally excited to see this as he launched from view with great body position.
12 seconds later I heard a loud bang, like maybe a parachute opening but it was probably the first impact, and then a few seconds later another even louder bang which I knew was an impact.
There is no cellular service at Baring Mountain and I thought the fastest way to actually get a helicopter out would be to get to cell service as soon as possible even though we both had garmin beacons.
I made the decision to jump and video his location so that search and rescue would have an easier time getting to him. S&amp;R was notified in less than an hour. There was no turbulence on my exit or flight.
It’s impossible to know exactly what happened, but I believe he stalled his suit and lost control subterminal, maybe trying to turn right too early. He may have emergency pulled.
As I flew over, I saw him laying on a ledge around 600-700 meters below the exit, slightly to the right in the direction of the LZ, and probably 200 meters away from the exit with canopy out.
The recovery took 46 hours due to the rugged terrain he came to rest on. It was a mix of helicopter support and mountaineering.
He was never left alone there, and had his family and a friend in the area until he was recovered. They did not find his GoPro.
Danny was a war veteran, a professional deep sea scuba diver, a father to a young man as well as his canine, and a friend.</t>
  </si>
  <si>
    <t>BFL525</t>
  </si>
  <si>
    <t>2025-08-25</t>
  </si>
  <si>
    <t>Samoëns, France</t>
  </si>
  <si>
    <t>Onsie Power 24 (One Piece Tracking Suit)</t>
  </si>
  <si>
    <t>Unstable exit from technical cliff</t>
  </si>
  <si>
    <t>A bystander witnessed the jumper exit unstable, fail to gain controlled flight, and impact the cliff without deploying a parachute. The narrative identifies inconsistent exits as a known issue for this jumper, and the group notes explicitly state he was recommended to work on exits at simpler objects earlier in the season. The unstable exit from a technical cliff where a poor launch was 'simply not survivable' constitutes a clear human error pathway.</t>
  </si>
  <si>
    <t>Unstable Exit leading to Impact</t>
  </si>
  <si>
    <t>Matthew (“Busto”) was in good spirits throughout the trip. The group had met the previous day to discuss the plan. He ate well, slept well, and was positive on the morning of the hike.The group checked the LZ, left vehicles there, and began the hike at 06:30, taking the easier 4x4 trail up to Chalet de Criou. From there, we continued with food and water breaks before making the final ascent to the summit.Busto led much of the hike but became fatigued on the steeper terrain towards the summit. This was not unusual for him, and after a rest, food, water, and adding warm clothes, spirits were high. Photos were taken, winds checked and rock drops made to confirm the exit along with base beta and video footage. The group reviewed the jump plan, everyone was satisfied with the conditions.At the exit, Busto mentioned he had done some more intense exits then this and was not concerned about the technicality of this one. His only concern was the suit being a little large fit for him with the potential for poorer flight performance not making the LZ.Sequence of jumps:Jumper 1 exited first with a clean start and solid flight around the corner.Jumper 2 followed with no issues.Jumper 1, having landed safely, called Busto to confirm conditions were good and reminded him to stick to the poised exit that he had been training, as he was considering trying a running exit when gearing up.Busto relayed this information to Jumper 3, and they shared a fist bump.Jumper 3 exited cleanly and landed with the others at the LZ.After five minutes, concern grew when Busto had not appeared. Jumper 3 recalled that Busto had mentioned possibly flying to an alternative LZ higher up the valley if he was not performing well in the suit. After 15 minutes, we drove to check the alternate LZ incase we had missed his flight. After 20 minutes, we heard a rescue helicopter approaching the valley and made the call to mountain rescue.Unknown to us, a bystander near the exit had already contacted emergency services after witnessing Busto exit unstable, fail to gain controlled flight, and not deploy a parachute. Later that day, another witness from a refuge opposite the jump reported seeing Busto bounce multiple times down the cliff before what appeared to be a parachute deploying after multiple impacts.Matthew was pronounced dead at the scene by mountain rescue.
NotesBusto was in good spirits this season but was not solely focused on BASE. His exits were known to be inconsistent, and on at least two occasions earlier in the season, he was recommended to remain at Brento to work on exits rather than participate in other jumps. By the time he came to France, he felt happier with his performance but spoke about returning to his previous onsie to regain comfort, noting that he had performed well in it the year before. However after each jump on this trip, he expressed feeling more confident and improving.Looking back at the sequence of events, it reinforces the importance of being current and consistent when undertaking a BASE trip. Time and again we see the same mentality: denial about true skill level, progressing too quickly, or jumping beyond personal capability. This was a technical exit where a poor launch was simply not survivable. Everyone present understood that risk and each made the conscious decision to jump.Based on the limited witness account, no camera and no flysight found, we can only speculate but it appears an unstable exit led directly to impact.Busto was a larger-than-life character who embraced every interaction with humour, warmth, and positivity. He will be deeply missed by all who met him.He was a solid CUNT
And as he would say Suce Mabite!</t>
  </si>
  <si>
    <t>BFL526</t>
  </si>
  <si>
    <t>2025-08-31</t>
  </si>
  <si>
    <t>Julien Alps, Slovenia</t>
  </si>
  <si>
    <t>The jumper impacted terrain mid-flight while wingsuit proximity flying, with the canopy still in the container. The possible factors listed include altitude awareness, loss of speed-glide, and proximity flying, indicating the jumper failed to maintain adequate separation from terrain and/or failed to deploy in time. This constitutes human error in flight management and/or deployment decision-making.</t>
  </si>
  <si>
    <t>Seems Vander went up alone yesterday early morning to Mangart top exit on a shuttle bus, and unfortunately hit terrain midflight.
After not checking in with his friend upon landing his friend called in the rescue team. One rescuer had explained that his canopy was still in container and had impacted in mid flight when found.
 https://www.24ur.com/novice/crna-kronika/z-mangarta-skocil-z-wingsuitom-in-umrl.html
https://svet24.si/lokalno/gorenjska/novice/kronika/base-skok-mangart-smrt-1844578
https://net.hr/danas/svijet/uzas-kraj-hrvatske-izvodio-spektakularni-skok-pa-udario-u-vrh-nije-mu-bilo-spasa-39d7c0f3-8730-11f0-aa13-9600040c8f8e?fbclid=IwQ0xDSwMjVTVleHRuA2FlbQIxMQABHgqdIiBYD2i1r7web8TLaz3XnULg2zqH9mUjU5OW8AfvoLjIDiirThFq1g-O_aem_rFPA8TFw7OudOAIK3j8pEQ
https://www.instagram.com/vandervicente?igsh=NW1leTg5c3ZuYmZt&amp;fbclid=IwY2xjawMjlmJleHRuA2FlbQIxMABicmlkETFkOXRGd0hpOEdLRDZnbEJuAR5sgDSjhjRH-QaUjjgBjBqGVRY6xkLvM5NOByl8amhliGpHApALb4y0Z5591w_aem_DrLoz_AvoHW_pEqpDY2Mew</t>
  </si>
  <si>
    <t>BFL527</t>
  </si>
  <si>
    <t>2025-09-21</t>
  </si>
  <si>
    <t>The narrative provides only a news link and minimal structured data. The cause of death is impact in terminal freefall, indicating no canopy deployment, but there is no information about what caused the failure to deploy — whether it was a human error (e.g., loss of altitude awareness, unstable flight, deployment failure) or an equipment malfunction or other cause. Without details on the jumper's experience, the flight path, conditions, or deployment attempt, neither 001HE nor 002OC can be supported.</t>
  </si>
  <si>
    <t>https://www.suedtirolnews.it/italien/basejumper-verunglueckt-toedlich-im-trentino</t>
  </si>
  <si>
    <t>BFL528</t>
  </si>
  <si>
    <t>2025-11-06</t>
  </si>
  <si>
    <t>Failed deployment attempt</t>
  </si>
  <si>
    <t>The jumper was unable to locate and deploy the pilot chute, resulting in a closed-container impact. The narrative and possible factors indicate the jumper failed to successfully execute the pull, with contributing factors of altitude awareness issues and focus on filming his companion rather than on flight management and deployment timing.</t>
  </si>
  <si>
    <t>['Altitude awareness', 'Focusing on filming', 'Unable to locate pilot chute']</t>
  </si>
  <si>
    <t>He wanted to film his buddy and they went for a two-way off the ramp. For some reason he wasn’t able to pull and impacted into trees.</t>
  </si>
  <si>
    <t>BFL529</t>
  </si>
  <si>
    <t>2025-11-30</t>
  </si>
  <si>
    <t>Night aerial with poor separation</t>
  </si>
  <si>
    <t>The jumper performed a solo night jump from a cliff with severely reduced visibility (well after sunset), likely involving aerials, and was found close to the wall with a deployed canopy and toggles still stowed, indicating object strike before achieving controlled flight. The decision to jump at night, the likely performance of aerials in darkness (compromising altitude awareness and body position), and documented below-average tracking skills (reducing object separation) constitute identifiable human errors. The jumper also had a prior history of a nearly identical failure mode at the same exit point (180 off-heading with object strike while focused on aerials).</t>
  </si>
  <si>
    <t>201C1, 201C2, 203T, 204E</t>
  </si>
  <si>
    <t>['180 Offheading', 'Aerials', 'Altitude awareness', 'Not enough forward seperation on exit']</t>
  </si>
  <si>
    <t>Description: Accident DescriptionSergey completed several jumps from High Ultimate earlier that day and planned to join a group of BASE jumpers for the final jump of the day. Due to miscommunication, they were unable to meet, and Sergey decided to jump solo. At 16:32 he left the Horner Pub, which was the last confirmed sighting of him. According to the police investigation, he then travelled to Mürren and executed a solo jump from High Ultimate. No other BASE jumpers were present at the exit at that time, so the exact time of the jump remains unknown. However, based on commuting time, it could not have been earlier than 17:30.He was scheduled to fly home the following day. When he failed to check out of his hotel, a search effort was initiated. The search concluded the next morning at 08:10 when Air-Glaciers located his body below the exit point.Sergey’s body was found on the valley floor, close to the wall. His injuries indicate that death was immediate. His canopy was deployed, but it is impossible to determine whether he managed to pitch or whether the canopy released on impact. The toggles remained stowed, suggesting that he never achieved a “stable” flying position under canopy. Police reported no equipment malfunctions; the rig was worn correctly, and the canopy was attached to the risers, etc.
Important FactorsVisibility: the jump took place well after sunset. Even with a 75% moon, conditions were quite dark, which may have affected his orientation and depth perception. Around 19:00, low cloud cover moved below the exit point, potentially worsening visibility. However, he most likely jumped before 19:00.Fitness &amp; Mental State: the previous day, Sergey intentionally “took it very slow,” completing only a few jumps in the morning and resting for the remainder of the day. It is unclear why he chose to make such a late jump on Sunday. Given the accessibility of the exit, it is unlikely he was fatigued.Sergey was in excellent spirits throughout the entire trip; very relaxed at the beginning, but potentially progressively getting into the “sendy mode”.Skills: Sergey demonstrated strong body awareness and could perform complex aerials. However, his tracking skills (both sleek and two-piece) were below average. He often tracked with a very shallow, almost positive, angle of attack, resulting in poor performance.Jump Plan: although Sergey had originally intended to focus on improving his tracking, video evidence and reports from other jumpers suggest that he switched to the aerials for at least some of his jumps. On his last successful jump, he performed a sextuple front flip. It is unknown what he attempted during the accident jump, but it is plausible that some aerials were involved.Previous History: in summer 2023, Sergey experienced a serious accident at High Ultimate (with the short ramp). At that time, he was overly focused on aerials and pitched just above the ledge with a 180 off-heading, resulting in a crash landing on the ledge and severe injuries. Since recovering, he had expressed a strong desire to return to High Ultimate for “redemption.”Other FactorsThese would not have changed the outcome in this case but may be important considerations for the futureLack of Communication: he didn’t really communicate that he was going for another jump, so no one started looking for him on the same day. Also he did not use the BASE App, making it impossible to determine the precise jump time.Lack of Mobile Phone: Sergey did not have mobile roaming in Switzerland and left his phone at the hotel. Had he survived and landed on a ledge, in the forest, riverbed, etc., he could have used his phone to call emergency services, even without active roaming. Additionally, according to rescue services, an active mobile phone significantly improves search efficiency, even if the person is unconscious or deceased.Attaching the video of his very first HU jump (January 2023, single front flip) and very last (successful) HU jump (30th Nov 2025, sextuple front flip).</t>
  </si>
  <si>
    <t>BFL530</t>
  </si>
  <si>
    <t>2025-12-02</t>
  </si>
  <si>
    <t>The jumper was unable to extract his pilot chute despite multiple attempts over approximately 6 seconds, maintaining a de-arched/head-down body position throughout that prevented successful grasp of the clearly exposed handle. The possible factors identify the jumper extracted the pilot chute too late and was unable to locate/grasp it properly. The failed deployment technique and the body position adopted during extraction attempts constitute human error contributing directly to the fatal outcome.</t>
  </si>
  <si>
    <t>Free-style foam in the arm-wing
Description:
While zipping up his wingsuit on the edge of the exit point, Eric formulated a last-minute plan with his jumping partner (who was jumping slider-down) to do a flyby once they were under canopy. As instructed by Eric, the jumping partner took a 3 second delay, turned 45 degrees right and then turned back toward the flight line. There was no communication before the jump as to where the slider down jumper should be exactly (height or location over terrain) and no communication technology used to adjust their flight once under canopy. 16 seconds after his jumping partner left the exit, Eric can be heard on the video giving direction to be lower in the terrain, but at this point in the jump this instruction can only be characterized as narration as his jumping partner was so far away there was no possibility for them to hear what he was saying.
After an uneventful exit and smooth transition into full-flight, Eric turned his flight line 15-20 degrees to the right and successfully flew by the open canopy 15 seconds into his flight. His position at the fly-by was over the last ledge of the talus and approximately 150ft above the terrain. Immediately following the flyby, Eric initiated his flare and reached for his PC. At this point he was on level and approximately 500ft ahead of the open canopy. The handle was clearly exposed and sticking out past the sidewall of the container, but Eric was only able to get a finger on it. As the flight continued, he bent forward (de-arching with his head down) and continually attempted to grasp the handle. During the 6 seconds he attempted to pull the handle, he maintained the same de-arched position. Approximately 100ft over the terrain, he returned to full flight and impacted 3.5 seconds later in the flat terrain approximately 50ft from the river-bank.</t>
  </si>
  <si>
    <t>BFL531</t>
  </si>
  <si>
    <t>2025-12-29</t>
  </si>
  <si>
    <t>Sao Bento Do Sapucai, Brazil</t>
  </si>
  <si>
    <t>The jumper performed a gainer (aerial maneuver) that rotated very slowly, resulting in an unstable/poor body position at deployment. This led to a 180-degree off-heading opening with insufficient object separation, causing fatal object strike under canopy. Aerials exponentially increase danger and require careful planning; a slow-rotating gainer indicates inadequate execution, constituting human error.</t>
  </si>
  <si>
    <t>['180 Offheading', 'Not enough separation from object', 'Unstable exit']</t>
  </si>
  <si>
    <t>At this stage we have been told that he performed a gainer that rotated very slow and when opening received an off heading which he impacted the cliff at high speed and was hung up.
https://g1.globo.com/.../homem-morre-ao-sofrer-queda...
https://www.instagram.com/luiz_schaefer/</t>
  </si>
  <si>
    <t>BFL532</t>
  </si>
  <si>
    <t>The jumper exited in a wingsuit and quickly entered a scorpion position (feet passing over head), indicating a failed exit that produced an unstable, unrecoverable body position. This instability resulted in insufficient forward separation from the cliff and a subterminal impact with the rock face before or during a last-resort deployment. The scorpion position represents a human performance failure in exit execution.</t>
  </si>
  <si>
    <t>['Emergency low pull', 'Not enough forward seperation on exit']</t>
  </si>
  <si>
    <t>Tristan was a dedicated and meticulous person in everything he undertook. He had taken up BASE jumping with great seriousness, following the different stages of progression specific to the discipline. He regularly exchanged with experienced jumpers in order to continue improving and jumped on a regular basis. He was also involved and committed within his community.Sequence of events
On the day of the accident, Tristan and two friends decided to go jumping at Le Criou. All three were very familiar with the site, and particularly Tristan, who had grown up in the village located at its base.
The approach conditions were wintery, but with little snow. The approach to this jump usually involves approximately 3 hours and 30 minutes of hiking, but on that day they decided to use a 4x4 vehicle for part of the ascent, reducing the hike to about 1 hour and 30 minutes. They reached the exit point in the early afternoon, at around 3:15 p.m. Weather and aerological conditions were considered good, with a very light southerly wind (approximately 5 km/h).
At the summit, a thin layer of snow was present. The group took the time to carefully clean the exit point. They were not in a hurry, conditions remained stable, and they waited for good light before jumping. They were neither physically nor mentally fatigued.Tristan geared up and decided to jump first, at around 4:00 p.m.According to the accounts of his two friends, the push-off at the exit was correct. However, they noticed a forward-arched torso and then observed Tristan quickly enter a scorpion position, with his feet passing above his head. As they were not fully positioned at the edge of the cliff, the witnesses were unable to observe the remainder of the jump. Tristan disappeared from their view behind a rocky bulge after approximately two seconds.
Approximately five to six seconds after the jump, they heard the canopy deploy. The canopy then emerged from the cliff in flight. It initially flew with its back to the rock face, then slowly performed a turn of approximately 180 degrees and headed back toward the cliff. There did not appear to be any control input on the canopy using the brake lines. The turn was slow and wide. The canopy struck the rock face and slid down along it to the base of the cliff.At that moment, the witnesses were confident and believed Tristan was still alive. They alerted emergency services very quickly; however, it took approximately one hour for rescue teams to reach the site. The conclusions of the investigation indicated that Tristan had sustained severe head trauma and multiple injuries, likely occurring before he came under canopy. The available footage does not show any slip at the exit.
It is likely that Tristan deployed his pilot chute just before impact with the rock face, or immediately after an initial violent impact. Based on the situation observed under canopy, it is very likely that Tristan died as a result of this first impact with the cliff.
https://www.ledauphine.com/faits-divers-justice/2025/12/29/un-base-jumper-trouve-la-mort-apres-avoir-percute-une-paroi
 https://france3-regions.franceinfo.fr/auvergne-rhone-alpes/haute-savoie/un-pratiquant-de-wingsuit-meurt-apres-avoir-heurte-une-paroi-en-haute-savoie-3273770.html
 https://www.ladepeche.fr/2025/12/30/sous-les-yeux-de-ses-amis-un-homme-de-39-ans-se-tue-en-wingsuit-apres-avoir-percute-une-falaise-13136921.php</t>
  </si>
  <si>
    <t>BFL533</t>
  </si>
  <si>
    <t>2026-01-01</t>
  </si>
  <si>
    <t>Croatia</t>
  </si>
  <si>
    <t>Unstable exit from slip</t>
  </si>
  <si>
    <t>The jumper slipped during the exit push, resulting in a heavily head-down unstable exit with insufficient separation from the cliff. He impacted terrain without deploying his parachute. The slip during exit constitutes a human performance failure that directly produced the fatal outcome.</t>
  </si>
  <si>
    <t>There were three of us, Kristian decided to go first.
He stepped to the edge, prepared, and then made a push during which he slipped.All we could see from the exit was that he pitched heavily head-down and was extremely close to the ledge below.A moment later there was a sound of the first impact, and shortly after that another, much louder one.His parachute never appeared, and we immediately called the rescue services, who later found him.
https://www.24ur.com/.../na-severu-italije-med-skokom-s...
 https://www.soccorsoalpinotrentino.it/news/incidente-mortale-base-jumper-precipita-lungo-la-parete-di-cima-capi-tra-la-val-di-ledro-e-il-lago-di-garda/
https://www.24ur.com/novice/slovenija/na-severu-italije-med-skokom-s-padalom-umrl-slovenec.html</t>
  </si>
  <si>
    <t>BFL534</t>
  </si>
  <si>
    <t>2026-01-04</t>
  </si>
  <si>
    <t>Static Line Misrigging / Entanglement</t>
  </si>
  <si>
    <t>The jumper attempted an inverted (backwards) static line jump, a complex deployment method that was new to him. He impacted with nothing out approximately 40 seconds after the previous jumper's exit, with the bridle and pilot chute wrapped around his leg near the legstrap. The report explicitly cites incorrect rigging setup, canopy entanglement, and lack of knowledge in complex static line jumping as factors, indicating human errors in rigging, technique, and/or decision-making.</t>
  </si>
  <si>
    <t>['Canopy Entanglement', 'Incorrect rigging setup']</t>
  </si>
  <si>
    <t>Daniel and another jumper went to the Via Ferrata Bridge. His friend went handheld first and landed uneventfully on the way back to the Stechelberg Gondola. On his 360 camera Daniel is still standing on the bridge.He planned on doing an inverted static line jump - falling backwards of the bridge.The first jumper called others after a while asking if Daniel is already back at the packing area. He didn't see his canopy, but maybe just missed him. Rega was informed immidately. The Heli came and looked for him, but didn't see anything.Jumpers went up again with the gondola and saw parts of a canopy in the gully. Shortly after a jumper got onto the bridge and was able to look more thoroughly directly from above, he spotted Daniel somehow wrapped up in his canopy in the gully.Rega came again and was able to recover him. He probably died on impact.
If the video can be evaluated, some things will become clearer.
Daniel was a conservative, responsible jumper. He had slider down experience, but this jump was still new to him.His open and friendly manner, and his fucking moustache will be missed deeply.
https://www.instagram.com/lukas_twister?igsh=MWRwMXA3aDBwYjVsYw==
Updated 16th Jan 2026
Camera - Daniel Frey:
Daniel started recording when he got onto the bridge. Before he jumped he turned his camera off. We suppose he just forgot that it was already running.
Camera - jumper 1: - Bridle routing was correct through his legs - Anchor point close to the vertical steel cable on the handrail - not ideal to get into the exit position (maybe he moved the anchor further away from it. It should have better been tied to the stepping surface to minimize risks.)- Big gloves hanging down his wrists- He impacted 40 seconds after the first jumpers exit- It seemed to be an impact with nothing out, fell further down into the gully (wrapped himself up in his canopy that probably came out on impact - bridle and pilot chute were wrapped around his leg close to the legstrap)
Conclusion: - Underestimation: Lack of knowledge in complex static line jumping (I don‘t know what I don‘t know)- Maybe: narrow foot position, pushing to much, insufficient/off-axis rotation, anchor point not in the same line with the center of the body, slipping, …- Nervousness and in a rush- External influence- Lower tolerance for risk
For more details look in comments below (Han Groß - personal opinion).</t>
  </si>
  <si>
    <t>BFL535</t>
  </si>
  <si>
    <t>2026-01-05</t>
  </si>
  <si>
    <t>Cape Town, South Africa</t>
  </si>
  <si>
    <t>The narrative provides only external links and minimal structured data. The cause of death is subterminal impact near the exit during a wingsuit BASE jump, but there is no descriptive narrative explaining what went wrong — no information about exit quality, flight path, equipment state, weather conditions, or decision-making. Without substantive detail, neither a human error pathway nor a non-human cause can be reliably identified.</t>
  </si>
  <si>
    <t>https://www.news24.com/southafrica/news/base-jumper-dies-after-table-mountain-plunge-20260105-0876
https://www.ewn.co.za/2026/01/05/base-jumoer-falls-to-his-demise-on-table-mountain
https://www.thesouthafrican.com/news/travel-news/base-jumper-fatally-injured-on-table-mountain/
https://capeargus.co.za/news/2026-01-05-tragic-base-jumping-accident-on-table-mountain-claims-life/
https://www.facebook.com/groups/585830309496224/posts/1679244676821443/?idorvanity=585830309496224
https://capeargus.co.za/news/2026-01-05-tragic-base-jumping-accident-on-table-mountain-claims-life/?fbclid=IwY2xjawPJNRhleHRuA2FlbQIxMABicmlkETFtME5LTld4Q2tPMTFLd1E2c3J0YwZhcHBfaWQQMjIyMDM5MTc4ODIwMDg5MgABHuZd6YBbPcKhieFTjKYq0DepcKL4tMlxpsPFbjnYXUcp_K9OSgKYPk2Whtib_aem_ZV-df-nPferfyIUE1lUgGA
https://sahpadocs.b-cdn.net/SACAA/General-Notices/GAD001-SpeedFlying-BASE-Jumping/General-Notice-GAD001-SpeedFlying-BASE-Jumping.pdf?fbclid=IwY2xjawPJNS9leHRuA2FlbQIxMABicmlkETFtME5LTld4Q2tPMTFLd1E2c3J0YwZhcHBfaWQQMjIyMDM5MTc4ODIwMDg5MgABHg8gaWapTqUIL8IF6AyaiCF29aAkoTXdzGXWO9jrf-CAlaw8aOOA3631OC3b_aem_6ZfN4uTRlIGatAHWNbPhWw</t>
  </si>
  <si>
    <t>BFL536</t>
  </si>
  <si>
    <t>Aggressive proximity flying into terrain</t>
  </si>
  <si>
    <t>The jumper flew an aggressive proximity line on a new exit, turning toward flatter terrain with trees rather than following the safer straight/steep line discussed with his partner. He struck a leafless tree that was difficult to see, lost control, and impacted terrain. The narrative explicitly identifies overconfidence, aggressive flying from the first second, deviation from the planned safe line, lack of proper wingsuit training progression, and a pattern of risk-taking as contributing factors.</t>
  </si>
  <si>
    <t>201C2, 201C3, 202P2, 203T</t>
  </si>
  <si>
    <t>We took the first bus up to Monte Brento. On the way, we were checking the wind, and soon we saw that there was no wind at the top. We made the final decision to go for the Spartacus exit next to Monte Brento. This was the last exit he was missing from the top ones. He told me he really wanted to complete all the top exits.
We took a really nice hike up and went straight to the exit. When we arrived, we saw that the conditions were good: a soft breeze to no wind, with a slight north/east breeze. He felt really good (too good) at the exit and liked the place and the rock he would push off from. There was nothing he didn’t like about that jump.
He had watched a video on YouTube the day before showing how others flew the line. I told him many times not to fly the same line he had seen for the first time and to keep it high and safe. Fly straight and so soon you see that you have big margin turn left. He jumped first. His exit was solid strong push and quick inflation. He had a really good start and had good altitude to the terrain.
As he started flying, I saw that he didn’t go straight for the steeper part, which we had talked about. Instead, he turned soft left toward the flatter area where there is also a small hill. About ten seconds after the exit, I saw him softly touching a tree. From my perspective, he had good speed and didn’t lose altitude from my point of view… he was not close to a stall or anything like that. Maybe and probably he didn’t saw this dry tree.. this happened to him already few weeks back but he got away without anything. They are hard to spot in winter. However, his position became unstable, and from there he lost control and hit several more trees before impacting to the rocks. I have the camera and try to analyse what happen. If I‘m wrong I‘ll give an update.
In my eyes, he was overconfident and willing to try this line immediately. Going aggressive since the first second. Many of us and me had talked with him thousand times over the years about his jumping in overall. He had almost no wingsuit skydiving experience, he came to Brento and essentially did his first wingsuit jumps there, on his own terms. He pushed hard on every jump, not willing to learn a proper glide position or really understand how to fly. From jump to jump, there was only one way down low and fast. He had many close calls in his base career, willing to take a lot of risk even when he was alone. Sad but true
If I wouldn’t be with him he would be by his own thats how he was and he went for that what he wanted.
It’s sad but true: we lost a really humble, good, and kind soul. We all told him this would not end well, but he didn’t care that’s what he told us. He wanted that way.
Fly free, we love you Phil, aka Bumpsy
Updated 8th Jan 2026 
Update:
I was able to recover the video.
It happened as I explained before. He had a good start, began flying, and turned slightly to the left. He was aiming for that hill on the left that has a kind of tree gate at the end. He aimed and passed through that tree gate but didn’t see the dry tree afterward. He went that way to aggressive. He hit that tree on the side, not in the center.
After the impact he slightly lost control and speed. He kept flying for 2 seconds further till the next hit. Despite the hit, he would still have been high enough after the first hit to fly out if he hadn’t lost that much control and height. I know it doesn’t change anything, but I just wanted to say it.
What we can learn from this aside from the mental aspects he had is something we already know, but must take extra seriously in winter, early spring, and autumn after the leaves have fallen.
When flying a wingsuit above trees without leaves, you can visually see all the way down to the ground. This creates a dangerous visual illusion: it makes you believe you are flying higher than you actually are and that you can safely fly lower. In reality, the treetops without leaves are almost invisible.
In late spring and summer, the situation is different. The green leaves are clearly visible, and your brain interprets them as the “bottom” or a solid barrier (DANGER). As a result, you naturally keep more distance, fly higher, and avoid getting as close.
Trees without leaves can fool your sense of distance. Always keep extra margin.</t>
  </si>
  <si>
    <t>BFL537</t>
  </si>
  <si>
    <t>2026-02-05</t>
  </si>
  <si>
    <t>Slip on snowy exit without crampons</t>
  </si>
  <si>
    <t>The jumper cleared snow from the exit rock but was not wearing crampons in winter/snowy conditions. The most probable cause of death was slipping during the exit push or approach to the edge, resulting in an uncontrolled fall with no flight initiated. Jumping from a snow-covered exit point without crampons constitutes a human error in managing the physical environment.</t>
  </si>
  <si>
    <t>Slipped on exiting to Impact</t>
  </si>
  <si>
    <t>This Thursday was a perfect day for William. A morning of ski touring with his girlfriend, followed by a small jump at the Criou to properly finish the last day of good weather before starting to work 7 days a week for the February holidays.
Despite having said the day before that he would never take her to the exit again, William managed to convince Amélie to drive him up to the Pertuet chalets in the 4x4. He then continued alone, calmly, sending us videos and calling a few friends—maybe to express the joy of living a perfect day?
Arriving around 2:20 p.m., he sent me a voice message and then a video of the exit he was clearing of snow. He took the time to remove all the snow from the rock, pissed on it to be sure, and was waiting for the rock to dry completely before jumping.When I spoke to him just before he jumped, he told me he was calmly smoking a cigarette and getting ready to jump in about fifteen minutes.That was the last exchange I had with him. He seemed peaceful, relaxed, and simply happy to be enjoying his day.
At 4:11 p.m., having heard nothing from him, Amélie—who was waiting for him down below—called me, and I then alerted the rescue services.The PGHM found William at the bottom of the cliff around 5:30 p.m., as if he had never even taken flight.
I went back up two days later and, despite a few centimeters of fresh snow, I found his tracks and the cleared exit.The rock from which we push off was solid and in place; only the small fir tree next to the rock seemed lower than usual—bent by the fresh snow or broken by William? I couldn’t get close enough to be sure.
William wasn’t wearing crampons. He always pushed hard at the exit. The most likely hypothesis is a slip—either while pushing or while moving toward the edge…
William was my partner, a friend like you only have a few of in a lifetime, a passionate guy who always excelled at everything he undertook. He always wanted to push the limits, especially in wingsuit flying, where he had an unfortunate tendency to get far too close to the terrain. Despite all the arguments we had about it, this story proves that even when you push too much in this sport, you can die from a stupid mistake…
I don’t know if there’s really any lesson to be learned from this BFL, other than that in winter there is snow—and snow without crampons is slippery…
This jump was our jump. We did it more than fifty times, mostly together, and every time we saw “the ibex ledge” a few dozen meters below the exit. I still can’t believe that it’s that ledge that probably cost you your life.You were my partner, my buddy, my colleague, my brother.I’m going to miss you a lot Gros PDI love youCe jeudi était une journée parfaite pour William. Matinée ski de rando avec sa copine suivie d'un petit saut au Criou bien finir la dernière journée de beau temps avant avant de commencer ton travail 7/7 pour les vacances de février.
Malgré son intention exprimée la veille de ne plus jamais l'emmener à l'exit, William a réussi à convaincre Amélie de le monter jusqu'aux chalets de Pertuet en 4x4. Puis il a continué à monter seul, tranquillement, en nous envoyant des vidéos et en téléphonant à quelques amis, peut être pour exprimer sa joie d'être entrain de vivre une journée parfaite?
Arrivé vers 14h20 il m'a envoyé un vocal puis une vidéo de l'exit qu'il était entrain de déneiger, il a pris le temps d'enlever toute la neige du caillou, a pissé dessus pour être sûr et était entrain d'attendre que le rocher sèche totalement avant de sauter.
Lorsque je l'ai eu juste avant qu'il saute, il m'a dit être tranquillement entrain de fumer une clope et de se préparer pour sauter dans une quinzaine de minutes.
C'est le dernier échange que j'ai eu avec lui, il semblait apaisé, détendu et juste heureux de profiter sa journée.
À 16h11, n'ayant pas de ses nouvelles, Amélie qui l'attendait en bas m'a appelé, puis j'ai déclanché les secours.
Le PGHM a retrouvé William en bas de la falaise vers 17h30, comme s'il ne s'était jamais mis en vol.
Je suis monté le surlendemain et malgré les quelques centimètres de neige fraîche j'ai trouvé ses traces et son déneigement de l'exit.
Le rocher depuis lequel on pousse était bien en place, seulement le petit sapin bordant se caillou semblait plus bas que d'habitude, plié par la neige fraîche ou cassé par William? Je n'ai pas pu m'approcher assez pour en être sûr.
William n'avait pas ses crampons, il poussait toujours fort à l'exit. L'hypothèse la plus probable est celle d'une zipette, soit en poussant soit en allant au bord du trou...
William était mon binôme, un ami comme on en a moins que les doigts d'une main, un passionné qui a toujours performé dans tout ce qu'il a entrepris. Il a toujours voulu repousser les limites notamment en wingsuit où il avait une fâcheuse tendance à se rapprocher bien trop près du relief. Malgré toutes les engueulades qu'on a eues à ce sujet, l'histoire nous a prouvé que même lorsqu'on engage trop dans ce sport, on peut mourir d'une erreur bête...
Je sais pas s'il y a vraiment de leçon à apprendre de cette BFL mis à part que l'hiver il y a de la neige et que la neige sans crampons ça glisse...
Ce saut c'était notre saut, on l'a fait plus d'une cinquantaine de fois, majoritairement ensemble et à chaque fois on voyait "la vire des bouquetinos" quelques dizaines de mètres sous l'exit, j'ai encore du mal à croire que c'est cette vire qui t'a certainement coûté la vie.
Tu étais mon binôme, mon pote, mon collègue, mon frère
Tu vas me manquer Gros PD
Je t'aime</t>
  </si>
  <si>
    <t>act_index</t>
  </si>
  <si>
    <t>L1_category</t>
  </si>
  <si>
    <t>L1_label</t>
  </si>
  <si>
    <t>L1_description</t>
  </si>
  <si>
    <t>The jumper chose to jump from a guyed antenna in medium-to-strong wind conditions. Strong crosswinds blew him into a guy wire under canopy, causing canopy collapse at 300 feet. The decision to jump in winds strong enough to drift a canopy into guy wires from a three-guy-wire antenna — which inherently restricts safe heading range — was clearly and specifically inappropriate, and this decision was the producing mechanism for the fatal object strike.</t>
  </si>
  <si>
    <t>Frank left a pull-up cord in the closing loop of his container, which prevented the static line from extracting the canopy, resulting in a total malfunction. This is a memory/attention failure during the rigging process — he intended to complete the rigging correctly but failed to remove a tool that blocked container opening. The omission directly produced the total malfunction and fatal impact.</t>
  </si>
  <si>
    <t>The jumper performed a short delay cliff jump in gusty mid-day conditions with crosswinds at the exit. The narrative explicitly identifies strong/medium winds and crosswinds as possible factors, and gusty mid-day conditions are clearly inappropriate for a slider-down cliff jump where an off-heading opening leaves minimal time and separation to avoid object strike. The decision to jump in these conditions was the producing mechanism: the gusty crosswinds caused the 180° off-heading opening that put the jumper into the wall.</t>
  </si>
  <si>
    <t>Pauli used a loose single knot to connect the static line break cord to the parachute, while other jumpers used double knots. This inadequate knot broke prematurely during deployment, causing the static line to disconnect before it could extract the pilot chute from the bag. The jump became an unassisted freefall from a 170m antenna using a slow-opening system with insufficient altitude for inflation, resulting in impact.</t>
  </si>
  <si>
    <t>After landing in the river and signaling he was all right, the jumper made no attempt to get out of his gear. His reserve canopy caught the swift current and pulled him under the surface, causing drowning. The failure to disconnect from the parachute system after a water landing was the direct mechanism that produced the fatal outcome.</t>
  </si>
  <si>
    <t>After a clean 180° off-heading opening, Carl was unable to turn the canopy away from the wall before striking it. The canopy's severe forward surge upon opening (due to unmodified brake settings lacking a deep brake setting) combined with the 180° off-heading resulted in the canopy flying him into the wall before he could execute a heading correction.</t>
  </si>
  <si>
    <t>Carl refused to allow modification of his canopy with a deep brake setting or modern tail pouch before the trip, despite a known severe surge characteristic on opening. The absence of a DBS meant the canopy had excessive forward speed upon inflation, directly producing the fatal wall strike when the 180° off-heading occurred. A properly tuned DBS would have reduced forward speed and provided additional time for heading correction, which is the explicit purpose of the DBS for object-proximate jumps.</t>
  </si>
  <si>
    <t>Jorgen exited head first, went into a spin, and lost control, impacting the cliff face at subterminal altitude near the exit. The head-first exit resulted in an unrecoverable spin, indicating a technique/execution error in the exit rather than a decision error. The fatal outcome was produced by the inability to recover a stable body position and deploy the parachute.</t>
  </si>
  <si>
    <t>The narrative states the jumper 'went off unstable' from a technically difficult waterfall. This unstable exit led to catching her feet in lines during deployment, producing a 180 off-heading opening and fatal object strike. The execution failure on exit was the producing mechanism for the chain of events that caused the fatality.</t>
  </si>
  <si>
    <t>The jumper launched head down and lost control, then deployed while unstable. This execution failure — an unstable exit leading to unstable deployment — resulted in an off-heading opening and fatal object strike under canopy. Despite 2,700 skydives, this was his first BASE jump, and the physical execution of the exit was insufficient for the cliff environment.</t>
  </si>
  <si>
    <t>The jumper experienced a slow opening and 180-degree off-heading, resulting in landing in rapids and drowning. The narrative does not provide sufficient detail to determine whether the fatal outcome resulted from a decision error (e.g., the choice to use skydiving gear with a sail slider) or a performance/skill-based error (e.g., poor body position causing the slow opening and off-heading, or failure to correct heading). Multiple possible factors exist but the narrative lacks detail to discriminate between them.</t>
  </si>
  <si>
    <t>The jumper used skydiving equipment rather than dedicated BASE equipment for a 500-foot antenna jump. Skydiving gear has smaller pilot chutes and deployment systems designed for terminal velocity freefall from altitude, not the low-airspeed, low-altitude conditions of a slider-down BASE jump from 500 feet. This equipment selection decision resulted in a total malfunction (impact with nothing out), as the skydiving pilot chute was inadequate to extract and deploy the canopy in the available time and airspeed.</t>
  </si>
  <si>
    <t>The static line parted prior to extracting the canopy, resulting in a total malfunction. This was Mike's first solo pack job, and the cause of death is listed as malfunction/misrigging, indicating a rigging execution error in the static line setup that caused it to fail before canopy extraction.</t>
  </si>
  <si>
    <t>The jumper had a history of unstable exits (head-down launch on his previous jump) and the narrative lists unstable exit as a possible factor. The canopy opened with line twists and an off-heading orientation resulting in object strike, indicating poor body position at deployment produced the fatal conditions.</t>
  </si>
  <si>
    <t>The jumper used a skydiving rig with a skydiving canopy (Pegasus) configured slider-down for a 6-second delay from a cliff. Skydiving equipment is not designed for BASE applications - skydiving canopies have poor heading performance compared to BASE canopies, and skydiving containers are not optimized for the deployment dynamics of BASE jumping. Using skydiving gear for a slider-down cliff jump with only one prior BASE jump represents a clearly inappropriate equipment decision that was a producing mechanism for the fatal off-heading opening and object strike.</t>
  </si>
  <si>
    <t>The jumper chose to use a skydiving pilot chute and skydiving bridle for a BASE jump despite being advised by Bridge Day Jumpmasters that this was not the appropriate setup. The skydiving PC failed to inflate (appearing inverted/mesh-side-out in video), which is consistent with the known inadequacy of skydiving PCs for BASE applications — they are too small and lack the drag characteristics needed at sub-terminal airspeeds. This equipment decision directly produced the total malfunction that led to impact.</t>
  </si>
  <si>
    <t>The narrative reports medium to strong winds at the time of the jump. The jumper died by striking a seawall on final approach under canopy, indicating wind conditions prevented a safe landing. Jumping in strong winds is a clear departure from accepted practice, as the domain reference states few objects are good in winds over 10 mph and no objects are good over 20 mph. The strong winds were the producing mechanism that made a safe landing approach impossible, resulting in the fatal seawall strike.</t>
  </si>
  <si>
    <t>The jumper over-delayed freefall and deployed the pilot chute too late, resulting in impact with the talus at line stretch. The jumper failed to deploy at the correct altitude, indicating an execution/attention failure in monitoring altitude or timing rather than a deliberate decision to pull at an inadequate altitude.</t>
  </si>
  <si>
    <t>Jean-Marc used a skydiving reserve canopy (Vega 180) packed in a deployment bag for a BASE jump from a cliff (Angel Falls). Using skydive gear for BASE jumping is a clearly inappropriate equipment decision: skydiving reserve canopies lack the heading performance characteristics of BASE-specific canopies, and deployment bag configurations at sub-terminal or low airspeeds yield poor heading performance. The cause of death is explicitly attributed to 'Skydive Gear Used,' and the resulting 180 off-heading with line twists led to wall strike and fatal injuries.</t>
  </si>
  <si>
    <t>David misunderstood advice about hand-held PC technique and exposed several inches of mesh in addition to the top of the pilot chute. This caused the PC to partially inflate before release, which tipped him backwards and torqued him during opening, producing multiple line twists he could not clear before striking the wall. The narrative explicitly states he misunderstood the instruction — he intended to hold the PC correctly for faster inflation but executed the technique incorrectly by exposing too much mesh.</t>
  </si>
  <si>
    <t>The jumper experienced a 180° off-heading opening with line twists from a PCA deployment on a building, resulting in object strike. The narrative does not provide sufficient detail to determine whether the off-heading and line twists resulted from a decision error (e.g., inadequate planning) or a performance/skill-based error (e.g., poor body position at deployment, packing error). The root cause of the off-heading opening cannot be determined from the available information.</t>
  </si>
  <si>
    <t>The jumper chose to use a skydiving rig (Wonderhog) with a curved pin closure system for a BASE jump instead of a purpose-built BASE container. The skydiving container's curved pin closure was susceptible to pin lock under tension, and this equipment choice was the producing mechanism for the fatal pilot chute in tow. The narrative explicitly notes both jumpers had discussed purchasing proper BASE containers but declined due to cost, establishing this was a conscious equipment decision.</t>
  </si>
  <si>
    <t>Darren exited very head-down, causing the canopy to deploy between his legs and open 180 degrees off-heading, surging into the building. He had been advised multiple times to correct his exits as his previous three jumps were all head-down, indicating a persistent technique error in exit body position. The head-down exit directly produced the off-heading opening and fatal object strike.</t>
  </si>
  <si>
    <t>Jonathan's pilot chute inadvertently deployed from the BOC pouch during freefall tracking, causing a premature opening. He had never used this BOC style before, and the pouch was reportedly too large for the pilot chute, allowing fabric to catch air. The premature deployment was an execution failure - the PC was not adequately secured, and his unfamiliarity with the system contributed to improper stowage (pulling fabric out of the pouch before exit).</t>
  </si>
  <si>
    <t>The jumper experienced a 180° off-heading opening and failed to adequately respond with heading correction, resulting in object strike under canopy. The narrative explicitly states he 'failed to adequately respond' to the off-heading, indicating a performance/execution failure in the critical task of heading correction after opening.</t>
  </si>
  <si>
    <t>The possible factors identify 'not enough forward separation on exit' as a contributing factor. Insufficient push or exit technique resulted in inadequate object separation, reducing the time and distance available to survive the subsequent off-heading opening. This is a technique/execution error in performing the exit.</t>
  </si>
  <si>
    <t>The jumper held a head-high attitude for too long during freefall from El Capitan, lost altitude awareness, and backed into the wall in her 15th second of freefall. The head-high body position and failure to monitor altitude and proximity to the cliff constituted a performance/execution error that directly produced the fatal impact.</t>
  </si>
  <si>
    <t>The jumper used skydiving equipment for a BASE jump from an antenna. Skydiving gear is designed for terminal-velocity deployments with thousands of feet of altitude margin, not for the sub-terminal airspeeds and minimal altitude of BASE jumping. The slider-up skydiving canopy sniveled (prolonged opening sequence) at sub-terminal airspeed, consuming all available altitude and resulting in impact. This was a fundamental equipment selection decision error that directly produced the fatal outcome.</t>
  </si>
  <si>
    <t>The jumper had no apparent BASE training, no BASE experience, and held only an expired USPA A license (the lowest skydiving certification). Attempting a BASE jump from an antenna without a First Jump Course, mentor guidance, or any understanding of BASE-specific equipment, packing, and deployment requirements represents a decision that was clearly and specifically inadequate. This decision directly enabled the use of inappropriate equipment and configuration.</t>
  </si>
  <si>
    <t>The jumper used an unmodified square canopy with no deep brake settings for a sheer cliff that was best suited for freefall delay and a round canopy. A square canopy without DBS produces significant forward speed on opening, and on a sheer wall this directly creates the pendulum/object strike failure mode. The equipment and technique selection was clearly inappropriate for the object's characteristics.</t>
  </si>
  <si>
    <t>The jumper decided at the last moment to stow the pilot chute in the BOC pouch instead of leaving it out as required for a static line deployment. This decision directly caused the malfunction: when the static line became taut, it applied force at a right angle to the stowed PC, causing the break cord to part prematurely before extracting the PC and bridle, resulting in a total malfunction. The domain reference explicitly states that the PC must never be stowed during a static line jump.</t>
  </si>
  <si>
    <t>Canopy control error</t>
  </si>
  <si>
    <t>Don flew himself into a corner after the bridge jump and panic-hooked into the canyon wall, resulting in fatal head trauma. The fatal outcome was produced by inadequate canopy piloting execution in the tight landing area — specifically a panic hook turn into the canyon wall rather than a controlled approach.</t>
  </si>
  <si>
    <t>Sébastien was tracking on his back to film the second jumper. Instead of prioritizing forward separation from the cliff, both jumpers focused on closing the gap between them for video purposes. This resulted in inadequate separation from the wall, leaving them approximately 2 seconds from impact when it was time to separate and deploy.</t>
  </si>
  <si>
    <t>By the time Sébastien recognized the insufficient separation and attempted to deploy, he was too close to the wall. He pitched immediately upon realizing the situation but impacted the wall during deployment, indicating the deployment was initiated too late to achieve a survivable outcome. The filming task degraded his monitoring of separation and altitude.</t>
  </si>
  <si>
    <t>The jumper had an unstable launch and took 12 seconds to recover stability before deploying the pilot chute, with impact occurring at 12.7 seconds. The execution failure was the unstable exit combined with the failure to deploy the parachute despite instability — the jumper prioritized regaining stability over deploying, resulting in insufficient altitude for the canopy to open. Regardless of the exit quality, deploying earlier (even from an unstable position) was the critical execution failure that produced the fatal low pull.</t>
  </si>
  <si>
    <t>The jumper failed to apply immediate heading correction or evasive maneuvers after canopy opening near the cliff face. The original eyewitness account states he had ample room and time to employ commonly practiced evasive maneuvers but allowed his canopy to fly into the cliff. Even accounting for the update suggesting limited time due to the underhung wall geometry, the jumper had been repeatedly advised to be more responsive during the canopy opening sequence, indicating a pattern of inadequate execution of post-opening canopy control skills.</t>
  </si>
  <si>
    <t>The jumper was repeatedly advised to apply deeper brake settings to his non-BASE specific canopy to avoid its excessive surge and drive, but did not do so. Using a canopy with excessive forward surge without appropriate deep brake settings at a cliff where the wall becomes underhung and openings occur directly beside the wall was a decision that directly contributed to the canopy flying into the cliff rather than flying slowly enough to allow heading correction.</t>
  </si>
  <si>
    <t>The jumper used an unmodified skydiving rig for a BASE jump. A skydiving collapsible pilot chute with bungee retraction is designed for terminal airspeeds and is known to be ineffective at the sub-terminal airspeeds of a BASE jump from a 364-foot antenna. This equipment selection decision directly produced the total malfunction that caused the fatality.</t>
  </si>
  <si>
    <t>The jumper delayed too long before extracting the pilot chute from the BOC, resulting in insufficient altitude for the canopy to fully deploy. The possible factors note 'Extracted Pilot Chute too late' and the cause of death is listed as 'low pull,' indicating the jumper failed to deploy at the correct altitude despite presumably intending to do so.</t>
  </si>
  <si>
    <t>The jumper jumped into a fog bank (low level clouds), which eliminated visual references needed for canopy navigation near a cliff. Flying into conditions with no visibility near terrain is a clearly inappropriate decision, as it removed the ability to maintain object separation. The cause of death was object strike under canopy after reportedly losing bearings in the fog.</t>
  </si>
  <si>
    <t>The jumper had an unstable head-down launch from the cliff. This unstable exit compromised his ability to establish an effective track away from the wall, resulting in insufficient object separation. He struck the wall at eight seconds, leading to canopy deflation and fatal impact.</t>
  </si>
  <si>
    <t>The jumper failed to achieve adequate forward separation from the cliff on exit, as indicated by the possible factors noting clipped ledge after exiting and not enough forward separation on exit. This insufficient separation, combined with late pilot chute extraction, resulted in the canopy opening with the jumper too close to the wall, leading to fatal wall impact with no time or distance for heading correction.</t>
  </si>
  <si>
    <t>After a normal delay, the jumper instinctively reached for the BOC position she was accustomed to rather than the leg-mounted pilot chute pouch on the system she was actually jumping. She failed to locate the pilot chute handle and ran out of time before correcting, resulting in a no-pull impact.</t>
  </si>
  <si>
    <t>The jumper's companions explicitly warned him that it was too dark, the wind was wrong, and the water was too high, yet he elected to jump. This was a conscious decision to proceed despite multiple clearly identified hazards (night, adverse wind, high water) that collectively made the jump inappropriate. The decision to jump in these conditions — particularly the high, moving water that directly caused his drowning — was the producing mechanism for the fatal outcome.</t>
  </si>
  <si>
    <t>Trevor used a skydiving container (Racer) with a skydiving-style deployment system: a 30-inch F-111 pilot chute, a 4-foot bridle, a deployment bag, and a sail slider. This equipment was fundamentally inappropriate for BASE jumping. The 30-inch F-111 PC was grossly undersized for a slider-up BASE deployment, the 4-foot bridle was far too short to clear the burble (BASE standard is 9 feet), and the sail slider would have severely degraded heading performance and produced dangerously slow openings. The combination of these equipment choices was the producing mechanism for the fatal outcome — the canopy was found at line stretch with the slider still at the top of the lines, indicating the system never completed deployment.</t>
  </si>
  <si>
    <t>Andrea over-delayed while flying in a back-to-earth position filming two other jumpers, failing to deploy his pilot chute at a survivable altitude. He impacted the talus as his canopy was still opening, indicating the deployment was initiated too late. The back-to-earth position is a known cause of loss of altitude awareness, and the filming task divided his attention from monitoring altitude.</t>
  </si>
  <si>
    <t>Video evidence shows Terry having trouble with directional control and tracking during freefall. He deployed with a 180° off-heading, resulting in his canopy flying him directly into the cliff wall. With only 8 BASE jumps, his sub-terminal tracking and body position at deployment were insufficient to achieve adequate object separation and on-heading opening, constituting a performance/skill-based error in execution.</t>
  </si>
  <si>
    <t>The jumper launched unstable and remained unstable throughout freefall until impact. This is a performance/execution failure: the jumper failed to recover a stable body position and failed to deploy the parachute despite having terminal freefall time available (slider-up cliff, impact at terminal velocity). The inability to stabilize and/or deploy constitutes a skill-based execution error that directly produced the fatal outcome.</t>
  </si>
  <si>
    <t>The narrative explicitly describes conditions as 'pretty bad' with rain, strong and gusty winds, and crosswinds from the right. The group acknowledged conditions were 'better, but not good' and that everyone would have left if anyone had suggested it. The jumper chose to jump in conditions that were clearly inadequate for safe cliff jumping - strong gusty crosswinds, rain, and turbulence near the wall. These conditions directly produced the fatal outcome: the crosswind pushed the jumper into the wall corner despite the group's plan to fly in the wind shadow.</t>
  </si>
  <si>
    <t>The group agreed on a plan to deploy low enough to remain in the wind shadow of the wall but high enough to handle heading problems. Jorge deployed his canopy higher than all the other jumpers, placing himself above the protective wind shadow and into the turbulent crosswind zone near the wall. This decision directly resulted in his canopy being exposed to the strong crosswinds and turbulence, causing him to fly parallel to the wall until impacting the corner.</t>
  </si>
  <si>
    <t>The jumper had no previous BASE jumps, no training, no mentor, and no experienced jumper present. He purchased BASE gear and attempted a BASE jump from a sub-optimal exit point with zero preparation. This represents a clear and specific decision error — attempting a BASE jump without any of the foundational skills, training, or mentorship required, which directly produced the fatal outcome.</t>
  </si>
  <si>
    <t>The jumper pivoted off the launch, went on his back, and struck the cliff in freefall. The execution of the exit was fatally flawed — he failed to achieve any stable body position or forward separation from the cliff, directly resulting in object strike at sub-terminal altitude.</t>
  </si>
  <si>
    <t>The jumper converted from slider-down to slider-up configuration but neglected to route the steering lines back through the slider grommets. This omission is a memory/procedural execution failure — he knew the correct procedure (having packed slider-up configurations before) but failed to complete a necessary step during the last-minute conversion. The misrouted steering lines caused the canopy to open in a turn, resulting in object strike before full inflation.</t>
  </si>
  <si>
    <t>Thierry chose to exit on his back from a cliff with only ~6 seconds of pure vertical. A back-to-earth exit is an aerobatic maneuver that inherently costs time and altitude to recover to a belly-to-earth orientation, and the domain reference explicitly identifies loss of altitude awareness and delayed deployment as known failure modes of back-to-earth exits. At a cliff requiring mandatory tracking for separation, this decision consumed the altitude and time needed for recovery, tracking, and deployment. The execution proceeded as intended (he exited on his back as planned), but the decision itself was the producing mechanism — choosing an aerobatic exit from a cliff with limited vertical relief and insufficient margin for the recovery time required.</t>
  </si>
  <si>
    <t>After the back-to-earth exit, Thierry took too long to recover to a belly-to-earth position facing away from the wall. He failed to achieve adequate forward separation through tracking before needing to deploy. His attempted quarter-turn and deployment came too late, resulting in ground impact before canopy deployment was complete. The execution of the recovery and tracking was insufficient for the altitude available.</t>
  </si>
  <si>
    <t>The jumper had an unstable short delay from a slider-up cliff object, resulting in insufficient forward separation. With only 3 BASE jumps total (second or third jump), she lacked the sub-terminal tracking skill and exit technique needed to achieve adequate object separation from a slider-up cliff, leading to a wall strike under canopy.</t>
  </si>
  <si>
    <t>The jumper slipped on the wet launch ramp, resulting in loss of control during freefall. He deployed on his back with a partially inflated canopy and struck the tree-filled outcropping. The execution failure on exit — slipping — produced the unstable freefall, back-to-earth deployment, and fatal object strike.</t>
  </si>
  <si>
    <t>The jumper used modified skydiving gear including a PO-9 skydiving canopy known in the Russian BASE community as unsuitable for BASE jumping. Using a skydiving canopy and modified skydiving equipment for a slider-down BASE jump from a building is a fundamentally inappropriate equipment decision. The gear selection itself was the producing mechanism: a skydiving canopy lacks the design features (reinforcement, heading performance, appropriate opening characteristics, deep brake settings) required for low-altitude fixed-object deployments, and this inadequacy directly produced the fatal outcome regardless of execution quality.</t>
  </si>
  <si>
    <t>The jumper went head down on the launch and tumbled, failing to achieve a stable exit position. This unstable exit resulted in the jumper striking the wall before any effective deployment could occur, with the canopy only partially deploying from the force of wall impact. The execution of the exit was the direct producing mechanism of the fatal outcome.</t>
  </si>
  <si>
    <t>Lee continued filming on his back for approximately 3 seconds beyond the second jumper's 8-second deployment, then took an additional second to transition to face-to-earth before disappearing into fog. He deployed too late to achieve a fully inflated canopy before ground impact. The narrative indicates he intended a 10-second delay but the total elapsed time before deployment initiation exceeded what the available altitude could support, constituting a failure in execution — specifically an attention failure in monitoring altitude/time while focused on filming.</t>
  </si>
  <si>
    <t>The jumper experienced a pilot chute in tow, meaning the PC failed to extract the canopy from the container. He was going stowed for the very first time, using a 38-inch PC with a 6'9" bridle on a 1.5-second delay from a span. The PC opened only 0.4 seconds before impact, indicating it remained entangled or ineffective throughout the brief freefall. The execution of the stowed PC deployment was inadequate - whether through weak throw, late deployment, or improper technique - resulting in the PC failing to catch clean air and extract the canopy.</t>
  </si>
  <si>
    <t>Lori launched and lost stability on her first cliff jump. She was unable to recover a stable body position or achieve adequate separation from the cliff, resulting in impact with the cliff wall in freefall at approximately 11 seconds. The cause of death was impact in terminal freefall, indicating she never deployed her parachute, likely due to loss of altitude awareness and/or proximity to the wall resulting from the sustained instability.</t>
  </si>
  <si>
    <t>Nik launched head-down and deployed before achieving complete stability. This unstable body position at deployment directly contributed to the off-heading opening (canopy opened facing the cliff), which produced the fatal object strike. The execution of the exit and the timing of deployment were insufficient — he intended a 9-10 second delay but deployed while still unstable, indicating a performance failure in maintaining stability and/or deploying at the appropriate time.</t>
  </si>
  <si>
    <t>With most previous BASE jumps being low objects, Nik was actively working on tracking skills but did not achieve adequate forward separation from the cliff during freefall. The insufficient object separation meant that when the canopy opened off-heading (facing the cliff), there was not enough distance to complete the heading correction before striking the ledge. This is an execution/technique error in sub-terminal tracking performance.</t>
  </si>
  <si>
    <t>Wolfgang extracted his pilot chute too late after attempting to film his jump partner's opening. The canopy lines were completely out of the tail pocket but the canopy only opened after impact, indicating deployment was initiated at an altitude insufficient for completion. The filming task degraded his tracking and delayed his pull, resulting in a fatal low deployment.</t>
  </si>
  <si>
    <t>The jumper exited from a sketchy launch point and never gained control from exit through impact. With only 16 BASE jumps at a slider-up cliff requiring sub-terminal tracking, the jumper failed to execute a stable exit and was unable to recover a flyable body position, resulting in subterminal impact near the exit point.</t>
  </si>
  <si>
    <t>Kirill failed to deploy his parachute at a survivable altitude during his wingsuit BASE flight. The update clarifies the canopy was fully open but he 'hooked ground' immediately after opening, indicating deployment occurred too late for the canopy to arrest his descent before terrain contact. With only 2 wingsuit BASE jumps and 20 wingsuit skydives, his altitude awareness and deployment timing execution were insufficient for the demands of wingsuit BASE flight.</t>
  </si>
  <si>
    <t>Rob selected an exit point ('RT Hjjrner') with only a 5-second rock drop and a ledge that multiple experienced wingsuit pilots, including his jumping partner, assessed as not achievable. Despite repeated warnings that the jump could not be made, he committed to the exit including a reverse gainer. The decision to jump this specific site was the producing mechanism: the object's geometry did not provide sufficient clearance for a wingsuit flight path, resulting in impact with the talus ledge at subterminal speed with no possibility of parachute deployment.</t>
  </si>
  <si>
    <t>Bill passed the bridle through the canopy attachment ring but failed to complete the lark's head knot that would secure the connection. The narrative speculates he was distracted during rigging and did not finish the procedure, resulting in the bridle not being connected to the canopy. This rigging execution error directly produced a total malfunction — the pilot chute and bridle extracted cleanly but the canopy remained in the container, causing closed-container impact.</t>
  </si>
  <si>
    <t>The jumper used a 5-6 second delay at a site where locals recommend at least 8-9 seconds for adequate object separation. Combined with medium to strong winds and crosswinds at exit, this short delay left the jumper too close to the wall at opening, directly producing the conditions for the fatal object strike when the 180° off-heading occurred. The decision to use an insufficient delay in strong/crosswind conditions was the producing mechanism: more delay would have provided the tracking time and separation needed to survive the off-heading.</t>
  </si>
  <si>
    <t>The jumper chose a proximity flying line that required clearing a ledge, at a site known by only a very few jumpers. She was unable to outfly the ledge with her wingsuit, resulting in terrain impact in terminal freefall. The decision to fly a line that committed her to clearing specific terrain features without adequate margin was the producing mechanism — she did not attempt to pull, indicating she was in a no-pull zone when the terrain strike became inevitable. This represents a flight planning decision that was clearly inadequate for the terrain, independent of execution quality.</t>
  </si>
  <si>
    <t>The narrative states the jumper was performing aerials and either over-delayed or had a pilot chute/bridle hang-up, with the PC deploying but the canopy not inflating prior to impact. The narrative explicitly presents two competing explanations (over-delay vs. PC/bridle entanglement) without resolving which occurred. There is insufficient information to determine whether this was a decision error (choosing excessive delay for aerials) or a performance/skill-based error (execution failure during aerials leading to late deployment or entanglement).</t>
  </si>
  <si>
    <t>The jumper dropped the hand-held pilot chute, and it became entangled with him during pickup. He then jumped anyway with the entangled PC, resulting in a PC in tow / bridle entanglement and total malfunction. The decision to jump with a compromised deployment system — regardless of whether he was fully aware of the extent of the entanglement — was the producing mechanism for the fatality. Jumping with a known-disturbed PC configuration under pressure from law enforcement was a clearly inappropriate decision; aborting and accepting arrest was the obvious alternative.</t>
  </si>
  <si>
    <t>The jumper dropped the hand-held pilot chute while rushing to the exit point under pressure from highway patrol. This execution error created the entangled PC condition that led to the fatal total malfunction, though the subsequent decision to jump with the compromised PC was the primary producing mechanism.</t>
  </si>
  <si>
    <t>The narrative indicates a deployment problem—either the jumper initiated the deployment sequence too late or experienced pilot chute hesitation, resulting in a low pull and ground impact. There is insufficient detail to determine whether this was a decision error (consciously choosing to delay deployment) or a performance/skill-based error (failing to execute a timely pull or poor PC deployment technique).</t>
  </si>
  <si>
    <t>The jumper experienced a 180-degree off-heading opening approximately 200 meters off the ground while facing the cliff. He struck the cliff approximately 3 seconds after opening without successfully correcting the heading. The narrative indicates this was his first off-heading opening, suggesting he lacked the practiced muscle memory for instant heading correction (rear riser or brake input) needed to turn away from the wall within the available time window.</t>
  </si>
  <si>
    <t>All witnesses agree that the jumper reached for and located the pilot chute at a reasonable altitude but then kept his hand there and continued in freefall without deploying. He finally deployed at approximately 30 feet above ground, far too late for the canopy to inflate. This represents a failure in execution — the jumper found the handle but failed to extract and deploy the PC in a timely manner, likely due to an attention/perception failure (misreading altitude due to unfamiliar groundrush characteristics in wingsuit flight). The intended action was correct but the execution was fatally delayed.</t>
  </si>
  <si>
    <t>Jason performed a single front somersault that over-rotated, which delayed the start of his track. This execution error directly reduced the time and distance available for tracking away from the wall, resulting in insufficient separation to clear the underhung section before impact.</t>
  </si>
  <si>
    <t>The jumper extracted his pilot chute too late, resulting in insufficient altitude for the canopy to fully open before ground impact. The narrative states he was observed with only a partially open canopy at impact, and the possible factors field identifies 'Extracted Pilot Chute too late.' The planned deployment sequence (reach for PC, delay one second while partner deploys) was executed too late in the freefall, constituting a performance error in altitude awareness and deployment timing.</t>
  </si>
  <si>
    <t>The jumper performed aerials and subsequently encountered stability problems. This instability led to a late deployment, which combined with an off-heading opening resulted in insufficient separation from the wall and a fatal object strike under canopy. The execution of the aerials produced the instability that cascaded into the fatal outcome.</t>
  </si>
  <si>
    <t>The jumper decided to jump from the second level of the Eiffel Tower at 370 feet AGL with only 170 feet of clearance to the first level at 200 feet AGL. With a slider-down BOC deployment from a structure where the jump path passes directly over a protruding lower platform only 170 feet below, the decision to jump from this level created an inadequate margin for canopy deployment and object clearance. The jumper impacted the first level of the tower, indicating the 170-foot window was insufficient for the deployment sequence and any deviation in trajectory.</t>
  </si>
  <si>
    <t>The jumper impacted in terminal freefall with the pilot chute still stowed in the leg pouch. He was unable to locate or extract the pilot chute, resulting in a total malfunction (no deployment). This is an execution failure — the jumper intended to deploy but failed to accomplish the physical act of extracting and deploying the PC.</t>
  </si>
  <si>
    <t>The jumper flew a Birdman S3 wingsuit for the first time in BASE, having only 11 prior wingsuit BASE jumps (all on a different, smaller suit — the BM GTI), in medium-to-strong crosswind conditions. Accepted practice requires 40-60 skydives in a specific suit before BASE jumping it, and the jumper's total wingsuit BASE experience (11 jumps) was well below the 100-jump minimum recommended before first wingsuit BASE. Flying an unfamiliar higher-performance suit in wind created the instability that prevented deployment, making this decision the producing mechanism for the fatal outcome.</t>
  </si>
  <si>
    <t>The jumper experienced instability at deployment time while wearing a tracking suit, tumbled, and then attempted to regain stability before deploying the pilot chute. This delay in extracting the PC—prioritizing stability recovery over immediate deployment at an altitude where margins were already thin—resulted in impact at approximately line stretch. The execution failure was in not deploying promptly despite the low altitude, and in the technique breakdown that caused the instability and tumble during the deployment sequence.</t>
  </si>
  <si>
    <t>The jumper failed to remove the pull-up cord used as a packing aid from the pilot chute prior to jumping. This memory/attention failure during the packing and pre-jump process resulted in the pilot chute being unable to extract the canopy, causing a total malfunction and fatal impact.</t>
  </si>
  <si>
    <t>The jumper over-rotated head down before deploying the pilot chute, resulting in an unstable body position at deployment. This unstable deployment produced a 180° off-heading opening facing the cliff. Despite attempting riser corrections, the jumper was unable to clear the wall in time, resulting in fatal object strike.</t>
  </si>
  <si>
    <t>The jumper died from impact in terminal freefall and was found hung up on the wall with his canopy out at approximately 300 meters from the bottom. He was known for flying close to the wall and was wearing a tracking suit on a slider-up cliff jump. The narrative does not provide sufficient detail to determine whether the fatal outcome resulted from a specific decision error (e.g., choosing a line too close to terrain) or a performance/skill-based error (e.g., loss of control, failed execution of proximity flight, delayed deployment). The possible factors listed include loss of speed-glide and proximity flying, but the mechanism connecting these to the outcome is not clearly established.</t>
  </si>
  <si>
    <t>Shannon reached for her stowed pilot chute and either missed it or lost her grip during extraction from the BOC. Witnesses report her last attempt resulted in the pilot chute ending up on her back and hesitating, leading to a total malfunction and impact with nothing out. The intended action (deploying the PC) was correct, but the physical execution failed.</t>
  </si>
  <si>
    <t>After hooking up his static line pilot chute and turning to face away from the tower, Mario turned the wrong way, wrapping the bridle around his lower body. This execution error — turning in the incorrect direction — directly produced the bridle entanglement that prevented normal canopy deployment and caused the fatal impact.</t>
  </si>
  <si>
    <t>The jumper attempted a front loop aerial but over-rotated, going fully head-down for almost the entire freefall while trying to correct. This execution failure consumed all available altitude and directly resulted in the fatal low deployment. The jumper intended to complete the aerial successfully but failed in the physical execution.</t>
  </si>
  <si>
    <t>Video shows Brian deployed his pilot chute into his chest at the 5-second mark rather than into clean airflow to the side. The PC became trapped against his body for approximately 2 seconds, and when it finally released at the 7-second mark, the canopy had insufficient time to fully deploy before impact at 8.5 seconds. The jumper intended to deploy but failed in the execution of throwing the PC into clean air, which is the fundamental technique requirement for PC deployment.</t>
  </si>
  <si>
    <t>The jumper experienced a total malfunction with the container remaining closed and the bridle tightly wound around his ankle. Witnesses reported the pilot chute appeared too small (suggesting a possible retained packing aid), but post-accident examination found the pilot chute free of any packing aids. The bridle-ankle entanglement could have resulted from a deployment technique error (e.g., the slightly head-low body position at pitch contributing to the bridle wrapping around the ankle) or from a rigging/packing error, but the narrative does not provide sufficient detail to distinguish whether this was a decision error or a performance/skill-based error.</t>
  </si>
  <si>
    <t>The jumper launched back-to-earth and did not initiate tracking until very close to the outcropping. The narrative indicates he failed to begin tracking in time to achieve adequate separation from the wall, which is a performance/execution failure in the timing and initiation of a known required action. By the time he recognized the problem and deployed, he had insufficient separation and struck the cliff during canopy opening.</t>
  </si>
  <si>
    <t>Edgar exited on his back to film the other jumper and then attempted to turn face-to-earth while very unstable, resulting in a late and likely poorly executed deployment. The witness observed the unstable transition, and the delayed extraction of the pilot chute left insufficient altitude and separation for the canopy to fly clear of the wall. The domain reference explicitly identifies back-to-earth exits as having 'loss of altitude awareness' as a known serious failure mode, and deploying from unstable/non-belly-to-earth positions risks poor openings and entanglements.</t>
  </si>
  <si>
    <t>Edgar chose to exit a slider-up cliff on his back to film the other jumper. This decision was clearly and specifically inappropriate: the domain reference identifies back-to-earth exits as inherently dangerous due to loss of altitude awareness, and aerials from any object exponentially increase danger. Combining a back-to-earth exit with the task of filming another jumper at a cliff requiring object separation created a situation where even competent execution was unlikely to produce adequate separation, as the jumper sacrificed tracking time and object-avoidance capability for camera work. The narrative notes this was the fifth fatality involving flying back-to-earth with a camera.</t>
  </si>
  <si>
    <t>The jumper extracted the pilot chute too late, resulting in insufficient altitude for the canopy to fully deploy before ground impact. Associates confirmed this was a low pull. The jumper had prior experience on this object and conditions were good, indicating the intended action (deploying the PC) was correct but execution was fatally delayed.</t>
  </si>
  <si>
    <t>The jumper opened his canopy but was unable to reach the planned dry landing zone and landed in cold water approximately 100 feet from shore, ultimately drowning from hypothermia. The narrative does not provide sufficient detail to determine whether the failure to reach the LZ resulted from a decision error (e.g., inadequate wind/conditions assessment, poor jump planning) or a performance/skill-based error (e.g., poor canopy piloting, delayed heading correction after an off-heading opening). Multiple possible factors exist — wind conditions (light and variable with snow), possible off-heading opening, unfamiliar new container, canopy performance — but the narrative does not establish which was the producing mechanism.</t>
  </si>
  <si>
    <t>The jumper chose to jump in 32-39 mph winds described as 'very strong and extremely turbulent' — conditions so severe that all local experienced jumpers considered it impossible anyone would jump. The domain reference states few objects are good above 10 mph and no objects are good above 20 mph; these winds were roughly double that threshold, representing a clear and specific departure from accepted practice that directly produced the fatal conditions.</t>
  </si>
  <si>
    <t>Evidence indicates the bridle was found wrapped around the jumper's hand, and impact occurred with a closed container but fully deployed PC. This indicates the jumper failed to cleanly release the pilot chute into airflow — holding the PC too long or failing to execute a clean throw in the extreme wind conditions, resulting in a wind-induced bridle entanglement and total malfunction (PC in tow).</t>
  </si>
  <si>
    <t>Jimmy exited head high and remained in a near-stall configuration for 7 seconds, failing to achieve efficient flight promptly. This poor exit technique and slow-speed flight consumed critical altitude during the start arc, placing him too low to recover. The domain reference explicitly identifies exiting too head-high and flying too slowly/near-stall as common wingsuit execution errors that degrade start performance and kill available lift.</t>
  </si>
  <si>
    <t>After the poor start consumed his altitude margin, Jimmy flew for approximately 22 seconds just above the snow in the couloir at an altitude too low to deploy safely, rather than deploying his parachute when he still had usable altitude. He matched his glide path to the terrain in a no-pull zone for 20 seconds before finally deploying, at which point impact was immediate. The decision to continue flying at an altitude where deployment could not produce a survivable outcome, rather than deploying earlier when altitude may still have permitted it, was the proximate mechanism of the fatal ground impact.</t>
  </si>
  <si>
    <t>The group waited over 3 hours due to very strong headwinds, and when they jumped the winds were described as only 'marginally ok' at 4-5 mph. Given the jumper's limited cliff experience (only 3 cliff jumps, with remaining 62 jumps from 60-80 meter antennas), jumping a slider-down cliff in marginal wind conditions after prolonged strong winds represented a clearly inappropriate decision. The crosswinds at exit contributed to the fatal off-heading and object strike.</t>
  </si>
  <si>
    <t>The jumper failed to achieve adequate forward separation from the cliff and extracted the pilot chute too late (1-2 second delay with insufficient push). With only 3 prior cliff jumps and 62 jumps from short antennas, the jumper lacked the cliff-specific skills to execute the exit and deployment with sufficient object separation. The result was an object strike under canopy only 230 meters below the exit, with the jumper found hung up with toggles in hands, indicating the canopy opened but with insufficient separation to avoid the cliff face.</t>
  </si>
  <si>
    <t>While executing a sharp right turn to exit the 3rd valley during proximity wingsuit flight, the jumper's right arm wing folded under and he lost stability. Despite attempting to correct, he remained unstable and impacted terrain approximately 2 seconds later. The execution of the turn itself was the producing mechanism — the hard bank caused the wing to collapse, leading to unrecoverable instability and fatal impact.</t>
  </si>
  <si>
    <t>The jumper failed to achieve adequate forward separation from the cliff during freefall, resulting in being too close to the wall at deployment time. The narrative states he 'was too close to the wall to continue freefall' and had to pitch early. This insufficient separation — whether from a poor exit, inadequate tracking, or both — meant that when the canopy opened with a 180° off-heading, he had no margin to avoid object strike.</t>
  </si>
  <si>
    <t>The jumper opened with a 180° off-heading facing the wall and was unable to correct heading before striking the wall. While the lack of separation was the primary producing mechanism, the inability to correct the off-heading in the available time contributed directly to the fatal object strike.</t>
  </si>
  <si>
    <t>Marcelo tied a rope to the tower as a static line anchor, but the knot came undone upon loading at exit. This execution failure in securing the anchor meant the static line system could not extract and deploy the canopy, resulting in a total malfunction and fatal impact. The static line concept was appropriate for the object; the failure was in the physical execution of tying a secure knot.</t>
  </si>
  <si>
    <t>The narrative and post-accident gear inspection indicate that Oleg extracted the pilot chute from the BOC but held onto it before throwing, allowing the bridle to stream into the airflow and form a loop/knot around the PC. This resulted in a PC/bridle entanglement rendering the PC unable to extract the canopy (total malfunction - container remained closed until impact). The domain reference explicitly identifies holding the PC too long after extraction as a cause of PC/bridle entanglement, and states the correct technique is to immediately throw the PC into clean air. This was an execution error in deployment technique rather than a decision error.</t>
  </si>
  <si>
    <t>After experiencing a 180° off-heading and landing in a tall tree, the jumper cut away his canopy and fell approximately 40 feet to the ground. Cutting away from a tree-entangled canopy that is supporting the jumper is a clearly inappropriate decision, as the canopy was the only thing preventing a fatal fall. Whether motivated by fear of being caught or other factors, the decision to release the canopy while suspended at height was the producing mechanism for the fatal injuries.</t>
  </si>
  <si>
    <t>The jumper experienced a pilot chute in tow malfunction and was unable to extract the canopy despite actively attempting to clear it. The canopy was found still neatly folded beside him with closing loops intact, suggesting pin extraction occurred but the deployment chain failed. The exact cause of the PC in tow could not be determined from gear inspection; speculation centers on the wingsuit shrivel flap on the bridle potentially snagging during extraction due to how the bridle was stowed, but this remains unconfirmed. There is insufficient information to determine whether this was a decision error (e.g., improper bridle stowage choice) or a performance/skill-based error.</t>
  </si>
  <si>
    <t>The jumper delayed pilot chute extraction while attempting to clear powerlines, ultimately deploying at approximately 120-150 feet AGL — far below survivable deployment altitude. The witness account and ground observers noted his flight became 'very flat compared to usual body position,' indicating he was flying at high AoA near stall trying to stretch his glide over the powerlines, which would have bled speed and available lift. Rather than deploying earlier with adequate altitude (accepting a landing short of or into the powerlines), he continued flying until he barely cleared them, at which point insufficient altitude remained for canopy inflation. The execution error was in failing to deploy at a survivable altitude — the PC was extracted too late for the canopy to fully inflate before ground impact.</t>
  </si>
  <si>
    <t>The jumper made a deliberate turn during wingsuit flight for the purpose of descending and passing close to a major ledge. This intentional flight path decision to fly in close proximity to terrain was the producing mechanism for the fatal impact. The decision to route the flight path close to the ledge was clearly and specifically inappropriate, as it eliminated the margin needed to survive any variation in performance, conditions, or execution.</t>
  </si>
  <si>
    <t>The jumper deployed too late, impacting trees at line stretch with no real canopy inflation. Video evidence and witness speculation indicate he lost altitude awareness while filming other jumpers, possibly missed the BOC handle on initial reach, and ultimately extracted the pilot chute too late to achieve a survivable opening altitude.</t>
  </si>
  <si>
    <t>The jumper exited in a head-down position with one shoulder down and opposite leg kicking, indicating a failed exit execution from a technical exit point. The unstable exit in a wingsuit prevented recovery — the wingsuit trapped his arms, limiting his ability to regain stability. He tumbled from exit to impact without deploying his parachute (pilot chute reportedly still in pouch), resulting in fatal freefall impact.</t>
  </si>
  <si>
    <t>The narrative states Anis 'left unstable and ended up impacting the cliff.' The unstable exit resulted in failure to achieve adequate flight and separation from the cliff, leading to cliff impact. The execution of the exit was the producing mechanism for the fatality.</t>
  </si>
  <si>
    <t>The jumper exited an antenna in gusting winds of 18-22 mph (8-10 m/s) that were changing from crosswind to tailwind. The domain reference states few objects are good in winds &gt;10 mph and no objects are good &gt;20 mph. Antennas require careful wind evaluation, and these conditions were clearly excessive for a slider-down antenna jump. The strong, gusting crosswinds caused the hand-held PC to inflate prematurely and be blown behind the jumper, directly producing the PC-in-tow/entanglement that resulted in a closed-container impact.</t>
  </si>
  <si>
    <t>The jumper held the PC by the mesh, allowing it to inflate prior to exit in the strong winds. An inflated PC in hand during exit in gusty crosswinds meant the jumper could not execute a proper throw - the wind blew the inflated PC behind the jumper into the burble area. This execution failure in managing the hand-held deployment directly contributed to the PC failing to generate extraction force in time, resulting in impact before line stretch was complete.</t>
  </si>
  <si>
    <t>The jumper successfully released the stuck left ski but consumed critical altitude doing so. After clearing the malfunction and achieving a flying position, he was too low to deploy or arrest his descent. The execution of the ski release—while deliberate and ultimately successful—took too long relative to available altitude, resulting in impact in terminal freefall. The fatal mechanism was the failure to deploy the parachute at a survivable altitude, driven by the time consumed managing the equipment malfunction.</t>
  </si>
  <si>
    <t>The jumper was observed to be unstable in freefall after exiting from the Nose at Murrenfluh. The unstable exit resulted in insufficient forward separation from the cliff, leading to impact with a ledge or the cliff face near the ground. The intended action was a stable slider-up cliff jump, but the physical execution of the exit failed to produce the stability and separation needed to clear the terrain.</t>
  </si>
  <si>
    <t>Mike had approximately 8 wingsuit BASE jumps and was flying Bispen, described as not a beginner or intermediate jump suitable only for very experienced wingsuit pilots. With only ~8 WS BASE jumps he was far below the experience level required for this object. The accepted progression norm requires at least 100 WS BASE jumps before proximity flying, and the domain reference explicitly warns that jumpers routinely overestimate their ability. His decision to fly this line with his experience level was the producing mechanism: he was observed flying slow and close to terrain, consistent with the slow-flight failure mode described in the domain reference where insufficient speed bleeds available lift and glide, leaving no margin to clear terrain.</t>
  </si>
  <si>
    <t>A witness observed Mike flying far below the other jumper and appearing to fly slowly near the rock feature. This is consistent with the recognized wingsuit failure pattern of flying at too high an angle of attack near stall, resulting in degraded glide performance and increasing sink rate. His inability to maintain adequate speed and separation from terrain led to an emergency pull at insufficient altitude, resulting in impact at line stretch. The execution failure in airspeed and flight path management was the direct mechanism of the fatal terrain impact.</t>
  </si>
  <si>
    <t>The jumper's track did not separate him sufficiently from the wall despite a perfect exit. The High Nose is known to require BASE-specific tracking skill for adequate separation. The insufficient forward separation meant that when he experienced a 180° off-heading opening, he lacked the distance from the object needed to complete the heading correction before impacting the talus.</t>
  </si>
  <si>
    <t>Leroy chose to jump the West wall, which had only 600ft to the talus and is described as a technical wingsuit jump, for his first wingsuit BASE jump. This exit point was wholly unsuitable for a first wingsuit BASE jump, requiring proximity flying skills and providing minimal margin. The decision to jump this specific exit directly produced the fatal outcome, as the inadequate altitude and positive/technical terrain left no room for the expected poor start arc performance of a first-time wingsuit BASE jumper.</t>
  </si>
  <si>
    <t>Witnesses observed that Jimmy did not appear to have much forward speed for his wingsuit and was flying close to the stall point toward the end of his flight. This slow/near-stall flight is a recognized performance error in wingsuit BASE: it degrades glide performance, increases sink rate, enlarges the burble, and depletes available lift. The consequence was that he arrived at deployment altitude approximately 100m short of his planned opening area with insufficient speed and altitude, resulting in a deployment too low for the canopy to fully inflate before tree/terrain impact.</t>
  </si>
  <si>
    <t>The jumper chose a flight path from an L-shaped building that put him on a glidepath very close to the building edge. This decision to fly a proximity line past the building structure was the producing mechanism for the fatal object strike, as the chosen trajectory did not provide adequate clearance from the building's L-shaped extension. The jumper's attempt to tuck his legs confirms the clearance was marginal by design rather than the result of an execution error.</t>
  </si>
  <si>
    <t>The canopy opened approximately 120° off-heading with a half line twist. The narrative explicitly states there was no attempt to correct the heading, and Scott impacted the wall after 3-4 seconds of canopy flight. The failure to execute any heading correction — via rear risers, brakes, or any input — was the direct mechanism that produced the fatal object strike.</t>
  </si>
  <si>
    <t>Scott had a weak launch that produced very little separation from the wall, reducing the available time and distance to survive an off-heading opening. Poor exit technique directly contributed to the insufficient object clearance that made the uncorrected off-heading fatal.</t>
  </si>
  <si>
    <t>The jumper attempted a cliff exit (Mighty Penis / Via Ferrata) that is described as a 'Wingsuit only jump' for 'experienced Wingsuiter only,' using only a tracking suit instead of a wingsuit. This decision to attempt a jump that required wingsuit-level glide performance with equipment incapable of providing it was the producing mechanism for the fatal outcome: the jumper was unable to outtrack the last ledge and impacted terrain at terminal speed with nothing deployed.</t>
  </si>
  <si>
    <t>The jumper opened with a 90-degree left off-heading facing the powerlines and impacted them approximately 4 seconds later. The narrative states it was impossible to know from the observers' viewpoint whether he had line twists preventing control, whether he misjudged his ability to fly over the powerlines, or whether some other factor prevented avoidance. There is insufficient information to determine whether this was a decision error (attempting to fly over rather than avoid) or a performance/skill-based error (inability to execute a correction due to line twists or other execution failure).</t>
  </si>
  <si>
    <t>The jumper fell from the object before completing their jump setup. The possible factors state 'Fell before setting up,' indicating the jumper failed to maintain safe positioning on the object during preparation, resulting in an unintended fall with equipment not properly configured for deployment.</t>
  </si>
  <si>
    <t>Geo chose to fly a proximity line over a saddle that required clearing terrain by a narrow margin (50-100m planned clearance). His close friend described him as a beginner pilot with only 1-2 years in the entire sport from first BASE jump to flying big wingsuits, with poor exits (classic head-high student exits), representing 'too much too soon.' The decision to attempt a terrain-clearance proximity line with his actual skill level was clearly and specifically inappropriate — the line demanded performance he could not reliably produce, and impact occurred at the saddle he intended to clear.</t>
  </si>
  <si>
    <t>The jumper's exit was too steep and went past vertical, as indicated by photos taken from the edge. This excessive pitch resulted in a flight path that brought the jumper into contact with the wall approximately 4 seconds after exit. The narrator, an experienced wingsuit jumper, describes having experienced a similar overly steep exit caused by expedition boots tipping the body slightly past vertical, and recovered through a hard arch — indicating this was an execution/technique error in exit body position rather than a deliberate decision to exit steeply.</t>
  </si>
  <si>
    <t>The jumper made five attempts to locate and grasp the BOC-mounted pilot chute but was unable to extract it, going unstable with each attempt. The narrative indicates the rig was not custom-fitted to his body dimensions, causing the BOC to shift out of reach in freefall position. This execution failure—inability to physically reach and deploy the pilot chute—directly produced the total malfunction and fatal ground impact.</t>
  </si>
  <si>
    <t>The jumper had a bad exit described as sideways, which prevented him from establishing effective wingsuit flight. This unstable exit was the producing mechanism for the fatal outcome, as he was unable to fly out of the narrowing gully and impacted terrain near the exit point at subterminal speed.</t>
  </si>
  <si>
    <t>An inexperienced wingsuit pilot chose (or accepted the group's choice of) a technical wingsuit jump requiring quick, effective flight to clear a narrowing gully. The domain reference establishes that wingsuit BASE requires at least 100 wingsuit skydives and 100 BASE jumps, with exits blending seamlessly into tracks, and that objects with mandatory performance requirements (flying out of confining terrain) demand commensurate skill. Selecting this technical object as an inexperienced wingsuit pilot was a clearly inappropriate decision independent of execution quality, as even a moderately imperfect exit at this site was non-survivable.</t>
  </si>
  <si>
    <t>While rigging his bridle and static line apparatus, Stimson had the bridle wrapped around one of his lower extremities. Upon exit, the bridle pulled tight, extracted the pins, and caused the canopy to wrap around his body, resulting in a total malfunction and fatal impact. The jumper intended to perform a routine static line jump but failed in the physical execution of properly clearing the bridle from his body before exiting.</t>
  </si>
  <si>
    <t>The jumper performed a tracking jump from a cliff with a 10-second delay but did not achieve sufficient forward separation from the wall. Upon opening with a 180-degree off-heading, she struck the wall, indicating that her tracking performance and/or body position at deployment failed to create adequate distance to survive an off-heading opening. The possible factors note insufficient forward separation on exit and late pilot chute extraction, both execution failures during an otherwise routine slider-up cliff jump.</t>
  </si>
  <si>
    <t>Anton performed a triple pike into front flips, remaining in rotation until 9-10 seconds on a 12-second rock drop. He came out of rotation still facing the wall and did not extract the pilot chute until approximately the 12-second mark, leaving zero time or separation to survive the resulting 180-degree off-heading opening. The aerials were intentional but the execution failed: he remained in rotation too long, lost altitude awareness, and deployed too late with insufficient object separation to survive any off-heading.</t>
  </si>
  <si>
    <t>The jumper died from object strike under canopy, with possible factors being a 180° off-heading with slow reaction time and/or insufficient forward separation on exit. However, there were no witnesses to the exit or deployment, and the narrative explicitly states uncertainty about what occurred — whether it was a 180° off-heading with slow reaction, a line-over, or insufficient separation. There is insufficient information to distinguish between a decision error and a performance error.</t>
  </si>
  <si>
    <t>The jumper failed to clear a steep ledge 60-80m below the exit that required a serious launch to clear. Whether due to slipping on unstable terrain or an insufficiently forceful exit, the jumper struck the ledge, losing his helmet and camera on impact. The severe head/neck injuries from the ledge strike, untouched toggles, and subsequent uncontrolled flight into a steep gorge indicate the ledge impact was the producing mechanism of the fatality.</t>
  </si>
  <si>
    <t>Herbert exited head-down and, after briefly stabilizing, made an unintentional barrel-roll movement to the right. This unstable exit and subsequent loss of control resulted in insufficient forward separation from the cliff. He opened very low and close to the wall, leading to immediate object strike under canopy. The execution failures in exit stability and separation directly produced the fatal proximity to the cliff at opening.</t>
  </si>
  <si>
    <t>The jumper reached for a leg pouch (his habitual pull location for the Vampire 3) instead of the BOC handle on the Phantom Edge. After 2-3 unsuccessful attempts at the wrong location, he remembered the correct BOC position and deployed, but the delay consumed the remaining altitude, resulting in ground impact during line extension. This was a memory/habit interference error in execution rather than a decision error.</t>
  </si>
  <si>
    <t>The jumper pitched the pilot chute forward and close to her head rather than out to the side at approximately 45 degrees. The exit point coordinator observed the pitch looked different than normal, appearing closer to her head and forward. This weak, improperly directed PC toss, combined with the crosswind, allowed the bridle to wrap around the helmet-mounted GoPro camera, resulting in a PC-in-tow/entanglement that consumed the available altitude on a 300ft building.</t>
  </si>
  <si>
    <t>The jumper became unstable immediately after exit and entered a prolonged spin and roll from which he could not recover. This execution failure — an unstable wingsuit exit that he was unable to correct — consumed the altitude needed for safe deployment. He eventually deployed but too late, striking a ledge before canopy inflation, with the cause of death being low pull resulting from the sustained instability.</t>
  </si>
  <si>
    <t>Gary pushed off hard from the exit platform but failed to maintain proper head-high body attitude, resulting in an uncontrolled head-down rotation with excessive speed. This unstable exit caused him to strike a large outcrop/ledge shortly after exit, resulting in severe trauma and subterminal impact. The witness account describes him rotating head down faster than usual, consistent with a technique/execution error on exit rather than a flawed decision.</t>
  </si>
  <si>
    <t>The jumper extracted the PC from the BOC during a gainer but held onto it rather than immediately releasing it into clean air. This brief hold allowed the bridle to extend to full stretch behind him while still rotating, enabling his foot to pass through the bridle loop. The narrative states he had never been observed doing this before, indicating it was an unintended execution error rather than a deliberate technique choice.</t>
  </si>
  <si>
    <t>The jumper was observed falling fast with arms on his back, apparently trying to reach his pilot chute in his leg pouch but unable to extract it before impact. He impacted at full speed with the PC still in the container. This is a execution failure in the physical act of deploying the parachute — the jumper intended to pull but could not successfully locate or extract the PC from the leg pouch.</t>
  </si>
  <si>
    <t>The jumper was not stable enough after exit, did not track well, and extracted the pilot chute too late, resulting in insufficient separation from the cliff. The canopy opened only upon or after wall impact. The execution failures in tracking and deployment timing directly produced the fatal object strike, despite the jumper having selected an appropriate course of action (slider-up cliff jump with BOC deployment).</t>
  </si>
  <si>
    <t>Mirko's start was described as 'a bit slow' and the narrative indicates he likely found himself lower than expected when approaching the black ridge. His loss of speed and glide during wingsuit flight near terrain left him without sufficient altitude or energy to clear the ridge or execute the alternate right-turn escape route, resulting in impact with the wall during an emergency deployment attempt.</t>
  </si>
  <si>
    <t>The narrative states that the left line required a quick decision after turning at the pillar, as the black ridge stood 'like a fence.' Mirko likely took too long to decide whether he could clear the ridge or needed to turn right. By the time he committed to a course of action, his ability to fly the alternate escape line had been lost, placing him in an unrecoverable position near terrain.</t>
  </si>
  <si>
    <t>The jumper tracked toward the right side of the cliff where the wall height is lower and pillars are present, reducing available clearance. He then deployed his parachute close to the wall in this area of reduced separation, leaving insufficient margin to survive the line twists and off-heading opening that followed. The tracking direction and pull location constituted execution errors - a correctly executed track away from the cliff with deployment at adequate separation would have provided survivable distance even with the line twists and off-heading.</t>
  </si>
  <si>
    <t>The jumper was observed under canopy without applying any inputs, with brakes still stowed, spiraling into terrain. The narrative does not explain why the jumper failed to fly the canopy after deployment. The possible factors list references a 180 off-heading, clipping a ledge after exiting, and an emergency low pull, suggesting a sequence involving object strike during freefall that may have incapacitated the jumper. However, the narrative provides insufficient detail to determine whether the root active failure was a decision error (e.g., jumping in low-level clouds/fog, proximity flying in inadequate conditions) or a performance error (e.g., poor exit leading to ledge strike, failure to track adequately). The cause of death is listed as impact in terminal freefall, yet the jumper was found under canopy, creating ambiguity about the fatal mechanism.</t>
  </si>
  <si>
    <t>The jumper used lightweight 400lb Dacron lines on a slider-up terminal cliff jump with a tracking suit at full-speed deployment, while being a heavy jumper. The narrative explicitly identifies multiple line failure on opening as the cause of death, attributing it to the combination of lightweight lines insufficient for the structural demands of the application (heavy jumper, high-airspeed slider-up opening). The decision to use equipment with inadequate structural margins for this specific loading scenario was the producing mechanism for the fatal malfunction.</t>
  </si>
  <si>
    <t>The jumper was unable to locate and extract the pilot chute in time, resulting in deployment at fatally low altitude. The narrative states he had difficulty finding the pilot chute and was also too low when he began thinking about pulling. Impact occurred just after line stretch, indicating the deployment sequence was initiated far too late for the canopy to inflate and decelerate.</t>
  </si>
  <si>
    <t>The jumper performed a gainer (aerial) from a span and extracted the pilot chute too late, resulting in a PC/bridle entanglement (PC in tow) with insufficient altitude remaining to achieve canopy deployment. The cause of death was low pull, indicating the deployment sequence was initiated too late and/or the execution of the PC toss from the aerobatic maneuver was inadequate, resulting in impact with only the pilot chute out.</t>
  </si>
  <si>
    <t>The jumper chose to exit from a pillar he had just scouted for the first time, rather than the established ('normal') exit point. The update describes the area as 'severe technical, non adapt and dangerous for beginners' with only a 200m rock drop from that location. With only 50 wingsuit BASE jumps and 2 BASE seasons, selecting this unfamiliar, highly technical exit point for a wingsuit flight was a clearly inappropriate decision that produced the fatal outcome — he clipped a ledge shortly after exit and impacted in terminal freefall.</t>
  </si>
  <si>
    <t>Witnesses reported the jumper had a stable exit but 'just did not get her track on,' resulting in insufficient forward separation from the cliff. This failure to establish an effective track in her tracking suit was a performance/execution error — the intended action (track away from the cliff) was not achieved, leading to proximity to the ledge at deployment altitude.</t>
  </si>
  <si>
    <t>Rob was proximity flying along sloppy terrain and 'caught himself without an out,' indicating he failed to maintain adequate separation or energy margin during terrain flight. The narrative states 'he made a mistake,' pointing to an execution failure rather than a decision error. He impacted terrain in terminal freefall with no deployment, consistent with entering a no-pull zone from which recovery was impossible.</t>
  </si>
  <si>
    <t>Antoine attempted his 3rd wingsuit BASE jump on a very technical line involving a long turn and passing under power lines. The domain reference establishes that wingsuit BASE requires at least 100 wingsuit skydives and 100 regular BASE jumps before a first wingsuit BASE jump, with extensive progression thereafter. Choosing a line requiring precise turning and terrain navigation with power lines on only his 3rd WS BASE jump was a decision that was clearly and specifically inadequate regardless of execution quality — the technical demands of this line far exceeded what could be safely managed at this experience level.</t>
  </si>
  <si>
    <t>The jumper extracted the pilot chute too late during a slider-down cliff jump, resulting in the canopy opening too low to arrest descent adequately. The witness observed the parachute appeared to open fully but only when the jumper was approximately 3/4 of the way down the cliff. The deployment timing—a physical execution task—was insufficient for the available altitude, constituting a performance error rather than a decision error, as the jump could have been survived with a timely pull.</t>
  </si>
  <si>
    <t>The jumper made four attempts to locate and extract the BOC-stowed pilot chute but failed on each attempt, resulting in ground impact in a stable box position with no canopy deployment. The execution of the pull sequence failed despite the jumper's clear intent to deploy, constituting a performance/skill-based error in extracting the PC from the BOC pocket.</t>
  </si>
  <si>
    <t>Sergio had a slightly unstable exit that turned his body to the right. He remained in this off-axis position for several seconds before slowly recovering and initiating his track, consuming critical freefall time needed for object separation. This delayed recovery and late initiation of tracking directly resulted in insufficient separation from the cliff when he deployed at approximately 7 seconds, leading to impact with the ledge during canopy opening.</t>
  </si>
  <si>
    <t>The jumper had only 20-50 BASE jumps and attempted a slider-up cliff exit (High Nose) that is classified as requiring wingsuit or experienced tracker skills. The narrative explicitly states this exit requires experienced tracking ability, and the jumper's low jump count indicates insufficient experience for this object. The decision to jump this specific object was clearly inappropriate for the jumper's experience level, and this decision produced the fatal outcome through insufficient object separation leading to object strike after a 180° off-heading.</t>
  </si>
  <si>
    <t>The jumper failed to achieve sufficient forward separation from the cliff through tracking, and experienced a 180° off-heading opening, resulting in object strike under canopy. The insufficient separation meant that even a moderate off-heading would have been life-threatening, and the 180° off-heading was fatal.</t>
  </si>
  <si>
    <t>The jumper failed to achieve sufficient forward separation on exit from the cliff, as noted in the possible factors. This insufficient push/separation, combined with a 180-degree off-heading opening, resulted in object strike with the wall. The jumper survived the initial impact but died when the canopy dislodged after 30 minutes, causing a fall of up to 60 metres.</t>
  </si>
  <si>
    <t>The jumper impacted terrain in terminal freefall while flying a wingsuit. His canopy was found with slider attached and brakes stowed, and witnesses could not confirm whether the impact occurred before any pull attempt, during a late pull, a failed pull attempt, or due to another malfunction. The narrative explicitly states 'we don't know what exactly happened: no pull / late pull / failed attempt to pull / other malfunction,' making it impossible to distinguish between a decision error (e.g., delayed pull decision due to loss of altitude awareness) and a performance error (e.g., failed PC extraction or late execution).</t>
  </si>
  <si>
    <t>The jumper was flying a tight proximity line and attempted to clear a large, wide ledge. Witnesses believe he realized at the last second he would not clear it and initiated a sharp turn. The turn was insufficient to avoid the ledge, resulting in terrain impact. The jumper had only ~12 jumps on the Vampire 4 wingsuit and had not practiced sharp turning maneuvers in it, despite being highly skilled in his previous S-Fly suit. The execution failure was in misjudging the clearance margin and being unable to execute the emergency turn with adequate precision in the relatively unfamiliar suit.</t>
  </si>
  <si>
    <t>The jumper exited and turned left into the cliff wall, impacting after approximately 4 seconds of freefall. The narrative and possible factors indicate an unstable exit that resulted in the jumper failing to establish controlled flight away from the wall. The canopy opened only after impact, confirming the jumper never recovered from the failed exit to achieve adequate separation from the terrain.</t>
  </si>
  <si>
    <t>The jumper was flying aggressively in 'attack mode' during a proximity wingsuit flight along a technical left-hand line near terrain. While executing a left-hand turn around a terrain feature, he impacted a grass field near a chalet, dying from terminal freefall impact. The cause of death (impact in terminal freefall with no parachute deployment) indicates a failure in execution during the proximity flight — either misjudging clearance from terrain, losing adequate speed/lift margin during the turn, or encountering conditions that degraded flight performance during the maneuver. The jumper chose a line he was experienced with and conditions were good; the fatal outcome resulted from how the flight was executed rather than from the decision to fly the line.</t>
  </si>
  <si>
    <t>The jumper deployed his parachute and experienced a 160° off-heading opening with multiple line twists. While under canopy with line twists preventing effective heading correction, the canopy flew toward the wall resulting in multiple object strikes and fatal impact. The off-heading with line twists was the direct mechanism producing the fatal object strike.</t>
  </si>
  <si>
    <t>The jumper deployed his parachute at a point approximately 30m after and 30m below a ledge while flying proximity to terrain on his first jump at this cliff. Witnesses assessed that the deployment location was driven by panic or stress, and that deploying at this point left insufficient clearance from the wall to survive an off-heading. The decision to deploy at this specific point near the wall, rather than continuing flight to gain more separation, was the producing mechanism that placed him in a position where the off-heading was fatal rather than recoverable.</t>
  </si>
  <si>
    <t>The jumper experienced a fatal deployment malfunction where the pilot chute extracted only approximately 10 feet of canopy that remained long and thin without inflating, resulting in full-speed impact. The updated report identifies the pilot chute was entangled with a stash bag compression cord. While this points to either a packing/rigging error or a gear check omission, the narrative does not provide sufficient detail to determine whether the jumper made a specific decision error (e.g., deliberately rigging the stash bag cord in a hazardous configuration) or a performance/skill-based error (e.g., failing to properly secure or remove the compression cord during packing). The jumpers did not perform mutual gear checks, but a gear check omission is a failure to detect an existing problem rather than the producing mechanism itself.</t>
  </si>
  <si>
    <t>The jumper was unable to locate the pilot chute from the BOC pocket in time and impacted the ground with nothing deployed. The narrative states she was unable to pull the PC at sufficient altitude, indicating an execution failure during the deployment sequence rather than a decision not to deploy. The ill-fitting Vampire 4 wingsuit likely contributed to difficulty reaching the BOC, but the fatal mechanism was the failed execution of the pull.</t>
  </si>
  <si>
    <t>The jumper was flying a wingsuit in proximity to terrain and was 'slowly closing his window of safety fast,' indicating a progressive loss of speed and glide performance during the flight. He impacted the talus he was attempting to fly over, demonstrating that his execution of the proximity line failed to maintain adequate speed and separation from terrain. The narrative describes a gradual degradation in flight performance rather than a flawed plan — he was attempting a line that was within his intended progression but failed to maintain the energy management required to clear the terrain.</t>
  </si>
  <si>
    <t>The jumper lost speed and began sinking out during the second half of his wingsuit flight, indicating he was not maintaining adequate airspeed and flew into or near a stall condition. Fellow jumpers had noted in weeks prior that he was not maximizing the performance of his recently changed wingsuit. This loss of speed/glide resulted in insufficient altitude for canopy deployment and flight, leading to what was effectively a terminal impact.</t>
  </si>
  <si>
    <t>After losing speed and sinking out, the jumper deployed his pilot chute too late. While the canopy did inflate, it opened with a 140+ degree off-heading at an altitude insufficient to correct or land safely, resulting in impact into a gully behind a cliff band.</t>
  </si>
  <si>
    <t>The jumper pushed off harder than normal from the ramp, resulting in a head-down position with feet exceeding vertical with great amplitude. He was unable to recover stable flight from this unstable exit, entered a spin, and impacted a ledge. The exit technique execution was the direct producing mechanism — the intended action was a controlled wingsuit exit, but the physical execution (excessive push force, resulting head-down attitude) was inadequate.</t>
  </si>
  <si>
    <t>The jumper was proximity flying along a wall in a Vampire 4 wingsuit and impacted a ledge after 10 seconds of flight. The possible factors list 'Loss of speed-glide,' indicating the jumper failed to maintain adequate airspeed and glide performance during execution. The jumper's flight path intersected terrain due to insufficient speed management, resulting in terminal freefall impact with a ledge.</t>
  </si>
  <si>
    <t>Carl's wingsuit performance rapidly degraded with very little forward speed and high fall rate, yet he had plenty of altitude to deploy at that point and did not. He continued flying and eventually extracted the pilot chute very low over trees at approximately 100m above ground, resulting in insufficient altitude for canopy inflation and terminal impact. The failure was in execution: he failed to deploy the parachute when altitude was available despite the clearly degraded flight conditions, indicating an attention/monitoring failure regarding altitude and the need to abandon the flight plan.</t>
  </si>
  <si>
    <t>The jumper was found at the base of the antenna with the canopy extracted but insufficient altitude remaining for inflation. The possible factors indicate the pilot chute was extracted too late, constituting a performance/execution error in deployment timing from a slider-down antenna jump.</t>
  </si>
  <si>
    <t>The jumper impacted the wall near the exit point at subterminal speed, indicating a failed wingsuit start. On his first jump he had been noted for 'slightly bent legs' which was discussed as a concern, and on the fatal second jump witnesses saw him hit the cliff shortly after exit. This indicates a performance failure during the exit — likely an insufficient or unstable launch that prevented the wingsuit from generating adequate lift and separation from the cliff face.</t>
  </si>
  <si>
    <t>The jumper exited unstably and failed to generate sufficient push to clear a known small outcropping approximately 1 second after exit. She clipped a bush/ledge, tumbled into the wall, and impacted the cliff face at subterminal speed. The exit required a decent push to clear the outcropping, and the execution was insufficient to achieve the necessary separation.</t>
  </si>
  <si>
    <t>The jumper committed to a proximity flying line along a ridge in strong headwind conditions that reduced airspeed and available lift, making terrain clearance physically impossible. The narrative explicitly states the wind's importance was 'trivialized by our confidence in our big suits,' the line had never been flown before, and the co-jumper directly experienced the 'strong head wind and subsequent lack of speed' that forced them to bail into the canyon. Flying a never-flown proximity line in strong winds that degraded wingsuit performance below what was needed to clear terrain was a decision that was clearly and specifically inadequate for the conditions.</t>
  </si>
  <si>
    <t>The jumper did not appear to have attempted to pull his pilot chute despite approximately 30 seconds of flight time before impacting the ridge. Whatever the reason for the non-deployment — loss of altitude awareness, task saturation, or inability to recognize the need to abort — the failure to deploy the parachute was the direct mechanism of the fatal impact in terminal freefall.</t>
  </si>
  <si>
    <t>The jumper exited from a technical under-hung exit point using a wingsuit and went head-down immediately after leaving the ramp, failing to achieve a stable flying position. This unstable exit resulted in insufficient forward separation and direct impact with a ledge below the exit point. The narrative indicates the exit was a push-off rather than the preferred running/tracking exit for this technical site, and the jumper failed to maintain the body position necessary to initiate wingsuit flight.</t>
  </si>
  <si>
    <t>The jumper selected a line over a nearby ridge but was visibly considerably lower than a second jumper flying the same line, indicating he failed to maintain adequate speed and glide performance during the flight. The possible factors list 'Loss of speed-glide' and the cause of death was impact in terminal freefall, consistent with the wingsuit losing performance and the jumper being unable to clear or separate from terrain. The decision to fly the ridge line was shared by at least one other jumper who completed it successfully, indicating the line itself was flyable and the failure was in execution rather than plan selection.</t>
  </si>
  <si>
    <t>Luke attempted a double gainer but under-rotated, completing only approximately 1.5 rotations. This left him in an unstable, back-to-earth position from which he pitched the pilot chute while twisting his torso to face the ground. The resulting body orientation and deployment from his back led to the canopy snagging on his belly camera, causing a total malfunction (failure to inflate) and fatal impact.</t>
  </si>
  <si>
    <t>The jumper routed his bridle through the lateral flap of his harness (the strap connecting the leg harness to the back of the container), which prevented the canopy from deploying when the PCA was executed. This rigging error during setup produced a pilot chute in tow / total malfunction that was unrecoverable at the jump altitude, directly causing impact.</t>
  </si>
  <si>
    <t>The jumper's exit was unstable and deviated to the left, putting him too close to the wall. This execution failure directly resulted in subterminal impact with terrain near the exit point a few seconds later.</t>
  </si>
  <si>
    <t>The jumper chose to fly a wingsuit proximity line too close to terrain, resulting in terrain impact in terminal freefall with no deployment attempt. The narrative explicitly states the jumper had no experience in proximity flight and was fairly new to wingsuiting, making the decision to fly a close proximity line a clear and specific departure from accepted progression norms. The decision to fly that line at that distance from terrain was the producing mechanism for the fatal impact.</t>
  </si>
  <si>
    <t>The jumper was flying very low to make the first turn and after the turn had put himself too low to fly out safely, clipping an outcrop that flipped him upside down. This indicates a failure in execution of the proximity line — specifically, inadequate speed/glide management through the turn resulted in insufficient altitude and separation to clear terrain. The jumper's flight technique failed to maintain the energy and trajectory needed to safely navigate the chosen line.</t>
  </si>
  <si>
    <t>The jumper chose a proximity flight line that required crossing over a ridge ('the First house of card'). He impacted the terrain in terminal freefall with nothing deployed, indicating he committed to a line that required more glide performance than was available. The possible factors of 'loss of speed-glide' and 'proximity flying' combined with the narrative's emphasis on knowing limits indicate the chosen flight path was clearly inappropriate given the performance margin available.</t>
  </si>
  <si>
    <t>The jumper flew a known wingsuit proximity line but had a 'wrong appreciation of the height' over a grassy dome feature along the flight path, resulting in insufficient clearance. This was an execution-level error in terrain awareness and altitude management during proximity flying, not a flawed decision about which line to fly. The misjudgment led to terrain impact at terminal speed.</t>
  </si>
  <si>
    <t>The jumper was flying near the wall and encountered a more prominent section of terrain. He initiated a turn to avoid it but executed the turn too sharply, causing the wingsuit to roll and pitch head-down. He was unable to recover from this attitude and impacted the slope in terminal freefall. The intended action (turning to avoid terrain) was correct, but the execution was flawed — the turn was too aggressive, inducing loss of control.</t>
  </si>
  <si>
    <t>Dan was described as 'only a novice wingsuit Proxy flyer' who attempted a proximity line he failed to clear. The decision to fly a proximity line near trees as a novice proxy flyer was clearly and specifically inappropriate given his acknowledged lack of proximity flying experience, and this decision directly produced the fatal terrain impact. He was found in flight mode with no pull attempt, indicating the terrain strike resulted from the chosen flight path rather than an execution error during deployment.</t>
  </si>
  <si>
    <t>The deceased chose to fly a proximity line into a crack/gully without adequate knowledge of where it led. He turned right into a dead-end crack that was approximately 20 meters from the correct line. Flying proximity to terrain features that the jumper cannot see around ('turning around blind features') without knowing exactly what is around the corner is a clearly inappropriate decision, as the jumper committed to a line with no escape route into terrain he had not verified, directly producing the fatal impact.</t>
  </si>
  <si>
    <t>The jumper was proxy flying and lost height awareness, resulting in impact with talus in terminal freefall without deploying the parachute. The narrative explicitly states he 'lost height awareness,' indicating an attention/monitoring failure during execution of the proximity flight rather than a flawed decision to attempt the flight itself.</t>
  </si>
  <si>
    <t>The jumper chose to jump an exit described as one of the top 3 most advanced wingsuit jumps in the world, which has killed even highly experienced wingsuit pilots with hundreds of WS BASE jumps. The narrative explicitly states the exit is 'not forgiving' and requires flawless exit and flying skills. The decision to attempt this specific exit was clearly and specifically inappropriate given the jumper's apparent skill level, as evidenced by the 'too steep (unskilled)' exit characterization. The decision itself — selecting this particular exit — was the producing mechanism, as even correct execution of a too-steep exit from this unforgiving launch would leave insufficient margin for recovery.</t>
  </si>
  <si>
    <t>The narrative explicitly states the exit was 'too steep (unskilled)' and the jumper was unable to get the wingsuit flying in time. The jumper failed to execute a proper wingsuit exit — exiting at too steep an angle prevented building sufficient airspeed for flight before terrain impact, resulting in subterminal impact with nothing deployed.</t>
  </si>
  <si>
    <t>The jumper attempted wingsuit BASE jumping with only 22 prior BASE jumps (10 slider-down before the trip, plus 12 in the valley), far below the accepted minimum of 100 regular BASE jumps before first wingsuit BASE. With only 10 slider-down jumps and no reported slider-up non-wingsuit cliff experience, the jumper lacked the foundational skills for wingsuit BASE. This decision to attempt wingsuit BASE at this experience level was a clear and specific departure from accepted progression norms.</t>
  </si>
  <si>
    <t>The jumper selected Yellow Ocean (350m rock drop, 425m to landing area) for a wingsuit flight. This exit lacks sufficient altitude for wingsuit flight, particularly for a novice wingsuit BASE jumper who would have a large start arc and poor speed management. The jumper assumed it was suitable for beginners without obtaining local site information or registering with the SBA, ignoring advice from experienced jumpers in the valley.</t>
  </si>
  <si>
    <t>The jumper flew the wingsuit in a very head-high, slow configuration likely at or near stall, as observed by witnesses. This is a recognized fatal error pattern in wingsuit BASE: flying too slowly bleeds energy, increases sink rate, enlarges the burble, and prevents effective deployment. The resulting loss of speed and glide led to insufficient altitude for canopy deployment, with the canopy reaching line stretch simultaneously with ground impact.</t>
  </si>
  <si>
    <t>During a competitive wingsuit proximity flight, the jumper lost control after the first gate while setting up for the second gate. He slipped sideways, went up on his wingtip turning right, and lost speed and altitude, impacting trees in terminal freefall. The execution of the turn was the direct mechanism — the jumper failed to maintain stable flight and adequate airspeed through the maneuver.</t>
  </si>
  <si>
    <t>The jumper chose to fly a new, larger wingsuit (R-Bird) for the first time from Via Ferrata, which is explicitly described as 'Not a Beginners Wing suit Exit.' This was a clear departure from his own stated plan to test the R-Bird at Brento (a recognized beginner wingsuit exit). The decision to fly an unfamiliar, larger suit from a non-beginner exit was the producing mechanism: the site's demands exceeded what could be managed on a first flight in the new suit, and the resulting uncontrolled flight led to subterminal impact.</t>
  </si>
  <si>
    <t>The jumper exited unstable and never recovered controlled flight before impacting talus. Other jumpers had previously observed that his exits in his smaller suit (Prodigy) were consistently too head-high and that he was not achieving adequate airspeed on exit. This execution deficiency — an exit technique that failed to establish controlled wingsuit flight — was the direct mechanism producing the fatal terrain impact.</t>
  </si>
  <si>
    <t>The jumper attempted to deploy his pilot chute but missed on his first attempt to locate and extract it from the BOC. Although he found it on a subsequent attempt, the delay meant the canopy reached line stretch at or after ground impact. This was an execution error in a time-critical deployment sequence from a slider-down cliff jump.</t>
  </si>
  <si>
    <t>The jumper tracked for too long and deployed his pilot chute right before impact, resulting in lines and canopy out but no inflation. The witness account and video review indicate he likely lost altitude awareness or became fixated on an object (a tree), failing to monitor altitude and initiate deployment at a survivable height. The jump plan itself (a 2-way with a roll maneuver from an antenna) was not inherently the producing mechanism; rather, the failure was in execution—specifically, the failure to deploy at the correct altitude.</t>
  </si>
  <si>
    <t>The jumper failed to deploy her pilot chute at a survivable altitude. The narrative states she reached back to pull around 15 seconds into the flight but was 'much too low and impacted before she threw her pilot chute.' This indicates a failure to monitor altitude during wingsuit flight, resulting in initiating the deployment sequence too late to complete it before ground impact.</t>
  </si>
  <si>
    <t>The narrative states the jumper 'did not build up much forward speed and was not out flying the talus,' indicating inadequate wingsuit flight technique. The poor flight performance — likely flying too slowly at too high an angle of attack — reduced her effective glide and contributed to her being too close to terrain when she finally attempted deployment.</t>
  </si>
  <si>
    <t>The jumper attempted a double gainer but stalled the second rotation. By the time he recovered to belly-to-earth orientation, he had consumed too much altitude and deployed too late. The canopy was extracted but lines were still stowed at impact, indicating insufficient altitude remained for the deployment sequence to complete. The fatal mechanism was the failure to maintain altitude awareness and deploy in time during the failed aerial maneuver.</t>
  </si>
  <si>
    <t>After a straight, on-heading opening facing Lauterbrunnen (parallel to the cliff), the jumper failed to turn the canopy away from the cliff face. The narrative explicitly states 'she didn't turn the canopy' despite having a functioning, on-heading parachute. This failure to execute a necessary heading correction or object-avoidance maneuver resulted in continued flight parallel to the cliff and fatal impact with the talus.</t>
  </si>
  <si>
    <t>After the initial over-rotation (~100° instead of 70°) left the jumper already low, he made a conscious decision to turn sharp right and attempt to fly over the ridge rather than deploying or flying to open airspace. This second decision committed him to a flight path with insufficient altitude to clear the terrain, resulting in impact in terminal freefall. The companion's account explicitly frames this as a sequential decision: he had margin to survive the first error but the decision to still attempt the ridge crossing was the producing mechanism for the fatal outcome.</t>
  </si>
  <si>
    <t>The jumper opened with a 180-degree off-heading and line twists, with insufficient separation from the cliff. The possible factors indicate the jumper failed to track adequately for object separation and/or failed to correct the off-heading in time, resulting in fatal object strike under canopy. With 30 BASE jumps and 1 season of experience at a slider-up cliff, the execution of tracking and deployment produced inadequate separation, and the off-heading with line twists prevented effective correction.</t>
  </si>
  <si>
    <t>The jumper performed a gainer from an awkward exit position that likely caused slow over-rotation or stall. The pilot chute was extracted but the pins were not pulled, indicating either a late pull (insufficient altitude remaining) or bridle entanglement with the stash bag's elastic strap. The execution of the aerial and subsequent deployment attempt failed to produce a functioning parachute before impact.</t>
  </si>
  <si>
    <t>After correcting a 180° off-heading with rear riser input, the jumper released the riser in a manner that caused the canopy to dive forward and surge him into an underhung portion of the cliff. The abrupt release of rear riser input after a full heading correction generated a forward surge that drove the jumper into the rock face. This is a technique/execution error in the transition from heading correction back to normal flight, rather than a decision error.</t>
  </si>
  <si>
    <t>The jumper exited unstable from a cliff and failed to achieve adequate forward separation, impacting the wall only a few seconds after exit. The unstable exit was a performance/execution error that directly produced the fatal outcome by preventing the jumper from tracking away from the object.</t>
  </si>
  <si>
    <t>The jumper continued flying his wingsuit despite progressively losing altitude and being clearly too low to clear the terrain ahead. Video footage confirmed he was already low after exit and was 'slowly and regularly losing altitude' throughout the flight. He had 'plenty of time to open safely' but chose to continue flying until approximately 20m from the ground, at which point deployment was too late. This was a decision error — the jumper recognized or should have recognized the deteriorating situation over an extended period but chose not to deploy, making the delayed deployment the producing mechanism of the fatal outcome.</t>
  </si>
  <si>
    <t>The narrative explicitly states that winds were 'beyond the measures they have in place for this site' - meaning the jumper chose to jump when wind conditions exceeded the established site safety limits. This decision to jump in conditions that violated site rules was the producing mechanism: excessive wind at a cliff object degrades tracking performance, contributes to unstable body position at deployment, and causes off-heading openings with insufficient separation, directly producing the fatal object strike under canopy.</t>
  </si>
  <si>
    <t>The narrative states the jumper had a 'poor unstable track' followed by pulling 'having a bad body position,' resulting in line twists and a 180 off-heading. Even given the wind conditions, the execution failures in tracking and deployment body position were the direct mechanism producing insufficient object separation and the off-heading opening that led to cliff strike. The jumper was also 'slow to react' to the off-heading/line twists, failing to execute timely heading correction.</t>
  </si>
  <si>
    <t>Abraham was flying a technical wingsuit line near terrain and lost speed and glide performance, resulting in insufficient clearance to pass the Zebrata/climbing wall. The narrative indicates he experienced a loss of speed-glide during proximity flying, consistent with flying too slowly or at too high an angle of attack, which degraded his available lift and glide ratio to the point where terrain clearance was impossible.</t>
  </si>
  <si>
    <t>Abraham attempted an emergency deployment just before reaching the terrain obstacle but extracted the pilot chute too late for the canopy to inflate before impact. The panic pull at the last moment indicates he recognized the situation but was unable to execute a timely deployment, resulting in impact in terminal freefall with no functioning canopy.</t>
  </si>
  <si>
    <t>The jumper performed a running exit from a 450m cliff in slick configuration but failed to achieve adequate forward separation through tracking. The jumper impacted a ledge 250-300m below the exit point, described as hitting 'in the middle of the ledge,' indicating insufficient horizontal distance gained during freefall. Witnesses described the track/projection as 'too poor' and 'weak.'</t>
  </si>
  <si>
    <t>While flying Line 2 at Brevent, Shaun exposed too much of the top surface of his wing to the relative wind during a transition from a hard dive, creating a downward force. His abrupt correction to angle of attack resulted in a high-speed stall and loss of stability, leading to an unrecoverable tumble to impact. The execution errors were in managing the dive-to-flight transition — specifically the over-exposure of the wing's top surface and the abrupt AoA correction — rather than in the decision to fly the line itself.</t>
  </si>
  <si>
    <t>The jumper slipped on the wet, muddy exit point during a wingsuit launch, immediately striking positive cliff terrain. The slip resulted in an unrecoverable tumble and subterminal impact near the exit. The execution failure (loss of footing) was the direct mechanism that produced the fatal outcome.</t>
  </si>
  <si>
    <t>Despite a strong push, Alex's trajectory did not match his intended flight path and he was almost immediately in a 'head low, left bank' body position. This unstable exit failed to achieve the efficient start required to clear the ledge below the exit point. His attempted correction (dropping the leg wing aggressively) stalled the suit and induced a flat spin, resulting in ledge impact at subterminal altitude.</t>
  </si>
  <si>
    <t>The jumper was flying a wingsuit proximity line that 'demands good control and does not allow loss of flight.' He experienced a loss of speed-glide during the flight, resulting in insufficient performance to clear terrain (crête de la Chalavreu), leading to impact in terminal freefall. The chosen line required sustained adequate flight performance, and the jumper failed to maintain the necessary speed and glide to complete it.</t>
  </si>
  <si>
    <t>Witnesses reported the jumper stalled his wingsuit approximately 600 meters before the entry to a crack feature and was unable to recover, resulting in impact in terminal freefall. This indicates a performance failure in airspeed/AoA management during proximity flight — the jumper lost speed and available lift, entered a stall condition, and failed to recover to controlled flight. The domain reference identifies flying too slowly and stalling as a known execution failure mode in wingsuit BASE, where speed loss is easy and recovery requires altitude that may not be available near terrain.</t>
  </si>
  <si>
    <t>The jumper continued flying a proximity line toward a ledge despite losing speed/glide, failing to abort at the point where safe clearance was still possible. The narrative explicitly states that the jumper could have aborted and flown away from the ledge at the right time to gain altitude, but he continued to fly and when he realized he would not make it over, it was too late. The lesson cited by the eyewitness is having a reference point where you abort your line or pull. This was a decision to continue a committed proximity line past the abort point, not an execution error — the jumper flew the suit as intended but chose to press on rather than abort when adequate margin still existed.</t>
  </si>
  <si>
    <t>The jumper attempted to fly a left line too early, misjudging the start arc which was longer than anticipated. This execution error during proximity wingsuit flight resulted in insufficient altitude/separation from terrain, leading to high-speed impact. The jumper intended to fly the line but failed in the cognitive execution of timing the transition, misreading the start arc performance relative to the terrain.</t>
  </si>
  <si>
    <t>The narrative explicitly states that the exit commanded a strong push, the first jumper pushed hard and cleared the terrain, but Donald did not push hard enough. At 90kg he did not generate sufficient speed to clear the first ledge at approximately 100 meters / 4.5 seconds from the exit. The intended action was to clear the terrain, but the physical execution of the exit was insufficient, resulting in impact with the ledge.</t>
  </si>
  <si>
    <t>The jumper was flying a known tracking suit line near terrain and failed to deploy the pilot chute with sufficient altitude remaining. The narrative states he realized he was low and attempted to pitch, but there was not sufficient altitude for deployment, indicating a failure in altitude awareness and deployment timing during execution of the flight rather than a flawed plan selection.</t>
  </si>
  <si>
    <t>Channing chose to rig his static line using improvised methods that departed from accepted practice in multiple ways: he used a spectra line and rock as an anchor, employed two pieces of break-cord tied together rather than a single proper length, attached the static line connections far toward the end of the bridle (increasing dynamic loading), used old/degraded break-cord that had been torn apart rather than cut, and elected not to use a pilot chute as backup. These were conscious rigging decisions that collectively created a system prone to failure. The primary knot slipped free and the secondary break-cord broke prematurely at the intermediary knot, resulting in the canopy not reaching full line stretch and a closed-container impact from 140 feet.</t>
  </si>
  <si>
    <t>Channing deliberately chose to static line without a pilot chute for backup. Accepted practice calls for the PC to never be stowed during a static line jump, as it serves as a last line of defense if the static line system fails. Had a pilot chute been available, it could have extracted the canopy after the static line rigging failed. This decision removed the only remaining means of canopy deployment.</t>
  </si>
  <si>
    <t>Bryan constructed his own bridle with a floating bottom pin configuration and packed/rigged the system such that the bottom pin locked in the closing loop, resulting in a total malfunction (closed container impact). The intact closing loop was found large enough to admit the pin eye, and various malfunction modes were discovered on similarly configured containers. The pin lock prevented canopy extraction despite normal PC inflation and full bridle extension, directly producing the fatal outcome.</t>
  </si>
  <si>
    <t>The jumper extracted the pilot chute too late, resulting in impact at line stretch. The possible factors explicitly cite 'Extracted Pilot Chute too late' and 'Altitude awareness,' indicating a failure in execution timing rather than a deliberate decision to pull at that altitude. The jumper had sufficient experience (250 BASE jumps, 700 skydives) and appropriate equipment for a slider-up tracking suit jump, suggesting the intended course of action was sound but execution of the deployment was fatally delayed.</t>
  </si>
  <si>
    <t>Jim separated from the burning parachute too low, and although he deployed his normal BASE canopy normally, there was insufficient altitude for it to inflate before impact. The narrative states he 'extracted pilot chute too late' — the execution of the separation and deployment sequence was delayed beyond the point where survival was possible, indicating a performance/timing error during execution of the planned sequence.</t>
  </si>
  <si>
    <t>The cause of death is listed as 'low pull' and possible factors include 'extracted pilot chute too late.' The jumper exited with a slightly head-low attitude (unstable exit) and failed to deploy the parachute at a survivable altitude. He was found wrapped in his canopy 60 metres from the base of the cliff, indicating the canopy was extracted but far too late for adequate inflation and deceleration. The execution failure was in not deploying the PC at the correct time despite presumably intending to do so.</t>
  </si>
  <si>
    <t>Both jumpers chose to fly through 'the notch,' a line described as requiring near-perfect execution with approximately 200ft clearance over a ridge in the best case scenario, where the narrator states 'very few people in the world are capable of' the required exit and flight. The line offered minimal margin — even a perfect flight cleared the ridge by only ~200ft — and the narrator, a close peer, had explicitly told both jumpers the line 'wasn't worth it' because it offered no meaningful gain. This was a deliberate selection of a flight path with essentially zero margin for any deviation from perfection, constituting a decision that was identifiably and substantially inadequate given the known constraints.</t>
  </si>
  <si>
    <t>Graham made a 'sudden hard right towards the notch for unknown reasons,' passing in front of Dean and impacting the right side of the notch. The narrative explicitly states it is unclear whether this was an intentional course correction, a response to perceived inability to clear the upper ridge, or caused by an unknown weather condition. There is insufficient information to determine whether this was a decision error or an execution/control error.</t>
  </si>
  <si>
    <t>Dean made it through the lower portion of the notch but 'likely impacted a tree' on the downhill side. It is unclear whether Dean was burbled by Graham's pass in front of him, was already too low, or experienced some other factor. The narrative states it is 'impossible to know' the specific mechanism, making it insufficient to classify as decision or performance error beyond the initial line selection.</t>
  </si>
  <si>
    <t>Both jumpers chose to fly through 'the notch,' a line described as requiring near-perfect execution with approximately 200ft clearance over a ridge in the best case scenario. The narrator, a close associate, had explicitly told both jumpers the line 'wasn't worth it' and that it offered no meaningful benefit to the flight. Despite this, both committed to a line where the margin between survival and impact was extremely thin, and where even minor deviations in exit quality, glide performance, or unexpected interactions (such as burble from another jumper) left no room for recovery. The decision to fly this specific line was the producing mechanism for the fatal outcome — both died from terminal impact into terrain features within the notch.</t>
  </si>
  <si>
    <t>Graham made a sudden hard right turn toward the notch for unknown reasons after initially setting up on the left side. The narrative explicitly states it is unclear whether this was intentional repositioning, a reaction to perceived inability to clear the upper ridge, or caused by an unknown weather condition. This maneuver placed him on a collision course with terrain and may have contributed to Dean's fatal outcome through burble or by forcing Dean into a compromised position, but insufficient information exists to classify the specific error type.</t>
  </si>
  <si>
    <t>The jumper attempted to deploy his pilot chute but failed on the first two pull attempts, only succeeding on the third attempt. By that point there was insufficient altitude remaining, and he impacted at line stretch. The repeated failed pulls represent a performance/execution error in the physical act of deploying the parachute.</t>
  </si>
  <si>
    <t>The jumper chose to fly his old X2 wingsuit after not flying it for one year, despite being current on a different suit (Aura). This decision to fly a non-current suit on a terrain flight resulted in degraded performance — he was slow and went off-route, placing him in a position where he lacked adequate altitude and separation when he needed to deploy. The decision to use non-current equipment for a flight requiring precise performance was clearly and specifically inappropriate.</t>
  </si>
  <si>
    <t>After exit, the jumper did not begin effectively flying his wingsuit until approximately 100ft over the trees at the end of the talus, and the suit was not performing well throughout the approximately 30-second flight. He maintained minimal separation from terrain, consistent with flying too slowly or at an inefficient angle of attack, resulting in loss of speed and glide that left him unable to gain adequate separation from terrain.</t>
  </si>
  <si>
    <t>The pilot chute was found still inside the BOC after impact, indicating the jumper never successfully deployed his parachute. With insufficient terrain separation due to poor wingsuit performance, the jumper was unable to reach his BOC or chose not to attempt deployment, resulting in closed-container terminal impact.</t>
  </si>
  <si>
    <t>The jumper was found approximately 2/3 through the normal wingsuit flight path with nothing deployed, having impacted terrain in terminal freefall. He was last seen flying in fine form around the first corner. There is no video evidence and the narrative explicitly states there is no basis for speculation about what occurred between the last sighting and impact. The cause of the fatal error — whether a decision regarding line choice, loss of speed/glide, spatial misjudgment, or other execution failure — cannot be determined from available information.</t>
  </si>
  <si>
    <t>The jumper failed to cleanly extract and deploy the pilot chute from the BOC pouch during a wingsuit flight, resulting in a PC/bridle entanglement that rendered the PC unable to extract the canopy. The domain reference identifies that PC/bridle entanglement is caused by improperly deployed PCs (weak toss, holding PC too long allowing bridle to flow downstream) and that the PC must be deployed into clean air with clear, unwavering intent. The jumper's three subsequent attempts to extract the canopy by hand were unsuccessful before ground impact.</t>
  </si>
  <si>
    <t>The jumper performed 3 backflips before deploying at approximately 4-5 seconds. During or after the aerobatic maneuver, the bridle entangled with his foot. Aerobatic deployments are recognized as creating high risk of bridle entanglement due to non-belly-to-earth body positions, and the domain reference explicitly identifies deploying head-down and experiencing bridle entanglement with a foot as both a total error and total malfunction. The entanglement was the direct mechanism that prevented canopy inflation, producing the fatal horseshoe configuration and closed-container impact.</t>
  </si>
  <si>
    <t>The jumper chose to fly a wingsuit from a new exit point behind the normal exit on Gavea, where the rock drop was considerably short. Selecting an exit with insufficient vertical relief for wingsuit flight is a clearly and specifically wrong decision — a wingsuit requires adequate altitude to transition from exit to flying speed, and a 'considerably short' rock drop does not provide this. The jumper impacted the terrain seconds after exiting, indicating the chosen exit point was fundamentally inadequate for wingsuit flight.</t>
  </si>
  <si>
    <t>Magnus was flying a proximity line ('the Barn Line') in a wingsuit and impacted terrain in terminal freefall. The cause of death was impact in terminal freefall with 'loss of speed-glide' listed as a possible factor, indicating he failed to maintain adequate airspeed and glide performance during the flight to clear terrain. He was an experienced jumper who had chosen this line deliberately; the fatal outcome resulted from insufficient execution of the flight rather than from the decision to fly the line itself.</t>
  </si>
  <si>
    <t>The jumper was flying a proximity line along terrain when he lost adequate speed and glide performance, resulting in impact with terrain (through a small tree/bush) during wingsuit flight. The cause of death was impact in terminal freefall, indicating he struck terrain before deploying his parachute. The narrative indicates loss of speed-glide as a possible factor, and the impact occurred on a technical part of the line, suggesting an execution failure in maintaining adequate airspeed and flight path rather than a fundamentally wrong decision about the line itself, which he had previously flown successfully.</t>
  </si>
  <si>
    <t>The jumper was observed flying lower and slower than the lead jumper during proximity flight along terrain. When encountering a ledge, the jumper lacked sufficient speed and glide performance to clear it, resulting in full-flight impact with the mountainside. Witnesses confirmed the jumper was 'not flying as well/fast' as the first jumper, indicating a failure in execution of speed and angle-of-attack management rather than a flawed plan, as the lead jumper successfully cleared the same terrain.</t>
  </si>
  <si>
    <t>The jumper had a bad push from the exit point and failed to achieve sufficient forward separation, resulting in impact with a ledge only seconds after exit. The exit technique was insufficient for this technical exit which required precise execution to clear terrain features near the exit point.</t>
  </si>
  <si>
    <t>The narrative explicitly states the jumper jumped in 'extremely high winds' that 'played a huge factor in this fatality.' The domain reference establishes that few objects are good in winds &gt;10 mph and no objects are good &gt;20 mph. The decision to exit in extremely high winds from a cliff in a wingsuit was clearly and specifically inappropriate — strong winds at a cliff exit are a recognized contraindication for jumping, and the conditions directly produced the unstable exit and inability to recover. This was not an execution failure; the jumper could not have been expected to fly successfully in these conditions regardless of skill.</t>
  </si>
  <si>
    <t>After exiting, the jumper flipped and could not recover in time, resulting in subterminal impact near the exit. The jumper failed to regain a flyable body position from the unstable attitude induced by the wind conditions. However, this execution failure was substantially a product of the decision to jump in extreme winds.</t>
  </si>
  <si>
    <t>The jumper used a wingsuit he had only skydived twice before attempting a wingsuit BASE jump from a technical exit. Accepted practice requires 40-60 skydives with the specific suit before wingsuit BASE use. This decision was clearly and specifically wrong — jumping a near-unfamiliar wingsuit from a technical cliff exit meant the jumper lacked the suit-specific knowledge needed to manage the start arc, and this inadequacy directly produced the failed start and subterminal impact.</t>
  </si>
  <si>
    <t>The jumper failed to achieve adequate flight after exit, resulting in a 'fail to a short start' with subterminal impact and nothing deployed. The execution failure — whether an unstable exit, incorrect angle of attack, or inability to transition to flight in the unfamiliar suit — was the direct mechanism producing the fatal ground impact with no canopy deployed.</t>
  </si>
  <si>
    <t>The jumper reportedly slipped on exit and was unable to establish stable wingsuit flight. He was observed falling straight down with only his pilot chute out, impacting on the talus near the wall beneath the exit point. The unstable exit and failure to recover into stable flight was the execution error that produced the fatal outcome.</t>
  </si>
  <si>
    <t>Philippe Jean flew his wingsuit toward a challenging entrance point on line 7, reached to make the point, stalled the wingsuit, and lost flight, resulting in terminal impact with the grassy slope. The recovered camera video confirms he stalled while attempting to access the entrance, indicating a technique/execution failure in airspeed and angle of attack management during the critical phase of flight.</t>
  </si>
  <si>
    <t>The jumpers chose a very small landing area closer to the ocean to avoid crossing a stream, in conditions of steady tailwind and violent winter swell at near high tide, which reduced the already small LZ further. This decision to use an undersized landing area in poor conditions with inadequate margin from the ocean was the producing mechanism: the tailwind reduced canopy penetration, and the jumper landed in the wave wash, leading to drowning. The narrative explicitly states conditions were poor, the LZ was smaller than usual, and the object is rated as highly technical.</t>
  </si>
  <si>
    <t>The jumper collapsed his leg wing before initiating the pull, causing excess fabric to cover the BOC/PC handle. He was unable to locate and extract the pilot chute despite several seconds of attempting, resulting in a total malfunction (closed container impact). The intended action was to deploy the parachute, but the execution technique—collapsing wings before reaching the PC handle—prevented successful extraction.</t>
  </si>
  <si>
    <t>The jumper exited in bad weather with low-level fog and medium winds, which the police report states could have increased the chance of impact from low visibility. Despite being highly experienced with 1400 WS BASE jumps and intimate familiarity with this exit point, the decision to jump in conditions with low-level clouds and fog was clearly inappropriate as it degraded or eliminated the visual references essential for wingsuit terrain flying. The result was terminal freefall impact, consistent with inability to see and avoid terrain.</t>
  </si>
  <si>
    <t>The jumper decided to jump a guyed antenna at night with winds of 31 knots at 1600 feet and 20 knots at the midpoint. The domain reference states few objects are good in winds over 10 mph and no objects are good over 20 mph. Guyed antennas restrict desirable heading range to approximately 120 degrees, and wind evaluation is mandatory because wind conditions frequently rule out safe jump plans. Jumping a guyed antenna in 31-knot winds (approximately 36 mph) at exit altitude is a clearly and specifically inappropriate decision that produced the fatal object strike under canopy, as crosswinds degraded heading performance and canopy control near guy wires.</t>
  </si>
  <si>
    <t>The jumper deployed his pilot chute too late, at an altitude insufficient for the canopy to fully inflate before ground impact. The narrative states he was 'going faster and lower than the rest of the three way' and 'started to pull over the road or very close to it' when he was already critically low. The canopy inflated right before impact, confirming the deployment was initiated far too late. This represents a failure in altitude awareness and timely execution of deployment rather than a flawed decision about the jump plan itself — the jumper intended to deploy but failed to do so at a survivable altitude.</t>
  </si>
  <si>
    <t>The jumper experienced a total malfunction with only the pilot chute deploying (PC in tow). Investigators found a hole in the PC netting and a broken zipper on the right side of the harness, with a witness stating the bridle appeared caught on something. However, the narrative does not establish clearly whether the fatal outcome resulted from a decision error (e.g., choosing to jump with damaged equipment) or a performance error (e.g., packing or rigging error that caused the bridle to snag). The relationship between the hole in the PC, the broken zipper, and the bridle entanglement is not sufficiently explained to distinguish between decision and execution failure.</t>
  </si>
  <si>
    <t>The jumper used a two-move dynamic exit with his right foot advanced, and during the push he likely stepped on his leg wing and lost grip with his right foot, causing him to slip. This resulted in an immediate 45-degree bank to the left within less than a second, escalating to a 90-degree bank with the jumper struggling not to turn on his back. Despite recovering from the near-inversion and completing a roughly 270-degree turn, he was unable to establish a viable flight path and impacted terrain approximately 200 meters below the exit point.</t>
  </si>
  <si>
    <t>The jumper initially waited approximately two hours because conditions were too windy, then declined to jump with his partner specifically because winds had become gusty. After waiting only 15 more minutes he decided to exit solo in conditions that had not meaningfully improved — winds were still visible on the grass at the exit and described as moderate to gusty. Jumping a large wingsuit (Vampire Race) in gusty crosswind conditions from this object was a clearly inappropriate decision that directly contributed to the fatal outcome by degrading exit stability and eliminating any possibility of recovery from the resulting unstable exit.</t>
  </si>
  <si>
    <t>The jumper was performing a wingsuit proximity flight through a gulley near the rifugio. Evidence indicates he lost speed and glide performance during the flight, as he impacted terrain at high speed in terminal freefall with only an emergency-level low deployment attempt (slider still at top of lines). His flight path deviated from the original plan—turning south and entering a gulley east of the rifugio where he disappeared from view—suggesting he was unable to maintain adequate energy and separation from terrain. The cause of death was impact in terminal freefall, consistent with a wingsuit pilot who lost available lift and could not recover or deploy in time.</t>
  </si>
  <si>
    <t>After discovering a dislodged bottom pin at the exit point, the jumper re-closed the container without removing the bridle and PC from their stow. This resulted in the bridle being routed inside the closing loop, creating a pin lock malfunction. The PC deployed and extracted fully but could not pull the pins, resulting in a total malfunction and high-speed impact. This was an execution error in a task the jumper knew how to perform — the correct procedure (removing the bridle/PC before re-closing) was skipped during the field adjustment.</t>
  </si>
  <si>
    <t>Gary exited and immediately flew with very little forward speed, consistent with a stalled or near-stalled wingsuit configuration. His forward speed continued to decrease as he attempted to fly over the power lines, indicating he was flying at too high an angle of attack and failing to achieve efficient wingsuit flight. This poor execution consumed all available altitude, leaving him with insufficient altitude to complete deployment after clearing the power lines.</t>
  </si>
  <si>
    <t>The narrative establishes that Gary's previous jump from the same object the day before resulted in a stalled flight requiring an emergency pitch and an unplanned highway landing. Despite receiving extensive coaching about his deficiencies (exit technique, angle of attack, flight in non-thermic conditions), he chose to jump the same object again the next morning under similar shaded/non-thermic conditions. The prior day's near-miss clearly demonstrated that this object exceeded his wingsuit capability, making the decision to repeat the jump identifiably and specifically wrong given the information available to him.</t>
  </si>
  <si>
    <t>JVH exited on the right position but pushed to the same axis as the first jumper rather than maintaining a different angle. The pre-jump discussion established that the right-side jumper should push parallel or at a slightly different angle, but JVH flew into the first jumper's flight path, entering his burble approximately 4 seconds into the jump.</t>
  </si>
  <si>
    <t>After hitting the burble and experiencing clear loss of power at approximately 4 seconds, JVH chose to attempt to fly it out by turning 90 degrees right at a nose-up pitch rather than deploying his parachute while he still had altitude. He continued in degraded flight for another 3-4 seconds in a nose-up, energy-depleting configuration until impact at 10 seconds. The nose-up turn bled remaining speed and available lift, and the decision to continue flying rather than deploy produced the fatal impact.</t>
  </si>
  <si>
    <t>After initiating the left turn over the ridgeline, Jimmy progressively pulled the suit to a shallower angle of attack in an attempt to stay above terrain rather than turning out toward safer ground. This slow-flight technique bled airspeed and available lift, causing severe lateral instability and an unrecoverable sink rate. The execution error was in flying too slowly near terrain — a recognized fatal pattern — rather than maintaining speed or converting to a dive to regain energy.</t>
  </si>
  <si>
    <t>Jimmy chose to fly a turning line over ridges requiring terrain management, despite having only 2 skydives and approximately 13 BASE jumps on the V3 (a suit he was unfamiliar with, purchased as a gap-filler), and despite his previous Brento jumps being described as 'not very good, rather unsteady.' The decision to fly a committing terrain line — rather than going straight out as he had done successfully — was clearly inappropriate given his demonstrated lack of proficiency on this suit. He had a safe straight-out option and an alternative landing area available.</t>
  </si>
  <si>
    <t>The bridle separated from the canopy on deployment, indicating the bridle was not properly attached to the canopy during rigging/inspection. This is a memory or technique failure in executing a known critical rigging step — the jumper intended to have a properly configured system but failed in the physical execution of ensuring the bridle-canopy connection. The narrative states 'very likely a rigging error' and that the bridle separated from the canopy on opening, resulting in a total malfunction.</t>
  </si>
  <si>
    <t>The jumper chose to jump an exit known to be extremely difficult, featuring a downhill exit requiring many steps with a ledge at 300' that previous jumpers had barely cleared by inches — one of whom vowed never to jump it again. The decision to attempt this object, which demanded mandatory perfection with essentially zero margin for error at the ledge, was the producing mechanism: the jumper did not clear the ledge and impacted near the exit. The object's known characteristics made it a clear case where any less-than-perfect execution would be fatal, and the decision to jump it was identifiably and specifically inadequate.</t>
  </si>
  <si>
    <t>The jumper impacted in terminal freefall with nothing out, indicating a failure to deploy the parachute. The narrative states he was having trouble flying a borrowed tracking suit, but provides no specific detail about what prevented deployment — whether it was a decision to delay too long, inability to reach the BOC due to suit problems, loss of altitude awareness, or some other factor. There is insufficient information to distinguish between a decision error and a performance error.</t>
  </si>
  <si>
    <t>The jumper chose to fly the most committing entrance to line 3 — where the ridge is flat and bail-out requires a sharp 90-110 degree turn — during late afternoon when thermal lift had diminished compared to his earlier jumps. He had observed himself 10-15 meters above the ridge on previous jumps but those were made with more lift available. The decision to fly this committing line in conditions with less lift than previously experienced was the producing mechanism: he lacked the margin to clear the ridge and the line geometry prevented escape once he recognized the problem.</t>
  </si>
  <si>
    <t>The jumper sank out and impacted the ridge, indicating he did not maintain sufficient airspeed to achieve the glide needed to clear the terrain. The narrative identifies loss of speed-glide as a possible factor, and the lessons emphasize that speed was lost while trying to maintain glide. Inadequate speed management — failing to maintain the energy reserves needed to convert to glide at the critical ridge crossing — was the execution-level failure that directly produced the fatal impact.</t>
  </si>
  <si>
    <t>The jumper exited cleanly and established a steep track, but failed to achieve sufficient glide to clear a known terrain feature (the first notch) that trackers must out-fly on this line. She impacted the top of the notch in terminal freefall without deploying her parachute, indicating she either did not recognize the terrain closure in time or was unable to generate the glide performance needed. The narrative describes a 'low flight pattern' and an attempt to 'out track the first notch' that was unsuccessful, pointing to inadequate tracking execution or misjudgment of glide performance relative to terrain.</t>
  </si>
  <si>
    <t>The jumper reportedly slipped on snow at the exit point, resulting in an unstable exit from which he was unable to recover. The cause of death was subterminal impact near the exit, indicating he never achieved a stable body position or adequate separation to deploy his parachute. The execution failure (slipping) produced the fatal outcome directly.</t>
  </si>
  <si>
    <t>The jumper exited and his legs went over his back, causing an unstable exit that prevented him from establishing flight. This execution failure directly resulted in him failing to clear the ledge below the exit point, leading to subterminal impact within seconds of exit.</t>
  </si>
  <si>
    <t>The jumper elected to fly a left line that took him over a ridge he did not have the height or glide to clear. This was a conscious line selection that was clearly and specifically inadequate for the terrain, as the chosen trajectory placed him on a collision course with a ridge without sufficient altitude or glide performance to pass it. The decision to fly that line was the producing mechanism for the fatal impact.</t>
  </si>
  <si>
    <t>The narrative states the jumper 'failed to make an emergency pull' after misjudging his position relative to the ridge. Once the line choice proved unviable, deploying the parachute was the remaining survival action available, and the failure to execute this pull resulted in impact in terminal freefall with no canopy deployed.</t>
  </si>
  <si>
    <t>The jumper chose to fly a 'very positive' proximity tracking line at Chapeau de Napoléon that the narrative explicitly describes as 'lacking any sort of margin for human or environmental suboptimal parameters.' This was a decision to commit to a line where any deviation from perfect performance or conditions would be fatal, constituting a course of action that was clearly and specifically inadequate given the zero-margin nature of the terrain. He clipped a ledge during the proximity flight and impacted in terminal freefall.</t>
  </si>
  <si>
    <t>Uli attempted a radical 90-degree right turn toward the base flyer to close the altitude gap, but misjudged his closing speed. The maneuver was executed too aggressively, and when he braced for the resulting near-collision by closing his right arm wing and bending his right leg, this distortion put the suit into a hard diving right turn toward the wall from which he could not recover. The narrative explicitly states he 'executed the maneuver too aggressively' and 'appeared to misjudge his closing speed,' indicating a technique/execution failure rather than a fundamentally wrong decision.</t>
  </si>
  <si>
    <t>The jumper executed an exit that was 'too head low and not far away,' resulting in insufficient separation from the cliff. Approximately 2 seconds after exit, he clipped a ledge with his feet, which threw him into a head-down position from which he never recovered, impacting the terrain approximately 7-8 seconds later with no canopy deployed. The exit technique failure was the producing mechanism for the fatal outcome.</t>
  </si>
  <si>
    <t>The jumper was performing an aerobatic maneuver (barrel roll or corkscrew roll) during wingsuit proximity flight and impacted trees during the maneuver. The jumper intended to execute the maneuver and continue flying but failed in execution, resulting in terrain impact at terminal freefall speed. The fatal outcome was produced by insufficient technique or spatial awareness during the maneuver rather than by the decision to attempt it, as the maneuver could theoretically be survived with correct execution.</t>
  </si>
  <si>
    <t>The 250-meter wall had a ledge just below the exit requiring a running exit or very strong push to clear. The jumper clipped the wall with his feet shortly after exiting, indicating insufficient push/run to achieve the separation needed to clear the ledge. This inadequate exit execution directly produced the object strike that caused the fatal injuries.</t>
  </si>
  <si>
    <t>The jumper died from impact in terminal freefall during a wingsuit proximity flight, with loss of speed-glide identified as a possible factor. Flying a proximity line that left insufficient margin to recover from speed/glide degradation represents a decision that was clearly inappropriate — the chosen flight path did not allow survival when available lift diminished. The decision to fly close enough to terrain that a loss of speed-glide resulted in unrecoverable impact is the producing mechanism.</t>
  </si>
  <si>
    <t>The jumper exited 45 degrees head high, resulting in an upright/knee-first falling position rather than achieving forward flight. This poor exit technique prevented adequate forward separation and created a steep recovery arc that was insufficient to clear the ledge 150 meters below the exit point, resulting in chest impact with the ledge.</t>
  </si>
  <si>
    <t>The jumper failed to monitor and maintain adequate airspeed during wingsuit flight. After achieving a good start, he transitioned to maximum glide at approximately 100m above terrain without recognizing progressive speed loss. By the time the suit began to stall, he lacked sufficient altitude and positioning to recover. The eyewitness explicitly states 'He lost his speed slowly and didn't realise he was losing speed' and 'He had not enough experience with this suit to realise he was losing speed,' indicating an attention/monitoring failure during execution rather than a deliberate decision to fly slowly.</t>
  </si>
  <si>
    <t>The jumper chose a flight line that required flying over the original Melchstul exit ledge at extremely close proximity. Impact occurred just after crossing the ledge, indicating the chosen line required a level of terrain clearance performance that left zero margin. This was a deliberate line selection that was clearly and specifically inadequate — the jumper committed to flying over/past terrain with insufficient altitude and energy reserves to clear it, resulting in impact in terminal freefall with no opportunity to deploy.</t>
  </si>
  <si>
    <t>The jumper exited in winds of 5-10 m/s (11-22 mph), which is at or beyond the upper limit for safe BASE jumping and particularly hazardous for wingsuit exits where stable flight initiation is critical. The domain reference states few objects are good above 10 mph and none above 20 mph. The strong winds were a known condition at the time of the decision to jump, and the decision to exit in these conditions produced the unstable/tumbling flight from which the jumper never recovered, resulting in subterminal impact with no parachute deployment.</t>
  </si>
  <si>
    <t>The jumper had a bad exit from an unforgiving exit point and impacted terrain a few seconds later. The narrative and possible factors indicate an unstable exit that failed to achieve adequate separation from the object, resulting in subterminal impact near the exit. The execution of the exit was the producing mechanism — a properly executed exit from this object could have been survivable.</t>
  </si>
  <si>
    <t>The jumper initiated the correct pull maneuver but was unable to locate and extract the pilot chute from the BOC. Rather than returning to stable flight to reattempt, he continued searching while losing speed, altitude, and stability, eventually becoming unstable and rolling until ground impact. This was a technique/execution error in the deployment sequence - the correct action was intended but physical execution failed, resulting in inability to deploy the parachute.</t>
  </si>
  <si>
    <t>The jumper executed a noticeably head-low exit from Pilastro. This unstable exit in crosswind conditions resulted in a corkscrew (uncontrolled rotation) from which the jumper was unable to recover, and the wingsuit flew him into the wall approximately 4 seconds after exit. The exit technique failure was the producing mechanism for the fatal impact.</t>
  </si>
  <si>
    <t>The jumper received a 180-degree off-heading opening on a slider-down cliff jump. Witness accounts and gear inspection confirm that toggles were never unstowed, indicating the jumper failed to execute an effective heading correction using rear risers or brakes. The canopy flew back into the cliff, striking it multiple times before the jumper came to rest on the talus, dying from impact injuries.</t>
  </si>
  <si>
    <t>The jumper chose to fly a full-glide proximity line above a ridge that required at least 3.5 glide ratio, without maintaining adequate speed reserves. His brother noted he 'did not leave enough safety margin' and that 'it's never a good idea to proximity fly without some speed in reserve.' The decision to commit to this line without retaining sufficient energy to manage the flattening ridge profile and potential atmospheric changes (descending cooler air) was the producing mechanism for the fatal outcome.</t>
  </si>
  <si>
    <t>At the end of the ridge where terrain flattened and required higher glide performance, the jumper had insufficient speed and height. When he turned toward the landing zone, he encountered descending air and lost flight characteristics rapidly. His inability to maintain adequate airspeed through the critical section — arriving at the end of the ridge without enough energy to either clear terrain or execute the turn — represents a failure in execution of speed and energy management during the flight.</t>
  </si>
  <si>
    <t>The jumper was unable to locate and extract the pilot chute from the BOC pocket during his wingsuit deployment attempt. Witnesses observed him struggling with multiple different moves to find the PC, including de-arching instead of arching, and ultimately turning onto his back before impact. The pilot chute was found just out of the pocket with the bridle still in folds post-impact, confirming it was never successfully deployed during flight.</t>
  </si>
  <si>
    <t>The jumper chose a 'rather left flight path line' — one of the more challenging lines — that required flying over a ridge with trees. Given the available direct/easy line to the landing area, the jumper's choice to fly a proximity line over terrain he needed to clear, on his second jump of the day from this exit, with relatively few jumps on this wingsuit (10-12), constitutes a decision that was clearly and specifically inadequate. The decision to fly this line placed him in a no-pull zone over a ridge he failed to clear, resulting in terminal impact with no deployment attempt.</t>
  </si>
  <si>
    <t>David flew a slow, low flight path over the plateau and was observed to have had multiple opportunities to perform an emergency low pull. Rather than deploying his parachute when it became clear he lacked adequate altitude and speed to complete the planned line, he decided to try to pass the plateau and impacted approximately 2m before its end without having attempted to pull. The decision to continue flying through a no-pull zone rather than deploying when opportunities existed was the producing mechanism of the fatal impact.</t>
  </si>
  <si>
    <t>The jumper reached his hand through the stash bag compression cord and pulled the pilot chute out through it, causing the PC to become entangled with the compression cord. This execution error during the deployment sequence resulted in a PC in tow / PC-bridle entanglement and a total malfunction. The jumper intended to deploy but failed to execute the BOC reach correctly, routing the PC through an obstruction rather than cleanly extracting it.</t>
  </si>
  <si>
    <t>The jumper deployed at approximately 3-4 seconds into a jump configured for an 8-9 second delay (slider-up), while in an unstable body position after failing to establish a controlled track. This premature, unstable deployment at the vertical section of the cliff produced a violent ~140° off-heading opening with canopy surge, resulting in fatal object strike. The slider-up configuration at sub-terminal airspeed degraded heading performance, and the unstable body position further compromised the opening, but the core failure was the execution: deploying at the wrong time, in the wrong body position, at the wrong altitude relative to the cliff profile.</t>
  </si>
  <si>
    <t>The jumper had a bad exit, possibly slipping on the wet/damp exit point, resulting in a head-down attitude from which he could not recover. He impacted a ledge approximately 5 seconds after exit with no canopy deployment, indicating the unstable exit directly produced the fatal conditions by leaving him head-down without sufficient time or separation to recover and deploy.</t>
  </si>
  <si>
    <t>The jumper continued into a known no-pull zone with no out to the right despite having lower groundspeed and a higher-than-normal glide ratio (indicating near-maximum AoA with minimal energy reserves). The pre-jump plan explicitly called for peeling out to the right before the no-out section if the terrain was not flyable, yet the jumper committed to the line rather than executing the planned escape. This decision to continue into terrain with no escape route while already flying at marginal energy states was the producing mechanism for the fatal outcome.</t>
  </si>
  <si>
    <t>The jumper flew at a high glide ratio with insufficient airspeed, consistent with flying too slowly near stall. After encountering the burble from Jumper 2, the already marginal speed was further reduced, leading to a wingsuit stall with no altitude or energy to recover. The domain reference identifies flying at high AoA near stall as a recognized fatal error pattern in wingsuit BASE, and the jumper's groundspeed was already lower than on previous successful flights of the same line.</t>
  </si>
  <si>
    <t>During wingsuit proximity flight, the jumper lost speed mid-flight, which caused altitude loss and placed her close to terrain. The domain reference establishes that speed loss in a wingsuit rapidly depletes available lift (a 20% speed decrease results in 36% AL loss), and that flying too slowly is a recognized execution failure pattern where the pilot allows AoA to increase, bleeds energy, and enters a degraded flight state. The jumper was unable to recover sufficient energy to clear the terrain, resulting in impact in terminal freefall.</t>
  </si>
  <si>
    <t>The jumper exited head-down from a wingsuit exit at 6000m with only 85m to a ledge below. He was unable to recover from the head-low exit attitude quickly enough to establish forward flight, resulting in impact with the ledge 85m below the exit point. The exit execution was the producing mechanism — a stable, properly executed wingsuit exit could have allowed forward flight away from the terrain.</t>
  </si>
  <si>
    <t>Kristian attempted to pull for 5-6 seconds but was unable to locate or extract the pilot chute from the BOC pocket. The narrative indicates he had lost feeling in his fingers and hands due to cold exposure, resulting in inability to physically execute the pull despite repeated attempts. He impacted without deploying his parachute.</t>
  </si>
  <si>
    <t>GoPro footage clearly shows a series of attempts to find and deploy the pilot chute, all of which failed. The jumper intended to deploy but was unable to locate the BOC handle, resulting in no parachute deployment and closed-container impact. This is an execution failure in a fundamental skill — extracting the pilot chute from the BOC pouch during wingsuit flight.</t>
  </si>
  <si>
    <t>The jumper impacted subterminal near the exit without deploying the parachute. The narrative states a possible unstable exit and strong winds, but the jumper was found the next day with no witnesses, so it cannot be determined whether the fatal outcome resulted from a decision error (e.g., choosing to jump in strong winds on a very committing line) or a performance error (e.g., unstable exit leading to loss of control and inability to deploy). Insufficient information exists to discriminate between decision and execution failure.</t>
  </si>
  <si>
    <t>The jumper stowed his climbing sling and non-locking carabiner by tucking them into the saddlebag opening on his leg strap. During climbing and sitting on the railing, the right-side carabiner worked halfway out of its stowage. This inadequate stowage/failure to verify secure stowage before exit allowed the bridle to lay over the carabiner gate, which then clipped the bridle when tension was applied, choking off the canopy and producing a total malfunction resulting in impact.</t>
  </si>
  <si>
    <t>The jumper decided to perform a gainer from a slider-up antenna with only 2-3 prior slider-up jumps and no established competence in aerials (described as performing 'poor gainers' that were 'rather unstable and uncontrolled'). Attempting an aerial from his first slider-up object with minimal slider-up experience and demonstrated inability to execute gainers competently was a clearly inappropriate decision. The domain reference states aerials exponentially increase danger and require careful planning, instruction, supervision, and a forgiving object.</t>
  </si>
  <si>
    <t>The jumper could not set the rotation, hovered, rolled over his side, then attempted to stabilize and turn away from the antenna. He deployed his PC too late, impacting without a canopy. The failed aerial execution consumed altitude and the delayed deployment was the direct mechanism producing the fatal outcome.</t>
  </si>
  <si>
    <t>The jumper attempted to deploy at a reasonably high altitude but was unable to locate the pilot chute in the BOC pocket. Video evidence shows the jumper made a pull attempt but could not find the PC, then flipped over and impacted the ground. This is an execution failure during a correctly intended action — the jumper knew to pull and attempted to do so but failed in the physical execution of locating and extracting the pilot chute.</t>
  </si>
  <si>
    <t>Oscar flew the same proximity line as his morning jump but lower and slower, without adequate speed/energy. The video shows slower-than-normal flight for at least the last 10 seconds, during which he appeared fixated on buzzing the trees on the ridge shoulder. In the final second he lost his flight, was unable to clear the trees, and it was too late to turn right to the available escape route. This constitutes a failure to maintain adequate airspeed and available lift — a fundamental execution requirement for proximity wingsuit flying that he understood but failed to perform on this flight.</t>
  </si>
  <si>
    <t>The jumper clipped the underhung section of the cliff with his legs immediately upon exiting, indicating an insufficient exit push or improper body position that failed to clear the terrain. This contact sent him into a violent spin from which he was unable to recover before impact. The exit execution failure was the producing mechanism for the fatal outcome.</t>
  </si>
  <si>
    <t>The jumper failed to deploy her pilot chute at a survivable altitude. Despite being described as a habitual 'high puller,' she extracted the pilot chute too late, resulting in only approximately 2 seconds under canopy before impact. The narrative indicates she likely lost altitude awareness, possibly due to visual fixation on the landing area rather than monitoring her proximity to terrain ('my guess is that her visuals were at the landing and that she did not see the ledge coming'). This was an attention/monitoring failure during execution rather than a decision error — the jump plan itself (terminal tracking, slider-up) was appropriate for the object, but the execution of altitude monitoring and timely deployment was insufficient.</t>
  </si>
  <si>
    <t>After initially flying at an oblique angle away from the tree gate, Alex made a late decision to bank hard right and then left to realign on the gate. This late course correction at approximately 8 seconds into the flight caused significant speed and altitude loss, placing him in a critically high AoA from which he could not recover. The decision to aggressively maneuver back toward the terrain feature rather than continuing the safer detour around it to the left was the producing mechanism for the fatal stall and impact.</t>
  </si>
  <si>
    <t>The jumper exited and swept into a tracking position but immediately began turning to the right, achieving almost no forward separation from the wall. This is a technique/execution failure in sub-terminal tracking — the jumper intended to track away from the cliff but failed to maintain heading and generate adequate horizontal distance. The narrative notes he 'had a tendency to turn once he was up to speed,' indicating a recurring execution deficiency rather than a deliberate decision.</t>
  </si>
  <si>
    <t>At 10 seconds the jumper pitched his pilot chute while facing the wall with no meaningful object separation. Having failed to achieve forward distance, deploying at that point without adequate separation was a failure to recognize and respond to the critical situation — he needed to deploy earlier while still facing away from the wall or at a point where separation existed. The deployment timing and orientation constituted an attention/awareness failure during execution, resulting in impact at approximately line stretch.</t>
  </si>
  <si>
    <t>Rob performed a weak push from the exit point combined with a head-high posture. This execution failure resulted in insufficient forward separation to clear a significant positive incline approximately 6-8m below the exit, causing his left foot to strike the cliff and initiating a fatal tumble. The exit technique — not the decision to jump — was the producing mechanism; with a stronger push and proper body position, the ledge could have been cleared.</t>
  </si>
  <si>
    <t>The jumper exited from a position that did not provide adequate clearance over a large ledge 30 meters below. The narrative explicitly states this was 'a case of jumping from the wrong exit point.' The other jumper, positioned roughly a meter to the left, barely cleared the ledge, while Bjørn Emil's exit position on the right side — where the ledge gradually protruded further — made clearance impossible. The decision to exit from that specific point, given the terrain geometry, was the producing mechanism of the fatal impact.</t>
  </si>
  <si>
    <t>After performing a multi-person aerial exit (totem pole front flip), the jumper broke off facing the cliff, rotated 180 degrees to face away, and deployed very low. The canopy extracted but did not fully inflate before impact. The narrative indicates the jumper lost altitude awareness while focusing on turning away from the cliff, resulting in a fatally late deployment. The aerials were intentional and within the jumper's chosen plan; the fatal mechanism was the failure to monitor altitude and deploy in time.</t>
  </si>
  <si>
    <t>The jumper performed a gainer (aerial) and became entangled with the bridle upon pulling. The domain reference explicitly identifies bridle entanglement as a known risk of aerials, where deploying from non-belly-to-earth positions risks the bridle wrapping around limbs or torso. Although the jumper cleared the entanglement, the delay consumed the remaining altitude, resulting in impact at line stretch. The fatal mechanism was the execution failure during deployment from the aerial maneuver, not the decision to perform a gainer itself.</t>
  </si>
  <si>
    <t>The jumper attempted a wingsuit BASE jump with only 40 skydives, 1 BASE jump (this fatal one), no BASE training, no mentorship, and no First Jump Course, using skydiving gear (Micron container with skydiving main/reserve and deployment bag) rather than BASE-specific equipment. Accepted progression requires 200+ skydives before beginning BASE, 100+ BASE jumps before wingsuit BASE, and 100+ wingsuit skydives, plus proper BASE equipment. The decision to attempt this jump was a clear and extreme departure from accepted practice, and the use of skydiving gear (which lacks the rapid deployment characteristics of BASE equipment and includes a deployment bag unsuitable for BASE) was identified as the cause of death. The canopy was observed slowly turning back into the wall, consistent with inadequate equipment and complete lack of training producing an unrecoverable situation.</t>
  </si>
  <si>
    <t>The jumper suddenly dove 45 degrees to the left and down, flipped onto his back, and impacted trees in terminal freefall with no parachute deployment. The witness observed a 'twitch' in flight immediately prior. The wingsuit was inspected post-accident and showed no damage that could have caused the event. A possible medical explanation (seizure history) exists but remains speculative; the narrative does not provide sufficient information to definitively determine whether the fatal loss of control resulted from a medical incapacitation, a decision error, or a performance error.</t>
  </si>
  <si>
    <t>After a normal exit and four seconds of straight flight, the jumper deliberately banked left to fly through a narrow 'tree gate' formed by a lone tree on a pillar and the wall. This proximity maneuver through a constricted terrain feature on his first jump from this exit required precise speed and altitude management with minimal margin for error. The turn caused him to lose speed and altitude, and he failed to clear the pillar by a narrow margin, resulting in high-speed terrain impact. The decision to fly a proximity line through a tight terrain gate on a first flight from an unfamiliar exit was clearly and specifically inappropriate — the domain reference establishes that first flights from new lines should maintain distance from terrain, and flying between terrain features 'greatly reduces available solutions.'</t>
  </si>
  <si>
    <t>The jumper performed a double front flip on exit which over-rotated, leaving him unstable and close to the wall. The over-rotation was an execution error in the aerial maneuver — the intended action (front flips) was performed with insufficient technique, resulting in loss of stability and inadequate object separation. This directly produced the fatal conditions: proximity to the wall with insufficient altitude or separation to recover, leading to an emergency pull and wall impact at terminal velocity.</t>
  </si>
  <si>
    <t>The jumper was flying a wingsuit proximity line requiring very good glide and early commitment. He lost sufficient speed/glide to clear the terrain, resulting in impact in terminal freefall. The evidence that he pulled his parachute indicates he recognized the emergency but was unable to recover from the situation, pointing to a failure in execution of the flight (maintaining adequate speed and glide) rather than a fundamentally wrong decision about the line itself.</t>
  </si>
  <si>
    <t>Lluis performed a few-steps exit that resulted in a very head-low and asymmetric body position. This unstable exit failed to generate adequate forward separation from the cliff, leading to impact with a ledge directly below the exit point at subterminal speed. The execution of the exit was the producing mechanism: a properly executed exit from this object could have provided sufficient separation to survive.</t>
  </si>
  <si>
    <t>The jumper impacted the wall/ledges near the exit point, with possible factors including a slipped/bad exit or poor tracking. The camera was lost so the exact mechanism is unknown. The narrative states 'bad exit / slipping on exit or just a bad track seem to be the likeliest' but cannot confirm which occurred, making it impossible to distinguish between a decision error (choosing this demanding exit in these conditions) and a performance error (execution failure during exit or track).</t>
  </si>
  <si>
    <t>The jumper chose to fly a tight proximity line through a gorge with tight corners on what was most likely his first flight at Stockhorn, declining a 2-way with an experienced terrain flyer because that flyer wouldn't be 'charging hard enough.' The narrative establishes a consistent pattern of deliberately flying with insufficient margin (described as '110%'), and on this flight he was 'turning and possibly drifting too deep for that whole section, especially for a 1st flight there.' The decision to fly an aggressive, low-margin proximity line through unfamiliar terrain with tight corners was the producing mechanism for the fatal impact in terminal freefall.</t>
  </si>
  <si>
    <t>The jumper chose to dive aggressively toward terrain at the bottom of the cliff on his first time at this object, committing to a line that required a successful flare to clear terrain with no margin for error. This constitutes flying into a no-pull zone / terrain proximity situation where the decision itself — choosing a line that demanded mandatory perfection to survive — was the producing mechanism. The domain reference explicitly warns against putting oneself 'behind something' where one 'needs' to increase glide to avoid an obstacle, and states that flying between/over terrain 'greatly reduces available solutions.' Flying an unfamiliar line with aggressive proximity on a first visit to the site is a clear departure from accepted practice, which requires knowing the line intimately, flying conservatively on first flights, and keeping distance that is gradually reduced over several sessions.</t>
  </si>
  <si>
    <t>The pilot chute slipped from the jumper's hand during the throw, causing it to fall directly behind his head/right shoulder region where it remained in the burble on top of his rig until impact. Video evidence clearly shows the PC was not deployed into clean air with sufficient force, resulting in a total malfunction (PC in tow). This is a technique/execution error in the physical act of deploying the pilot chute.</t>
  </si>
  <si>
    <t>The jumper exited in a totally head-down orientation, failing to achieve a flyable body position. This unstable exit prevented effective wingsuit flight, resulting in insufficient separation from the cliff and multiple impacts with the wall near the exit point before achieving canopy deployment.</t>
  </si>
  <si>
    <t>A 15-year-old with no instruction or training obtained skydiving gear and attempted a BASE jump from a building using a static line configuration. Skydiving equipment is not designed for BASE jumping — it lacks the rapid deployment characteristics, appropriate brake settings, and configuration necessary for the low-altitude, fixed-object environment. The decision to attempt a BASE jump with no training and inappropriate equipment was the producing mechanism for the fatality; even perfect execution could not have overcome the fundamental inadequacy of using unconfigured skydive gear from a building.</t>
  </si>
  <si>
    <t>The jumper deliberately delayed deployment to approximately 80 meters AGL, a critically insufficient altitude for a slider-up cliff jump. He had a documented pattern of opening lower than he should, having been warned by his mentor and other jumpers about this behavior. This decision left zero margin for any deployment difficulty, and when a PC extraction problem occurred, there was no altitude remaining to recover.</t>
  </si>
  <si>
    <t>At the already critically low deployment altitude, the jumper failed to cleanly extract and deploy the pilot chute on the first attempt. Witnesses observed an attempt to open at approximately 80 meters, but the jumper could not complete deployment - possibly missing the PC handle, hand slipping off, or finger catching in the open PC handle. The jumper impacted before line stretch.</t>
  </si>
  <si>
    <t>The jumper was unable to locate his pilot chute at pull time, became unstable while searching for it, and impacted the ground without deploying his parachute. The narrative states he 'had issues at pull time' and was 'unstable looking for the PC,' indicating a failure in the physical execution of the deployment sequence — specifically the BOC reach and extraction — rather than a decision error. This execution failure directly produced the fatal total malfunction.</t>
  </si>
  <si>
    <t>After deployment, Marcus flew away from the planned landing area (the road) while unzipping his wingsuit and performing a 180-degree turn. Upon completing the turn back toward the road, he was too low to reach it. This represents an attention/awareness failure — he failed to monitor his altitude and position relative to the landing area during the post-opening unzipping and maneuvering sequence, consuming too much altitude flying away from the only viable landing zone before turning back.</t>
  </si>
  <si>
    <t>The jumper impacted terrain in terminal freefall during a wingsuit proximity flight with his parachute container still closed and pilot chute stowed. The camera that might have revealed the cause was lost on impact. Without footage or witnesses to the final phase of flight, it is impossible to determine whether the fatal outcome resulted from a decision error (e.g., choosing a line with insufficient margin) or a performance/skill-based error (e.g., misjudging speed/glide, failing to maintain adequate terrain separation, or failing to deploy). The narrative establishes proximity flying as a possible factor and notes thermal/bumpy air conditions, but the specific mechanism that led to controlled flight into terrain cannot be determined from available evidence.</t>
  </si>
  <si>
    <t>The jumper acknowledged winds seemed strong, yet proceeded to jump during the warmer part of the day when coastal winds are known to be stronger, rather than the early morning window normally used for this site. This decision to jump in recognized adverse wind conditions at a suboptimal time was the producing mechanism: strong winds at a slider-down cliff with only ~4 seconds of usable delay likely caused or compounded an unstable exit and/or insufficient object separation, resulting in terminal freefall impact with the cliff.</t>
  </si>
  <si>
    <t>The narrative lists multiple possible scenarios (unstable exit to impact, excessive delay, off-heading opening near wall) but cannot confirm which execution error occurred. The cause of death was impact in terminal freefall with canopy out, suggesting a deployment or tracking execution failure, but insufficient detail exists to distinguish whether the jumper failed to deploy in time, had an unstable exit preventing effective tracking, or suffered wind-induced loss of separation.</t>
  </si>
  <si>
    <t>Jon initiated deployment at a safe altitude but was unable to locate and/or extract the pilot chute from the BOC pocket despite multiple attempts. He struggled with the extraction throughout the remaining altitude, only deploying the PC at approximately 30-40 feet before impact, resulting in terminal impact with no effective canopy deployment. The failure was in the physical execution of the pull sequence rather than in the decision of when or whether to deploy.</t>
  </si>
  <si>
    <t>The jumper routed the bridle through the lateral band (a harness/container webbing) instead of the correct path. This misrigging meant that when the static line extracted the bridle, it could not extract the canopy from the container, resulting in a total malfunction. The jumper intended to rig the system correctly but made an execution error during the rigging process.</t>
  </si>
  <si>
    <t>The jumper experienced a tension knot causing a rapid spiral to the left. The jumper attempted rear riser pumping and brake toggle inputs without effect, briefly arrested the rotation with a flare but was unable to sustain controlled flight or execute an effective emergency response (such as cutting the affected line with a hook knife) before striking the talus. The malfunction response was insufficient to prevent object strike.</t>
  </si>
  <si>
    <t>Ground crew observed that Dylan's poised exit was unstable and he rotated forward after exit. He pitched (deployed) mid-rotation, resulting in an off-heading opening with line twists. The unstable exit and deployment during rotation directly produced the off-heading that led to object strike and fatal injuries. The execution of the exit was the producing mechanism — a stable exit and properly timed deployment would have been survivable.</t>
  </si>
  <si>
    <t>Eric appears to have had an unstable exit, likely slipping on wet grass, which resulted in his feet going over his head into a front flip/scorpion position. He impacted the first ledge approximately 5 seconds after exit only 8-12 feet from the wall, with his canopy only half out and one pin still in and PC still stowed, indicating he never achieved a stable body position or effective deployment. The execution failure on exit directly produced the fatal outcome by preventing adequate object separation and any possibility of deployment.</t>
  </si>
  <si>
    <t>Brandon made his initial attempt to deploy the pilot chute at approximately 4 seconds but failed to successfully extract and throw it. The video shows his hand reaching the BOC and arm/shoulder motion in an attempt to throw, but the deployment did not succeed — whether from a hard pull, missed pull, or fumble is unclear. This failed first attempt consumed approximately 1.1 seconds of critical altitude, and while he successfully deployed on his second attempt at 5.1 seconds, the canopy did not complete pressurization before impact.</t>
  </si>
  <si>
    <t>Brandon intentionally planned an approximately 4-second delay from a bridge (approximately 486 feet), slider-down with a stowed BOC deployment. The domain reference establishes that delays under 2 seconds should generally use hand-held deployment because the time window to locate and deploy the PC is very limited and altitude margin is small. A 4-second delay from a span of this height, while slider-down, consumed the vast majority of available altitude before any deployment attempt, leaving zero margin for the deployment difficulty he encountered.</t>
  </si>
  <si>
    <t>The jumper received a specific briefing that at the decision point near power lines, if speed was insufficient or any doubt existed, the correct action was to pull immediately. Outside observers noted he lost speed but decided to keep going anyway. This decision to press on past the abort point without adequate speed was the producing mechanism, resulting in insufficient altitude to deploy after clearing subsequent obstacles.</t>
  </si>
  <si>
    <t>After experiencing a 90° off-heading opening to the left, the jumper corrected heading with rear risers but took 'precious seconds' to release his brakes. This delayed transition from riser correction to brake flight cost critical altitude and forward distance, leaving him too low to clear the pool and reach the main landing area.</t>
  </si>
  <si>
    <t>After losing considerable altitude during the heading correction, the jumper decided to continue forward toward the main landing zone rather than landing in the available emergency landing areas to the left or right. The narrative states he was already low but 'decided to go forward for the main landing zone' and could not clear the pool with the strong water current, resulting in drowning.</t>
  </si>
  <si>
    <t>During a TARD (Totally Awesome Rapid Deployment) exit, the jumper's leg or foot became caught in the canopy, causing him to fall forward into the canopy until impact. This is a technique/execution error during an unpacked deployment method that requires precise handling to avoid jumper/canopy entanglement. The domain reference explicitly notes that TARDs require the jumper to toss the canopy upward to avoid entanglement, and that any wrong move can cause entanglement.</t>
  </si>
  <si>
    <t>The jumper made a drastic 90° turn to the right to avoid a ledge, then corrected 90° back to the left. These aggressive maneuvers bled speed and altitude, leaving him flying very low and slow with insufficient energy to clear the powerlines ahead. The turns resulted in a loss of speed-glide that he could not recover from, producing the fatal impact in terminal freefall.</t>
  </si>
  <si>
    <t>The jumper failed to stow the excess bridle between the two break cord loops with a rubber band, and used a static cord loop that was too long for the site, creating excessive free bridle/cord that could entangle. This rigging execution error—leaving unstowed excess bridle in a static line configuration—directly enabled the bridle to wrap around his foot during exit, resulting in a total malfunction (PC in tow / bridle entanglement) and fatal impact.</t>
  </si>
  <si>
    <t>During the exit, the jumper flexed his legs excessively toward his body, intercepting the excess bridle with his right foot. This execution error in body position during a static line exit directly caused the bridle entanglement that prevented canopy deployment.</t>
  </si>
  <si>
    <t>The jumper experienced a weaker push than usual on exit from a technically demanding exit point with a ledge requiring clearance (-20+6m ledge). The insufficient forward separation resulted in him clipping the ledge shortly after exit, leading to subterminal impact. The exit technique/execution was inadequate for the known terrain requirements, not the decision to jump.</t>
  </si>
  <si>
    <t>After exiting, the jumper applied a very sharp bank to the right that was too aggressive, sending him into a steep, head-low, sideways attitude. Although he recovered from the upset, the altitude lost during the recovery left him too low to clear the ledge terrain on his chosen right-side line, resulting in impact with trees.</t>
  </si>
  <si>
    <t>The jumper chose to fly 'a very committing and aggressive turn into a drainage,' a proximity line that left insufficient margin for error. Based on the body location and known flight characteristics, the jumper selected a flight path requiring a high-commitment maneuver near terrain that produced impact in terminal freefall. The narrative describes the jumper flying with 'commitment and intensity' and recognizing that 'pushing further would be unsustainable,' indicating the chosen line was at or beyond the edge of sustainable risk.</t>
  </si>
  <si>
    <t>The jumper died from a PC in tow or PC-bridle entanglement resulting in closed-container or near-closed-container impact (canopy only slightly out of container). The narrative does not provide sufficient detail to determine whether the fatal outcome resulted from a decision error (e.g., incorrect rigging setup) or a performance error (e.g., weak PC toss, deployment technique failure). The possible factors list mentions both incorrect rigging setup and PC entanglement, but the investigation was incomplete and the specific mechanism cannot be determined from available information.</t>
  </si>
  <si>
    <t>The jumper grabbed the PC by the handle but failed to deploy it immediately and cleanly. After losing his helmet, he reached for it with his hand while still holding the PC, allowing the bridle and PC to blow forward and wrap around his arm. This hesitation and continued grip on the PC handle during the distraction caused a bridle-under-arm entanglement that resulted in a PC in tow / total malfunction.</t>
  </si>
  <si>
    <t>The jumper was performing wingsuit proximity flying and impacted terrain just before entry into a gully he intended to fly through, with nothing deployed. A witness who exited after him believes he miscalculated the entry point. The fatal outcome resulted from inadequate execution of the proximity line — specifically, failing to maintain sufficient separation from terrain during the approach to the gully, resulting in impact in terminal freefall.</t>
  </si>
  <si>
    <t>The group pre-established a reference point at approximately 370m vertical/600m horizontal where, if not reached with good horizontal speed, the jumper would abort to the river landing at 900m. Gonsholt arrived below this reference point yet chose to continue toward the bottom valley landing. This decision committed him to a flight path requiring sustained high glide ratio he could not maintain, resulting in 48 seconds of flight at 3-15m AGL in a continuous no-pull zone with decaying airspeed, ending in ground impact on line stretch after an emergency pull at 70 seconds.</t>
  </si>
  <si>
    <t>The jumper died from impact in terminal freefall, meaning the parachute was never deployed. The narrative suggests altitude awareness may have been a factor, and bad weather with clouds, rain, and low visibility may have contributed. However, the narrative provides insufficient detail to determine whether this was a decision error (e.g., choosing to jump in conditions that prevented altitude awareness) or a performance/skill-based error (e.g., failing to deploy due to spatial disorientation or lost altitude awareness during freefall). The first jumper's account of seeing the canopy impacting the wall appears inconsistent with the stated cause of death being terminal freefall impact, adding ambiguity to the sequence of events.</t>
  </si>
  <si>
    <t>Jeremiah decided to fly through a technical notch on his first visit to the object, without laser/GPS data, without prior flights from this exit, and despite being told his approach to assessment was inadequate and that safer alternatives existed. He acknowledged uncertainty about whether his suit could clear the terrain. The decision to attempt this line — which required precise knowledge of terrain clearance and subterminal turning performance he had no data for — was the producing mechanism for his impact with terrain.</t>
  </si>
  <si>
    <t>The jumper flew his wingsuit very slowly, as observed by two witnesses who were immediately concerned upon seeing his flight. This slow flight degraded his glide performance and available lift, causing him to lose altitude and fail to clear the plateau (which required a glide ratio over 3:1). The resulting low altitude left him in a no-pull zone or with insufficient altitude for canopy flight, leading to a fatal emergency pull with a downwind opening and high-speed terrain impact.</t>
  </si>
  <si>
    <t>The jumper chose a flight line over plateau La Marchande that required a glide ratio exceeding 3:1 and featured a long no-pull zone, despite conditions that degraded performance: high altitude (reducing air density and wingsuit performance), morning thermals producing variable conditions, limited mountain experience, and only approximately 20 jumps on his Corvid wingsuit. This line selection left zero margin for the below-average flight performance he demonstrated, and the long NPZ meant that once performance was insufficient, there was no survivable deployment option.</t>
  </si>
  <si>
    <t>The jumper was flying a wingsuit proximity line near pinnacles at or near maximum glide speed in thermic conditions. He failed to maintain adequate speed and separation to clear the terrain feature (pinnacle), resulting in either a stall, clipping a tree, or being unable to clear the obstacle. The tourist video shows him at the second-to-last pinnacle in what appeared to be slow gliding flight before a steep dive or tumble, consistent with flying near stall speed at max glide with insufficient energy reserves to clear terrain. He impacted without deploying his parachute.</t>
  </si>
  <si>
    <t>The jumper chose to fly a proximity line over a pinnacle at near-maximum glide ratio, which the domain reference identifies as flying at or below MID speed with zero energy reserves and no margin for error. Flying at max glide near terrain features in thermic conditions (variable lift/sink and possible rotors near pinnacles) left no margin to convert speed to altitude if conditions were slightly worse than expected. Multiple peers noted his aggressive proximity flying style was 'not sustainable,' and the specific decision to attempt clearing the pinnacle at near-max-glide in variable thermic conditions was clearly inadequate for the situation.</t>
  </si>
  <si>
    <t>The jumper exited with insufficient forward separation from the waterfall. After a 100-degree off-heading opening to the left, the canopy edge contacted the waterfall despite an attempted correction. The lack of horizontal distance from the waterfall meant that even a moderate off-heading placed the canopy within reach of the water flow, which then collapsed and entrained the canopy, resulting in a fatal subterminal impact.</t>
  </si>
  <si>
    <t>The jumper executed his exit with a strong over-rotation that led to immediate head-low instability and complete loss of control. Despite having a practiced exit technique (arms swing up, down, then two-foot static launch), the execution on this jump produced an unrecoverable unstable attitude. The jumper tumbled uncontrolled down the rock face in terminal freefall without deploying his parachute, resulting in fatal impact approximately 5-6 seconds after exit.</t>
  </si>
  <si>
    <t>GoPro footage shows Fabrizio had a bad exit that caused him to go very head low. Although he immediately attempted to correct the dive, the terrain under the exit did not provide sufficient altitude for recovery. The execution error on exit — going head low in a wingsuit — was the producing mechanism for the fatal subterminal impact, as it consumed the available altitude margin before flight could be established.</t>
  </si>
  <si>
    <t>With only ~25 BASE jumps, limited to antenna and slider-down cliff experience, guided by an inexperienced mentor, Yaroslav attempted his first slider-up cliff jump at a site with only 250-270m vertical and 30-50m of talus below. This was a clearly inappropriate decision: the domain reference establishes that slider-up cliffs require sub-terminal tracking competence, extensive object avoidance practice at forgiving objects, and careful progression. The jumper himself acknowledged the approach was 'roulette,' and experienced jumpers explicitly warned him. The combination of first slider-up jump, insufficient training, sub-terminal cliff with limited separation margin, and inadequate mentorship made this decision identifiably and substantially wrong. The site's limited vertical relief and talus meant that any off-heading opening—a known and expected occurrence, especially with slider-up heading degradation at sub-terminal speeds—left virtually no margin for correction, directly producing the fatal object strike.</t>
  </si>
  <si>
    <t>The jumper 'gently threw' the pilot chute in strong crosswind conditions from a 60-meter antenna. The weak/gentle PC toss failed to deploy the PC into clean airflow with sufficient force, allowing the crosswind to carry the PC across his body, resulting in the bridle wrapping around his body or camera mount. A forceful, deliberate throw into clean air to the side is the accepted technique to prevent PC/bridle entanglement, and the jumper failed to execute this.</t>
  </si>
  <si>
    <t>The jumper exited too head-down, which is a recognized wingsuit exit technique error. This caused him to lose altitude during recovery, left him pointed toward higher terrain on the left, and forced a corrective turn to the right that consumed additional altitude. The cascading altitude loss from the poor exit ultimately left him too low to clear terrain or deploy, resulting in high-speed ground impact.</t>
  </si>
  <si>
    <t>The jumper decided to jump a 14-story building using a skydiving canopy (Sabre 2 150 sqft) in slider-up configuration. This is a fundamentally inappropriate equipment choice for a building jump: skydiving canopies are not designed for BASE applications, slider-up configuration from a building provides insufficient altitude for the slow opening sequence, and the canopy's flight characteristics (high aspect ratio, high forward speed, no deep brake setting) are unsuitable for the confined landing environment. The decision to use skydive gear for a BASE jump was the producing mechanism for the fatality, as the equipment could not function adequately for this application regardless of execution quality.</t>
  </si>
  <si>
    <t>The jumper had only 147 skydives (below the accepted 200+ minimum prerequisite) and had completed only 1 prior BASE jump. He had no BASE-specific equipment, no apparent FJC or mentorship, and attempted a building jump — a highly technical object requiring experienced jumpers with refined canopy skills and understanding of urban wind effects. This represents a clear departure from accepted progression norms and a decision that was identifiably inadequate.</t>
  </si>
  <si>
    <t>The jumper either failed to perform a final check of the static line routing (allowing the bridle to pass in front of his right arm) or incorrectly threw the pilot chute over rather than under his arm, resulting in the bridle becoming entangled around his arm. This execution error caused premature break cord rupture, body position disruption, and a compromised deployment that the jumper could not recover from at the available altitude.</t>
  </si>
  <si>
    <t>The jumpers knew there were strong southwest winds (~50km/h) at the primary exit point and relocated to a secondary exit that was in the lee of a mountain, mistaking the wind shadow for safe conditions. The decision to jump was clearly and specifically wrong: the paraglider/hang glider ramp nearby was closed due to strong winds, all experienced local jumpers they contacted had declined to jump due to unsuitable weather, and the strong winds were a known macro condition that would be encountered once leaving the wind shadow. This decision directly produced the fatal outcome when the jumper exited the lee-side shelter and encountered severe turbulence and rotor winds that dragged him into buildings and a highway.</t>
  </si>
  <si>
    <t>The jumper chose to exit from a point with considerable talus to clear into tight terrain, after observing the first jumper barely clear the same obstacle. The decision to jump from this exit point was clearly and specifically inappropriate given the observable evidence that clearance was marginal even for the preceding jumper, and the terrain offered no margin for a below-average start. This was the producing mechanism: the exit point selection committed the jumper to a flight path that required near-perfect performance with no tolerance for error, resulting in subterminal impact on the talus.</t>
  </si>
  <si>
    <t>The jumper reached reference points on level but with less speed than required. After the left corner, he deviated slightly left past an outcrop rather than flying straight to the ridge, then made a slight right turn to line up. By that point he was low and cornered with insufficient energy to clear the ridge. The flare attempt failed because the suit was underpowered at that speed. This represents a failure in execution of the chosen flight line — inadequate speed/energy management and suboptimal trajectory through the technical section — rather than a fundamentally wrong decision, given he had practiced this line on multiple prior jumps.</t>
  </si>
  <si>
    <t>After the canopy opened fully, it turned left and back toward the cliff, resulting in object strike. The jumper failed to execute a timely heading correction (via rear risers or brakes) to prevent flying back into the cliff. With only 10 BASE jumps, the jumper likely lacked the practiced muscle memory for instant off-heading corrections that could have prevented the object strike.</t>
  </si>
  <si>
    <t>The jumper had only 3 wingsuit BASE jumps and was known to have problems with his starts (wingsuit exits). He was specifically warned that this site was not appropriate for fixing or learning proper wingsuit exits, yet he chose to jump it anyway. With 3 WS BASE jumps and acknowledged start problems, the decision to jump a site that did not tolerate poor starts was a clearly inappropriate decision given the information available to him.</t>
  </si>
  <si>
    <t>The jumper most likely had a poor exit, lost altitude trying to get the wingsuit flying, and by the time he decided to deploy it was too late. The canopy was found out but had insufficient altitude to inflate, resulting in death from low pull. The execution failure in the exit and the delayed deployment decision during the emergency were the direct producing mechanisms of the fatality.</t>
  </si>
  <si>
    <t>Bryce initiated his opening sequence too late after proximity flying, leaving insufficient altitude to recover from execution problems. The narrative explicitly states he would be alive if he had disconnected from terrain and begun his pull sequence three seconds earlier. He had been warned by close friends about his 'bad habit of pulling low' and had already experienced a consequence (water landing after low pull from Altissimo), yet continued the practice. The decision to delay deployment initiation until an altitude with zero margin for error was the producing mechanism — the subsequent mispulls, which would have been survivable at adequate altitude, became fatal only because of this decision.</t>
  </si>
  <si>
    <t>Bryce failed to extract the pilot chute on his first and second attempts, and his third attempt produced only a weak pull. The deployment sequence took approximately 6 seconds across three attempts (00:48 to 00:54), with the PC finally out at 00:54 and impact at 00:55. He was not wearing gloves or extra layers, so the mispulls represent a technique/execution failure in BOC extraction during wingsuit flight rather than a gear-access issue. While the low pull altitude was the decision that made these mispulls fatal, the mispulls themselves were an independent execution failure that directly contributed to the fatal outcome.</t>
  </si>
  <si>
    <t>The jumper took a 10-second delay from a slider-up cliff but performed no tracking whatsoever, and experienced 100-110 degrees of uncontrolled side rotation during freefall. Sub-terminal tracking is mandatory for slider-up cliffs to gain separation from the object. The complete absence of tracking and freefall control resulted in opening very close to the wall with insufficient separation, directly producing the fatal object strike.</t>
  </si>
  <si>
    <t>After opening 120-140 degrees off-heading from her exit push direction and very close to the wall, the jumper took no visible corrective action on the canopy during the 1.5 seconds before impact. While time was extremely limited, the absence of any heading correction attempt (rear risers or brakes) contributed to the fatal object strike.</t>
  </si>
  <si>
    <t>The jumper performed a very head-high exit with a fully exposed leg wing, resulting in a scorpion that drifted the jumper backwards toward the wall. This execution error in exit technique directly produced insufficient object separation, causing the jumper to clip a ledge at 5 seconds. The exit technique failure was the producing mechanism for the fatal impact.</t>
  </si>
  <si>
    <t>The jumper was found with the parachute out and slider still up, indicating the pilot chute was extracted too late to allow sufficient altitude for the canopy to fully deploy. The cause of death was low pull, and the possible factors note 'Extracted Pilot Chute too late,' indicating a failure in execution timing rather than a decision to delay intentionally beyond plan.</t>
  </si>
  <si>
    <t>The jumper impacted terrain between the first and second ledge at approximately 270m below the 2170m exit point, dying from subterminal impact near the exit. Given that he was flying a one-piece tracking suit (not a wingsuit) from a site requiring a technical start, the fatal outcome was produced by a failure in execution during the exit and initial flight phase — whether through a weak/offset push, failure to achieve a flying position quickly enough, or inability to build adequate speed and separation from terrain. The jumper had previously jumped this exit successfully in the same suit, indicating the decision to jump the line was within his demonstrated capability, but execution on this occasion was fatally insufficient.</t>
  </si>
  <si>
    <t>The jumper arranged for a non-BASE-jumper to perform the PCA. The PCA assistant dropped the PC early, which at this cliff is described as 'catastrophic.' Entrusting the PCA—a life-critical deployment method where the assistant's timing and technique directly determine canopy extraction—to an unqualified person was a decision that produced the fatal malfunction.</t>
  </si>
  <si>
    <t>The jumper was advised by friends to use a 48-inch PC but chose to use a 42-inch PC instead. For a PCA deployment at a slider-down cliff with minimal altitude, the smaller PC provided less drag force, compounding the early-release error and contributing to the PC-in-tow / total malfunction.</t>
  </si>
  <si>
    <t>The jumper selected an exit point (Super Gorgeous) that by the witness's own account had 'very little to no margin for error' and transitioned 'directly to terrain flight immediately after exit,' where even the experienced witness could not 'outfly the terrain with any additional altitude beyond what was needed to fly at a minimum.' The jumper was not a terrain flyer, yet chose an object that required immediate terrain flying from the start arc. This was a decision that was clearly and specifically inappropriate given the jumper's skill set — the object demanded a specialized capability (terrain flying) that the jumper did not possess, and the zero-margin nature of the jump meant any shortfall in start arc performance would be fatal.</t>
  </si>
  <si>
    <t>The witness observed that the jumper's forward speed was 'not quite as high as I would expect during the first four to five seconds,' he was slightly right shoulder low from the start, and was crabbing right to left rather than achieving clean forward flight. This suboptimal exit and flight execution — insufficient speed and imperfect body configuration during the critical start arc — meant the jumper failed to generate the glide performance needed to clear the terrain, resulting in impact approximately six seconds after exit.</t>
  </si>
  <si>
    <t>The jumper performed a gainer exit from a slider-up cliff and experienced a 180-degree off-heading opening to the left, resulting in immediate object strike against a slightly positive wall. The exit was described as looking 'solid and symmetrical,' suggesting the intended technique was correct but the execution of the deployment sequence (body position at deployment, PC deployment, or heading management during opening) was insufficient, producing the fatal 180-degree off-heading with inadequate separation from the wall.</t>
  </si>
  <si>
    <t>Thomas performed a one-step exit that was slightly unstable, brought his arms back too soon with legs slightly bent, causing an over-rotation/scorpion. His correction into a flat tracking position rather than maintaining a steeper angle resulted in clipping the ledge with his lower legs by approximately 20cm, sending him into violent unstable rotation from which he did not recover or deploy his parachute before impacting the wall.</t>
  </si>
  <si>
    <t>After clipping the ledge and being sent into violent rotation, approximately 6 seconds passed before wall impact with nothing deployed. The narrative notes a panic pull might have saved his life, indicating that despite available time, Thomas failed to initiate deployment, likely due to disorientation or shock from the impact with the ledge.</t>
  </si>
  <si>
    <t>The jumper lost speed and glide during wingsuit flight along the Cachaca line, resulting in terrain impact in terminal freefall. The narrative explicitly states loss of speed-glide as the factor, indicating a failure in wingsuit piloting execution — maintaining adequate airspeed and angle of attack — rather than a decision error in selecting the line. The cause of death was impact in terminal freefall, meaning the jumper never deployed a parachute, consistent with flight into a no-pull zone after losing performance.</t>
  </si>
  <si>
    <t>The jumper chose a proximity flying line that was deeper and lower than usual past terrain features, leaving no viable escape route. When he realized he was too low to clear the second ridge, his only option was a turn toward lower terrain, but this turn was itself a margin-consuming maneuver in close proximity. The narrative explicitly states he 'rarely jumped the same exit or flew the same line several times' and his lines were 'committed,' indicating a pattern of choosing novel, high-commitment flight paths. The specific line selection—flying deeper than usual, flattening out lower than usual past obstacles, with a ridge oriented 90° ahead—was a decision that eliminated outs and produced the fatal outcome independent of execution quality.</t>
  </si>
  <si>
    <t>The jumper held the pilot chute for approximately 6 seconds on a slider-down deployment from a 1300ft cliff, despite the pre-jump plan calling for a ~1.5 second delay. A 6-second delay slider-down results in deployment at near-terminal airspeed with a slider-down configuration, which is explicitly contraindicated (the PC/delay chart shows slider-down is dangerous above 4 seconds). This produced the hard opening that likely rendered him unconscious or dazed, leaving him unable to correct a slow off-heading turn into the wall.</t>
  </si>
  <si>
    <t>The jumper exited with the bridle routed between/around his leg, causing a bridle entanglement that prevented the static line deployment from achieving line stretch. The witness describes nearly making the same mistake himself - routing the bridle between the legs when stepping over the railing - indicating this was an execution error during exit preparation rather than a deliberate decision. The entanglement resulted in PC in tow / no line stretch and closed-container impact.</t>
  </si>
  <si>
    <t>The jumper impacted a tree while flying in proximity along the ridge to the left of the exit point, prior to making a planned left turn toward the tree gates. Despite being described as a technically proficient flyer with nearly perfect starts, the jumper failed to maintain adequate separation from terrain/obstacles during the proximity portion of the flight. The cause of death was impact in terminal freefall, indicating no deployment was initiated, consistent with an unexpected collision with a tree during active wingsuit flight.</t>
  </si>
  <si>
    <t>The jumper exited with 'not the greatest push, maybe a bit to the side' and pulled immediately after exit from a slider-down cliff. The inadequate forward separation and possibly asymmetric exit produced insufficient object clearance, and the canopy opened with a 180° off-heading resulting in object strike. The jumper intended to exit and deploy successfully but failed in execution quality — the exit push and body position were insufficient to generate the separation needed to survive an off-heading opening.</t>
  </si>
  <si>
    <t>Dylan chose a flight line far to the right over terrain that, according to the witness, would require thermals to be viable but was being flown in early morning calm conditions when no thermals were present. This line selection was the producing mechanism: without adequate thermal lift to support the chosen trajectory, the jumper lost glide performance over terrain and impacted in terminal freefall. The witness explicitly stated this line would be possible later with thermals but would be difficult in the early morning without them.</t>
  </si>
  <si>
    <t>The jumper chose a proximity flight line that was 'too close to the limit' despite not having developed adequate wingsuit/tracking suit flying skills. A close friend confirmed the jumper experienced significant rolling and pitching instability in the suit, that he 'wasn't very good at flying,' and that he had been warned on multiple occasions that he was pushing beyond his skill level. The decision to fly a proximity line requiring clean, precise flight with a suit he could not reliably control was a clearly inappropriate course of action that produced the fatal terrain impact.</t>
  </si>
  <si>
    <t>The jumper exited High Ultimate very head-low and transitioned onto his back, completing the first half of a front flip. This unstable exit resulted in an uncontrolled trajectory that caused him to impact a lower ledge subterminal. The jumper had experienced a very head-low exit from the same object the day prior, indicating a recurring execution problem with his exit technique at this specific site.</t>
  </si>
  <si>
    <t>The jumper chose a flight line that took him right into terrain below tree level with no escape route, rather than turning left to the known exit from the terrain. The narrative describes him turning right 'into what looked like flat terrain' after the houses, becoming boxed in below tree level with no way to turn left to fly out. Despite intimate knowledge of the terrain from 15-16 prior flights, the chosen line committed him to a path where even a maximum flare was insufficient to clear the trees, resulting in impact in terminal freefall. The decision to fly that specific line segment—rather than taking the known exit to the left—was the producing mechanism for the fatal outcome.</t>
  </si>
  <si>
    <t>The jumper performed a 'tweener' (aerial maneuver) from a slider-down cliff jump and experienced a 140-degree off-heading opening with line twists. The aerial likely contributed to an unstable body position at deployment, producing the off-heading and line twist that sent him into the wall. The execution of the aerial and/or deployment was insufficient, as evidenced by the severe off-heading and line twist, resulting in object strike before any correction could be made.</t>
  </si>
  <si>
    <t>The jumper flew a technical wingsuit line with multiple sharp turns extremely close to the ground over a glacier, in conditions where katabatic airflow was producing sinking air. The companion explicitly states the main reason for the accident was 'flying so close to the ground' and that they flew closer than on previous occasions. The combination of consecutive tight turns (which bleed speed and available lift) at minimal terrain clearance in sinking katabatic conditions left no margin for recovery, resulting in terrain impact at terminal velocity.</t>
  </si>
  <si>
    <t>The jumper flew a wingsuit proximity line too close to terrain, leaving insufficient margin to clear a hill. The companion's reconstruction indicates he realized too late he could not pass the terrain feature, attempted an escape left into a bowl, and impacted. Multiple experienced peers had repeatedly warned him about flying close to terrain despite his low experience level (80 BASE jumps, 3 seasons), indicating a pattern of accepting clearly inappropriate risk in proximity flying.</t>
  </si>
  <si>
    <t>The jumper impacted in terminal freefall very close to the exit point, indicating failure to achieve a flyable wingsuit configuration after launch. The narrative reports two plausible mechanisms: slipping at the exit or jumping too head-low. The jumper was known to have head-low exits ('He use to have head low exits'), and either a slip or an excessively head-low launch represents a technique/execution error that prevented the wingsuit from generating adequate lift to fly away from terrain. The cause of death—terminal freefall impact close to the exit—confirms the exit execution failure directly produced the fatal outcome.</t>
  </si>
  <si>
    <t>The jumper chose to perform a gainer (backflip exit) from a slider-up cliff object despite only ever jumping his wingsuit at this type of object, having no established competence in aerials from slick cliff jumps. The domain reference explicitly states aerials exponentially increase danger, require careful planning, instruction, supervision, and a forgiving object, and that extensive training is mandatory. The gainer caused over-rotation and instability that directly led to poor body position, inadequate object separation, and a 180-degree off-heading opening facing the wall, producing the fatal sequence of object strikes.</t>
  </si>
  <si>
    <t>On arrival, the jumper and partner chose a new exit point 20 meters higher than the planned one, offset to the right of the flight axis and the deepest part of the couloir. The new exit was in a shaded couloir where landscape details—including a ledge on the flight trajectory—were imperceptible from the exit point. The decision to use this inadequately assessed exit point produced a flight plan that 'did not correspond to reality,' placing the jumper on a collision course with hidden terrain.</t>
  </si>
  <si>
    <t>Upon recognizing the hidden ledge, the jumper initiated a left input to avoid it. At sub-terminal speed the input had little immediate effect, so he reinforced it. When airspeed increased seconds later, the cumulative input became excessive, causing an uncontrollable deviation to the left and impact with rock. This was an execution error—the correct action was identified but the magnitude of control input was poorly calibrated to the changing airspeed, directly producing the fatal impact.</t>
  </si>
  <si>
    <t>The jumper exited from an uncomfortable position with his upper body sideways to the left of the jump direction, resulting in a rotation to the right. His foot caught on the rail, causing a head-low over-rotation. This poor exit execution directly produced the unstable body position that led to the 130-degree off-heading opening and subsequent fatal object strike.</t>
  </si>
  <si>
    <t>After the 130-degree off-heading opening, the jumper failed to execute a heading correction before striking the wall. The narrative suggests the hand-mounted camera may have cost reaction time, but regardless of cause, the failure to correct heading was the final execution failure in the chain that produced the fatal object strike.</t>
  </si>
  <si>
    <t>The jumper attempted a gainer but over-rotated, then added a second rotation. During this unstable, extended aerobatic sequence the pilot chute deployed or was deployed into the jumper's body, wrapping around his leg in a bow-style entanglement and then further wrapping the bridle around his body. The over-rotation and resulting head-down/unstable body position during PC deployment directly caused the PC/bridle entanglement that produced a total malfunction and fatal impact.</t>
  </si>
  <si>
    <t>After a pin popped during gear preparation, the jumper re-closed the container but mis-routed the bridle between the two pins, creating a pin lock condition. This rigging error produced a total malfunction (pilot chute in tow) that could not be cleared in flight, directly causing impact.</t>
  </si>
  <si>
    <t>After the canopy opened with a 90-degree off-heading to the right, the jumper released only his left toggle and not the right one. This asymmetric input caused the canopy to turn an additional 90 degrees to the right (now 180 degrees off-heading), directly producing the fatal object strike. The violent body rotation from the opening likely contributed to the execution failure, but the result was an incorrect corrective input that drove the canopy into the cliff.</t>
  </si>
  <si>
    <t>The jumper was not at the established exit point but approximately 20 meters to the right, on unstable terrain, apparently scouting a new exit. Witnesses and physical evidence indicate he did not intentionally jump but fell while checking this location. The fall from unstable terrain while reconnoitering was the initiating event that produced the fatal outcome, as it left him with insufficient altitude and separation to survive — he impacted a large ledge 30 meters below with the parachute not yet fully deployed.</t>
  </si>
  <si>
    <t>The jumper impacted in terminal freefall with the pilot chute still in the BOC and the rig fully packed on his back. He failed to extract and deploy the pilot chute, which was the direct mechanism of the fatal outcome. The narrative states 'possible factors: unable to locate pilot chute,' indicating an execution failure during the deployment attempt rather than a decision not to deploy.</t>
  </si>
  <si>
    <t>The jumper was observed flying very slowly during a wingsuit proximity flight around a rock spire. Flying at insufficient airspeed depleted his available lift and glide performance, preventing him from clearing the terrain. The narrative explicitly states he appeared to be flying very slowly and notes the known lesson that 'we need to fly with speed,' indicating the fatal outcome resulted from inadequate speed management during execution rather than from the decision to fly the line itself, as he had the option to abort by flying right at any time but did not.</t>
  </si>
  <si>
    <t>Despite approximately 10 seconds of flight time and sufficient time for an emergency pull, the jumper failed to deploy his parachute and impacted terrain subterminal with nothing out. The narrative explicitly states there was sufficient time for an emergency pull. Regardless of the flight difficulties, the omission of deployment was the direct mechanism of death.</t>
  </si>
  <si>
    <t>After exit, the jumper made oscillating left-right corrections that were excessive, flying very flat with the suit most likely stalling and producing almost no forward movement. These repeated overcorrections and flat/stalled flight attitude resulted in loss of speed and glide, placing him fatally close to terrain. This represents a technique execution failure in wingsuit flight control.</t>
  </si>
  <si>
    <t>The jumper habitually flew close to terrain and relied on flare performance to achieve adequate pull altitude. On this flight, after losing speed from a corkscrew maneuver, he continued flying low above trees and terrain, initiating his flare at approximately 80m or lower above landing with insufficient speed to gain meaningful altitude. This left him in a no-pull zone where even a single complication during deployment would be fatal, and the decision to fly at that altitude with that energy state was the producing mechanism for the fatal outcome.</t>
  </si>
  <si>
    <t>At the critically low altitude available, the jumper failed to extract and deploy the pilot chute on his first two attempts. The first attempt used only one hand (asymmetric reach) and missed the handle. The second attempt grabbed arm wing fabric instead of the handle due to his tilted body position and depressurizing suit. A clean extraction on the first attempt may have been survivable, but the execution failures consumed the remaining altitude margin.</t>
  </si>
  <si>
    <t>The jumper exited and immediately entered an unstable, uncontrolled, spinning freefall. Witnesses observed the wingsuit spinning from shortly after exit through approximately three-quarters of the cliff height. This unstable exit resulted in clipping a ledge and subterminal impact near the exit point, indicating a fundamental execution failure in the wingsuit exit and subsequent inability to establish controlled flight.</t>
  </si>
  <si>
    <t>The jumper initiated an aggressive right turn during proximity wingsuit flight and failed to maintain awareness of the nearby terrain (pillar) during the turn. Witnesses and video analysis indicate he looked far ahead along the flight line rather than monitoring the close obstacle, and showed no sign of corrective action (flare or course change) before impact. The execution error was in failing to monitor proximity to terrain during an aggressive maneuver, resulting in more altitude loss than anticipated and impact with the pillar.</t>
  </si>
  <si>
    <t>The jumper lost all forward speed and began falling vertically after making a turn at the end of the gully, indicating a loss of controlled flight (likely a stall or suit performance collapse). He then appeared to struggle with recovery, making swim strokes before deploying his pilot chute too late, resulting in object strike during line stretch. The jumper had the correct plan and appropriate experience but failed in execution: he either allowed his airspeed to decay to the point of stall during the turn, failed to maintain proper body configuration, or both, and then did not deploy early enough to survive.</t>
  </si>
  <si>
    <t>The jumper was flying a wingsuit proximity line near terrain in conditions that produced worse-than-expected performance (headwind, thermals, shade-induced sink). Despite sinking noticeably from the 4th second onward and flying too low from the first part of the flight, the jumper continued the proximity line rather than deploying or separating from terrain while altitude remained available. By the time he reached the flatter second section, he was too low to clear the terrain and his emergency pull came too late. The decision to continue flying a proximity line without adequate margin — when the flight was clearly underperforming from early on — was the producing mechanism for the fatal terrain impact.</t>
  </si>
  <si>
    <t>The jumper attempted two backflips off the ramp but failed to pull through the rotations in time, striking a ledge below the exit point. The aerials were intentionally chosen, but the execution failed — he did not complete the rotations, did not achieve adequate separation from the object, and did not deploy his parachute before impacting the ledge. The cause of death was impact in terminal freefall, indicating a failure in execution of the aerial maneuver rather than a flawed decision per se, as the fatal mechanism was the inability to recover from the rotations and deploy.</t>
  </si>
  <si>
    <t>The jumper deployed the pilot chute and experienced contact with the wall around opening, followed by an off-heading opening. He failed to adequately correct the off-heading, resulting in multiple impacts with the wall. The first jumper experienced a similar wall scrape but flew away successfully, indicating the situation was survivable with proper execution of heading correction.</t>
  </si>
  <si>
    <t>Jay misjudged the position of a large boulder to the right of his line while making a left turn into the intended flight path shortly after exit. This misjudgment resulted in terrain impact at terminal velocity without pilot chute deployment, indicating he did not recognize the proximity of the terrain in time to take any corrective action. The error was in spatial judgment during execution of the flight, not in the decision to fly the line itself.</t>
  </si>
  <si>
    <t>The jumper failed to deploy his parachute at a survivable altitude. The witness observed the jumper tracking past and below after the witness's canopy was already open, indicating the jumper continued tracking well beyond the appropriate pull altitude. When he finally reached for his pilot chute, he held his hand on it for approximately one second before pulling, and the canopy had no time to inflate before he impacted trees at full speed. This represents a failure to monitor altitude and initiate deployment in time — an attention/execution error during a task he had performed many times before.</t>
  </si>
  <si>
    <t>The jumper chose to fly a high line over a prominent ridge that more experienced jumpers had specifically warned against, rather than the traditional terrain line. The previous day's flight over this ridge benefited from favorable wind conditions (5-10 mph quartering headwind and significant lift on the face), but on the accident day conditions were notably worse — no wind at the exit, hot temperatures with thermals producing, and the jumper who went first reported being noticeably lower than the day before. Despite having been warned about this specific line and despite degraded conditions, the jumper committed to the same ridge-crossing line, resulting in insufficient altitude to clear the terrain and impact in terminal freefall.</t>
  </si>
  <si>
    <t>After experiencing a deeper start arc than his partner, Dawid used his speed to regain altitude and catch up, which depleted his forward speed. When he then aborted the planned line and veered right around the ridgeline, he lacked sufficient airspeed to maintain flight. The narrative and video evidence indicate he was losing forward speed and altitude rapidly, consistent with approaching or entering a stall, ultimately impacting terrain in terminal freefall without deploying a parachute.</t>
  </si>
  <si>
    <t>Despite rapidly losing altitude and airspeed in a deteriorating flight situation, Dawid did not successfully deploy his parachute before ground impact. The cause of death was impact in terminal freefall with no canopy deployed. Whether he attempted an emergency pull too late or failed to initiate one, the result was a failure to achieve deployment when the situation demanded it.</t>
  </si>
  <si>
    <t>The jumper executed a weak push with bent knees and immediately went very head-low, nearly entering a front flip. This unstable exit from a technical cliff in a wingsuit failed to establish the flight attitude needed to generate lift and separation from the object. The resulting lack of separation led to subterminal impact near the exit point.</t>
  </si>
  <si>
    <t>The second jumper performed a gainer and during the deployment sequence had his bridle and PC entangle around his body. This execution failure during an aerial maneuver extended his deployment time and caused him to fall into Jorge's open canopy below, collapsing it and causing Jorge's fatal impact.</t>
  </si>
  <si>
    <t>Nathan misrouted the bridle for the static line/TARD deployment, routing it through the leg lateral on his rig. This rigging error directly caused the fatal malfunction. He had performed 10-15 static lines previously and understood the correct procedure, but failed in execution — the narrative attributes the error to a habitual practice of gearing up with the bridle outside the BOC, which on this occasion led to misrouting.</t>
  </si>
  <si>
    <t>The jumper was unable to locate and extract the pilot chute from the BOC during wingsuit flight. Evidence indicates the PC was likely still in the BOC at impact, the canopy was found close to the container unpacked, and a witness observed the wingsuit spinning without a canopy deploying. The failed pull attempt likely led to instability and uncontrolled spinning, resulting in ground impact at full speed.</t>
  </si>
  <si>
    <t>The jumper experienced a 180-degree off-heading opening (possibly with line twists) facing the cliff wall. Rear camera footage shows very little input was made to avoid the cliff, suggesting she froze or failed to react quickly enough to correct heading and fly away from the object. The failure to execute a timely heading correction resulted in object strike under canopy.</t>
  </si>
  <si>
    <t>Kenn flew his wingsuit for approximately 7.5 seconds without any attempt to deploy his pilot chute, impacting talus in terminal freefall with nothing out. The video shows no pitching attempt whatsoever despite approaching terrain. The narrator suggests he may have become object-fixated and froze, representing a failure in the fundamental execution task of deploying the parachute at an appropriate altitude.</t>
  </si>
  <si>
    <t>The jumper's exit was 'quite steep with asymmetric and kicking legs.' When he attempted to correct and turn right, he panicked, bent his legs, and dug in his arms, causing the wingsuit to stall almost immediately. This execution failure — an unstable exit followed by incorrect recovery inputs that deepened the stall rather than restoring flight — directly produced the fatal impact. The narrative explicitly notes his exits throughout the course 'had not been great but manageable' in more forgiving terrain, indicating a persistent execution deficiency rather than a decision problem.</t>
  </si>
  <si>
    <t>The jumper chose to jump an unfamiliar site with only ~170m of vertical relief, steep terrain below, and a mandatory 30-degree turn after inflation — a site the instructors agreed was 'only acceptable for a few students with consistent exits.' The narrative establishes that the jumper's exits throughout the course had not been consistent, and the instructors had been working to improve his start stability with only 'moderate improvement.' Choosing to jump this site despite known inconsistent exits and the site's narrow margin for error was a decision clearly inappropriate given the information available to him. He bypassed the planned sequence (another instructor was gearing up to go first) and insisted he was ready.</t>
  </si>
  <si>
    <t>The jumper exited in strong winds and cloud cover conditions that his companions judged too dangerous to jump. The official police report states he jumped 'ignoring dangerous weather conditions.' This was a wingsuit BASE jump from a cliff where wind conditions directly determine survivability, and the decision to jump when all other jumpers declined due to weather was a clearly inappropriate risk acceptance that produced the fatal outcome (terminal freefall impact).</t>
  </si>
  <si>
    <t>Francesco had an unstable exit and tumbled for approximately 6 seconds before performing an emergency pull. The unstable exit resulted in inadequate forward separation from the cliff and poor body position, directly leading to the conditions that produced the fatal object strike. With 425 BASE jumps and 1 season of experience from a slider-up cliff object, the exit execution failed to achieve the stable body position and tracking needed for object separation.</t>
  </si>
  <si>
    <t>The jumper attempted to track between the shark fins but was too low and too far from the fins, passing well beyond the no-return point before recognizing the problem. This represents a decision to fly a proximity line that exceeded available margin — the jumper committed to a trajectory requiring performance (altitude and glide) that was not achievable, placing himself in a no-pull zone from which the attempted bailout (hard right turn) resulted in rapid altitude loss and fatal object strike on emergency pull.</t>
  </si>
  <si>
    <t>The jumper was flying a wingsuit proximity line and lost adequate speed and/or glide performance during flight, resulting in inability to clear terrain. The most likely reconstruction indicates he flew at best glide (too slowly) to reach the intended waterfall line, lost energy, and found himself too low to either continue the line, execute an adequate escape, or deploy his parachute. He impacted terrain in full flight. The fatal mechanism was inadequate execution of the wingsuit flight — either flying too slowly (a recognized performance error that bleeds energy and reduces available lift), misjudging the flight path relative to terrain, or failing to execute a timely escape maneuver when the line became untenable.</t>
  </si>
  <si>
    <t>The jumper had no identified connection to skydiving or BASE jumping, no USPA membership, and no apparent training or experience. He purchased a BASE rig and attempted to use it without the foundational skills (skydiving proficiency, FJC, mentorship) required to survive a BASE jump. The cause of death was malfunction/misrigging, which is the direct and predictable consequence of attempting to rig and jump BASE equipment without any training. This decision to jump without any prerequisite knowledge or skill was the producing mechanism for the fatality.</t>
  </si>
  <si>
    <t>The jumper executed a head-high exit that pendulumed head-down, resulting in a 'bad start' — a known recurring problem for this jumper. Combined with his documented chronic issue of flying too slowly, this poor execution led to insufficient speed and available lift to clear terrain on the flight line, resulting in what witnesses described as a stall at the point of impact. The jumper impacted in terminal freefall with no canopy deployment.</t>
  </si>
  <si>
    <t>The jumper chose to lead a group on a demanding proximity line through a V-shaped gulley that required strong speed and glide performance to survive. His close friend confirmed he had chronic problems with speed and head-low exits, and even 2 of 5 subsequent jumpers in higher-performance suits (Corvid 2s) found the line offered little healthy margin with good exits. Choosing to fly this line first — in a suit he was using to compensate for rather than fix his speed deficiency, on terrain where a bad start made survival 'nearly impossible' — was a decision clearly inappropriate for his known skill limitations.</t>
  </si>
  <si>
    <t>The jumper chose to fly a technical proximity line requiring passage through a gate formed by a rock tower and entry into a steep trench, on his first wingsuit flight from this exit point. His prior two jumps from this spot were with a less performant suit (Onesie) on a different, less technical line (left line, outside the tower). The decision to fly this technical line—which required precise altitude management and a properly timed right turn at the gate entrance—on a first wingsuit jump from this exit constituted a clearly inappropriate selection of course of action, as the line's demands exceeded what could be reliably managed without prior wingsuit experience on that specific trajectory.</t>
  </si>
  <si>
    <t>The narrative indicates the jumper set his left turn too late, arriving too low at the gate entrance to execute the necessary right turn to enter the trench safely. This late timing of the turn was a technique/execution error that directly produced the fatal loss of altitude and separation, resulting in impact with rocks just after the gate.</t>
  </si>
  <si>
    <t>The jumper was performing a wingsuit proximity flight along the north face of Aiguille du Plat de la Selle and was found at the bottom of the face, with the supposition that he did not clear a ledge. The possible factors listed are 'Loss of speed-glide' and 'Proximity flying,' indicating that during execution of the flight he failed to maintain sufficient speed and glide ratio to clear terrain along his chosen line. This is a performance failure in managing airspeed and angle of attack during wingsuit terrain flight, not a decision error in selecting the line itself, given his extensive experience (1500 BASE jumps, 15 seasons, having opened 15 new jumps that summer in the same mountain range).</t>
  </si>
  <si>
    <t>After a clean exit, the jumper progressively flattened out and lost forward speed, flying near the stall point of his wingsuit. This slow flight degraded glide performance and available lift, consistent with the well-documented failure pattern of flying too slowly in wingsuit BASE. The loss of speed and glide resulted in insufficient altitude to clear terrain between landing zones.</t>
  </si>
  <si>
    <t>The jumper failed to recognize that he lacked the altitude and glide to reach the second landing zone and did not deploy his parachute at a survivable altitude. Ground images confirmed he pulled only seconds before impact after crossing the hill before the forest, constituting an emergency low pull with insufficient altitude for the canopy to inflate and arrest descent. The narrative indicates he was likely fixated on reaching the distant landing area rather than monitoring his safety altitude.</t>
  </si>
  <si>
    <t>After toggle release and canopy surge, the jumper initiated a strong left-hand toggle turn that developed into an aggressive 270-degree rotation. The final 90 degrees occurred at very fast speed, resulting in a high-speed impact with the ground. The jumper appeared focused on returning to the landing area and continued the turn despite its increasing aggressiveness, failing to recognize or respond to the rapidly deteriorating altitude and speed situation. This is an execution/attention error — the intended goal (returning to the landing area) was reasonable, but the physical execution of continuing an aggressive low-altitude turn through 270 degrees constituted a failure to manage airspeed and altitude that directly produced the fatal impact.</t>
  </si>
  <si>
    <t>The jumper chose to fly a flat, highly committed proximity line requiring precise terrain knowledge at a site he had visited only once before, without having studied videos, Google Earth, or other planning tools. He flew left across ridgelines at near-stall speed with minimal speed reserve, then committed to a right turn into terrain he could not see, relying on hoped-for terrain steepness rather than verified information. This decision to fly a committed proximity line without adequate site knowledge or speed margin was the producing mechanism for the fatal terrain impact.</t>
  </si>
  <si>
    <t>Philippe had a clean exit and clean flight but failed to extract and deploy his pilot chute, resulting in full-speed impact with the ground. The narrative states he 'didn't pull his pilot chute' and that 'in the precipitation Philippe most likely didn't find his pilote chute, panicked, never found it.' This is an execution failure — the jumper intended to deploy but was unable to locate the BOC handle, constituting a mis-pull that directly produced the fatal outcome.</t>
  </si>
  <si>
    <t>Jonathan, with only 1 BASE season and 160 BASE jumps, attempted a demanding wingsuit terrain flight at a new-to-him exit that required crossing a ridge with narrow margins and rapid decision-making. The narrative explicitly states he 'would have benefited from more experience before attempting this flight to inform the intuition needed for making such a quick judgement call off exit.' The exit required specific conditions and decisive commitment to either cross the ridge or deploy over rough terrain — judgment that depends on site-specific experience he did not have. This was his first attempt at this particular flight path, at a site with a known prior close-call incident, and the decision to commit to the ridge crossing rather than deploying over rough terrain produced the fatal outcome.</t>
  </si>
  <si>
    <t>Witnesses observed that the jumper's distance from the wall after opening indicated he did not track very far, despite wearing a Sumo 3 tracking suit designed for separation. The insufficient object separation meant the 120-150° off-heading combined with line twists left inadequate distance to correct heading before cliff strike.</t>
  </si>
  <si>
    <t>The jumper performed a gainer exit with his wingsuit and, while the rotation appeared approximately correct, he failed to recover stable flight after the rotation. He experienced uncontrolled left and right turns, was unable to regain control of the wingsuit, and impacted the cliff in terminal freefall. The intended maneuver was a gainer he had performed on previous days; the failure was in execution — specifically the inability to transition from the aerial rotation into controlled wingsuit flight.</t>
  </si>
  <si>
    <t>The jumper was performing a wingsuit proximity flight and failed to deploy her parachute in time, resulting in impact in terminal freefall. The narrative states she clipped a tree during her line, which sent her into a downward spiral into the trees. The listed possible factors include 'Altitude awareness' and 'Extracted Pilot Chute too late,' and the cause of death was impact in terminal freefall, indicating she failed to execute a timely deployment despite using a PCA setup. The execution of the proximity flight line brought her into contact with a tree, representing a technique/execution error in flying the chosen line.</t>
  </si>
  <si>
    <t>The jumper chose to continue flying the more complex right-turn line over the shoulder despite having a poor start with progressive speed loss from the beginning, rather than aborting to the simpler straight-down-the-channel line. The FlySight data shows constant and progressive speed loss from the first moment, yet the jumper continued the planned complex line requiring adequate speed and glide to clear the shoulder and separation wall. This decision to maintain the complex line when conditions clearly called for the simpler abort line was the producing mechanism: it placed the jumper over the shoulder at very low altitude and low speed with no escape options, leading to suit stall, emergency deployment with insufficient altitude, and fatal ground impact.</t>
  </si>
  <si>
    <t>The jumper chose to perform a sled exit using a wooden sled with metal rails from a snow-covered exit where the sled tracks deviated approximately 2 meters off-line and struck a protruding rock at the cliff edge. The jumper had prior experience at this exit where he came close to the first ledge 30 meters below, and he expressed fear of that ledge before this jump, yet proceeded with the sled exit despite known marginal conditions (sticky snow, less snow coverage than previous visits, and a launch method with limited directional control). The decision to use this launch method under these specific conditions produced the fatal outcome: the sled veered into the rock, stopping the jumper's momentum and causing him to fall onto the ledge below, rendering him unconscious and unable to deploy his parachute.</t>
  </si>
  <si>
    <t>After an immediate 180° off-heading opening, no appreciable corrective inputs were observed before the jumper struck the cliff within approximately 2 seconds. The failure to execute heading correction (via rear risers or brakes) was the direct mechanism that allowed the object strike and subsequent fatal outcome.</t>
  </si>
  <si>
    <t>Fabrice exited from a 60m vertical pillar followed by a steep snow talus — a cliff profile that post-accident measurements confirmed was non-jumpable for wingsuit flight. He selected this exit point without adequately assessing whether the terrain profile provided sufficient vertical relief and clearance for wingsuit flight, resulting in impact with the snow talus 4.5 seconds after exit. The decision to jump from this specific exit was the producing mechanism: no execution quality could have overcome a fundamentally inadequate cliff profile.</t>
  </si>
  <si>
    <t>The jumper was unable to locate and extract the pilot chute from the BOC of his new LD5 container, which had a different BOC placement than his previous Zack rig. The witness observed him reaching backwards unsuccessfully, after which he destabilized (dipped right shoulder, pitched head down), and by the time the canopy began to emerge he was too low for it to deploy. The failed execution of the pull — a technique/execution error rather than a decision to pull late — was the direct mechanism producing the fatal low deployment.</t>
  </si>
  <si>
    <t>After clearing line twists, the jumper had 8-9 seconds of flight under an open canopy heading toward the cliff wall but made no input to turn away. Despite having cleared the malfunction and having time and control authority available, he failed to execute any heading correction, resulting in object strike. The narrative explicitly states he 'hit the cliff without any input to turn the canopy away from direction to the cliff.'</t>
  </si>
  <si>
    <t>The jumper intended to perform 3 gainers followed by a track for separation, a maneuver he had successfully completed previously on this trip. On this jump he over-rotated the last gainer, ending up in a standing position still rotating, which left him facing the cliff and required additional time to reorient before he could initiate a track. This execution error directly consumed the time and altitude needed for adequate object separation, resulting in deployment with insufficient horizontal distance from the cliff and fatal object strike during canopy inflation.</t>
  </si>
  <si>
    <t>The jumper chose to jump a 195ft antenna that the report describes as 'not beginner friendly by any means and may not be jumpable at all,' surrounded by trees, fences, power lines, with protruding antennas making it extremely snaggy, no platform, and requiring climbing outside the structure. This object selection was clearly and specifically inappropriate regardless of execution quality.</t>
  </si>
  <si>
    <t>The jumper was found at the base of the antenna with only partial canopy out, and 'Extracted Pilot Chute too late' is listed as a possible factor. On a 195ft antenna with slider-down configuration and BOC deployment, the jumper failed to deploy the pilot chute with sufficient time for the canopy to fully inflate before ground impact, indicating a critical execution failure in deployment timing.</t>
  </si>
  <si>
    <t>The jumper was flying a wingsuit proximity line near terrain and appears to have lost adequate speed and glide performance while attempting to reconnect with terrain after corkscrewing over a ridge into a shaded, sinky area. He impacted terrain with pins unpopped and pilot chute still in BOC, indicating he never attempted or had time to deploy. The execution of the proximity flight failed to maintain sufficient energy (available lift) to clear or reconnect with the terrain, resulting in controlled flight into terrain.</t>
  </si>
  <si>
    <t>The jumper exited head-low and transitioned into a vertical/scorpion position despite intending a normal flat wingsuit exit. She did not recover from the resulting instability and appeared to go into a front flip, ultimately requiring an emergency pull at insufficient altitude/separation from the wall. The execution of the exit was the producing mechanism: inadequate body position led to loss of control, insufficient forward separation, and object strike during or immediately after emergency deployment.</t>
  </si>
  <si>
    <t>The jumper initiated his deployment sequence at the top of his flare but was unable to locate and extract the pilot chute. He continued attempting to find the PC, transitioning into a fetal position and rolling onto his back before impact. The narrative explicitly states 'mis-pull' as cause of death and notes he was 'still attempting to find his PC,' indicating a failure in the physical execution of the BOC reach rather than a decision error. He had experienced a previous mis-pull the day before, suggesting a recurring execution problem with his deployment technique during the new flare method.</t>
  </si>
  <si>
    <t>The jumper extracted the pilot chute too late, resulting in subterminal impact near the exit with the canopy still in the container. The possible factors explicitly cite 'Extracted Pilot Chute too late' and 'Altitude awareness,' indicating a failure in execution timing rather than a deliberate decision not to deploy. The cause of death was impact with canopy in container, confirming no deployment was achieved.</t>
  </si>
  <si>
    <t>Logan chose an exit platform on the right side pushing straight out, rather than the left-side platform pushing into the headwind that the first jumper had used successfully. This positioned him over more demanding terrain with a crosswind/quartering tailwind, making him significantly more vulnerable to being rolled by the known strong left-to-right crosswind. The narrator explicitly notes this choice made him 'more vulnerable to the crosswind/quartering tail and over a more demanding terrain profile.'</t>
  </si>
  <si>
    <t>The jumper agreed to bail on the upper canyon early if conditions were not favorable, and was specifically advised to avoid the canyon entirely. Despite this agreement, he continued flying into the canyon line rather than bailing early. He stalled before reaching the first notch and impacted terrain while attempting a late bail to the left, indicating he committed to the canyon line beyond the point where a safe exit was possible.</t>
  </si>
  <si>
    <t>The jumper impacted a glacier during a wingsuit BASE flight. A following jumper observed that Michael 'didn't have enough speed,' and possible factors list altitude awareness and late pilot chute extraction. However, the narrative provides insufficient detail to determine whether the fatal outcome resulted from a decision error (e.g., choosing an inappropriate line or flying conditions) or a performance/skill-based error (e.g., poor flight technique leading to insufficient speed, or failure to deploy in time). The mechanism connecting insufficient speed to the glacier impact — whether it was a flight execution problem, a misjudged line, or a late deployment decision — cannot be reliably distinguished from available evidence.</t>
  </si>
  <si>
    <t>The jumper had a great exit and body position but appears to have lost control of the wingsuit during flight, likely stalling the suit subterminal — possibly by attempting to turn right too early or flying at too high an angle of attack. With only 1 prior wingsuit BASE jump, the jumper lacked the execution skills to manage the wingsuit flight, resulting in insufficient separation from the object and terminal freefall impact into a ledge approximately 600-700 meters below the exit. The canopy was found deployed, suggesting an emergency pull attempt that came too late or was ineffective due to proximity to terrain.</t>
  </si>
  <si>
    <t>A bystander witnessed Busto exit unstable and fail to gain controlled flight. He did not deploy a parachute and impacted the cliff multiple times. The narrative indicates he intended a poised exit but failed to execute it with adequate technique, resulting in an unrecoverable body position from a technical exit point with insufficient margin for error.</t>
  </si>
  <si>
    <t>The jumper impacted terrain mid-flight with the canopy still in the container, indicating a failure during the wingsuit flying phase. The narrative lists possible factors of altitude awareness, loss of speed-glide, and proximity flying, but provides no specific detail about what the jumper did wrong — whether this was a decision error (e.g., choosing an inappropriate line or flying too close to terrain) or a performance error (e.g., failing to maintain adequate speed or misjudging terrain clearance). Insufficient information exists to discriminate between decision and execution failure.</t>
  </si>
  <si>
    <t>The jumper was unable to locate or extract the pilot chute from the BOC pocket, resulting in no parachute deployment and closed-container impact into trees. The possible factors listed include 'Unable to locate pilot chute' and 'Focusing on filming,' suggesting an execution failure during the deployment attempt rather than a decision not to deploy. The jumper intended to pull but failed to complete the action.</t>
  </si>
  <si>
    <t>Sergey chose to jump solo at night (well after sunset) from High Ultimate, a slider-up cliff requiring forward separation, while plausibly performing aerials. This combination of factors—nighttime conditions degrading orientation and depth perception, aerials that consume altitude and compromise body position/tracking, and his documented below-average tracking skills—constituted a decision that was clearly and specifically inappropriate. The decision to jump in these combined conditions was the producing mechanism: inadequate separation from the wall led to object strike under canopy.</t>
  </si>
  <si>
    <t>The jumper failed to achieve adequate forward separation from the cliff face, as evidenced by his body being found on the valley floor close to the wall with toggles still stowed (never achieving stable canopy flight). His documented below-average tracking skills—tracking at a very shallow, almost positive angle of attack with poor performance—directly contributed to insufficient object clearance. Whether aerials were involved or not, the execution failed to produce the separation needed to survive the opening.</t>
  </si>
  <si>
    <t>Eric was unable to grasp and extract his pilot chute despite multiple attempts over approximately 6 seconds. The handle was clearly exposed and accessible, but he could only get a finger on it, indicating a failure in the physical execution of the deployment reach. He maintained a de-arched, head-down position throughout his attempts rather than adjusting his body configuration to facilitate the reach, and ultimately failed to deploy his parachute before impact.</t>
  </si>
  <si>
    <t>The jumper performed a gainer that rotated very slowly, resulting in an unstable or incomplete rotation. This poor execution led to inadequate separation from the object and a body position that contributed to the 180-degree off-heading opening, which produced the fatal object strike under canopy at high speed.</t>
  </si>
  <si>
    <t>Despite a reportedly correct push-off, the jumper immediately adopted a forward-arched torso that progressed into a scorpion position (feet passing above head), representing a catastrophic loss of body control during the wingsuit exit. This prevented establishment of controlled wingsuit flight and resulted in impact with the cliff face approximately 2-5 seconds after exit, before any deployment could arrest the trajectory.</t>
  </si>
  <si>
    <t>The jumper slipped during his exit push, causing him to pitch heavily head-down and remain extremely close to the ledge below. This unstable exit resulted in insufficient separation from the object and no parachute deployment before impact with terrain.</t>
  </si>
  <si>
    <t>The jumper chose to perform an inverted static line jump (falling backwards off the bridge), a complex and unpacked/unconventional deployment method that was new to him. The domain reference establishes that unpacked jumps and aerials require careful planning, instruction, supervision, and a forgiving object, and that deploying from non-standard body positions (head-up, head-down, back-to-earth) risks bridle entanglement. The narrative and updated investigation confirm he lacked sufficient knowledge of complex static line jumping ('I don't know what I don't know'), and the result was a total malfunction with nothing out and bridle/pilot chute wrapped around his leg near the legstrap — a direct consequence of the decision to attempt this deployment method without adequate knowledge. The decision to attempt this specific jump type was the producing mechanism for the fatal outcome.</t>
  </si>
  <si>
    <t>The jumper chose to fly an aggressive proximity line on his very first jump from this exit, turning left toward flatter terrain with a tree-covered hill rather than flying the safer straight-out line toward steeper terrain as briefed by his partner. The narrative explicitly states he was 'going aggressive since the first second' and chose to aim through a 'tree gate' on a line he had only seen on YouTube the day before, despite repeated advice to keep it high and safe. This decision to fly a low-margin proximity line through trees on an unfamiliar exit was the producing mechanism for the fatal tree strike and subsequent loss of control.</t>
  </si>
  <si>
    <t>The jumper had almost no wingsuit skydiving experience yet was flying proximity wingsuit BASE, having essentially started wingsuit jumping directly at Brento. The domain reference requires at least 100 wingsuit skydives before first wingsuit BASE jump. His partner and multiple community members repeatedly warned him about his approach. This fundamental progression deficiency meant he lacked the skills to recognize and manage the hazards of the aggressive line he chose, directly contributing to his inability to identify the leafless tree in his flight path.</t>
  </si>
  <si>
    <t>The jumper slipped either while pushing off or while moving toward the edge of the exit point on a snow-covered cliff in winter conditions without crampons. The narrative states he was found at the base of the cliff 'as if he had never even taken flight,' and the reporter's most probable hypothesis is a slip ('zipette'). The execution of the exit — maintaining footing on a snowy/wet rock surface — failed, resulting in an uncontrolled fall rather than a wingsuit launch.</t>
  </si>
  <si>
    <t>precondition_index</t>
  </si>
  <si>
    <t>L2_category</t>
  </si>
  <si>
    <t>L2_subcategory</t>
  </si>
  <si>
    <t>L2_label</t>
  </si>
  <si>
    <t>L2_description</t>
  </si>
  <si>
    <t>linked_L1</t>
  </si>
  <si>
    <t>202P1</t>
  </si>
  <si>
    <t>No pin check was performed prior to exit that would have detected the pull-up cord left in the closing loop. The narrative explicitly states this event 'made everyone realize even the experts required a pin check prior to launch,' indicating the absence of a gear check that accepted practice requires and that would have caught the rigging error.</t>
  </si>
  <si>
    <t>The gusty mid-day conditions with crosswinds at the exit directly degraded opening heading performance. Wind at opening altitude is explicitly identified as a factor affecting openings, and the crosswinds mechanically contributed to the 180° off-heading that resulted in object strike.</t>
  </si>
  <si>
    <t>Inadequate equipment configuration</t>
  </si>
  <si>
    <t>Pauli did not have his own parachute gear and borrowed a slow-opening Unit system. This system required significantly more altitude to fully deploy than a standard BASE configuration, meaning the inadequate static line knot left zero margin for recovery from the 170m antenna.</t>
  </si>
  <si>
    <t>Carl's canopy was unmodified — lacking a deep brake setting and modern tail pouch — despite a known severe surge characteristic. JD Walker offered to perform these modifications before the trip, but Carl refused. This inadequate equipment configuration directly enabled the excessive forward speed on opening that produced the fatal wall strike after the 180° off-heading.</t>
  </si>
  <si>
    <t>202P2</t>
  </si>
  <si>
    <t>Multiple people had jumped the Goliath canopy and observed its severe surge on opening. JD Walker specifically offered to install a deep brake setting before the Norway trip. Carl's sustained refusal to address this known, recurring equipment deficiency over time constitutes a failure to correct a known problem that directly contributed to the fatal outcome.</t>
  </si>
  <si>
    <t>Insufficient BASE Experience</t>
  </si>
  <si>
    <t>This was the jumper's first BASE jump, attempted from Trollveggen — a terminal cliff requiring sub-terminal tracking and object avoidance skills. Accepted progression norms call for beginning BASE at simple objects (spans) and building exit and deployment skills before progressing to cliffs. A first-ever BASE jump from a terminal cliff represents a clear insufficiency in BASE experience for the task attempted, directly contributing to the unstable exit and deployment.</t>
  </si>
  <si>
    <t>The jumper had only five or six previous BASE jumps, which is very early in BASE progression. At this stage (1986, before dedicated BASE equipment was widely established), the jumper lacked sufficient experience to recognize that skydiving equipment was inadequate for a 500-foot slider-down antenna jump. This inexperience directly contributed to the decision to use skydiving gear with an undersized pilot chute for a low-airspeed BASE application.</t>
  </si>
  <si>
    <t>Mike had only 4 BASE jumps and this was his first solo pack job. Static line rigging is a critical skill requiring proficiency; with minimal BASE experience and no prior solo packing experience, he lacked the practiced competence to execute the rigging correctly.</t>
  </si>
  <si>
    <t>An experienced BASE jumper checked Mike's pack job but failed to detect the static line rigging error that caused the line to part before canopy extraction. This gear check failure allowed the misrigging to go undetected.</t>
  </si>
  <si>
    <t>The jumper had only one previous BASE jump, which itself was unstable. With this minimal experience, he lacked the knowledge and judgment to recognize that skydiving equipment is inappropriate for slider-down cliff jumping and to properly configure gear for a 6-second delay from a cliff. This inexperience directly contributed to the inappropriate equipment selection.</t>
  </si>
  <si>
    <t>With only one prior BASE jump — which was itself an unstable head-down launch — the jumper had not developed the exit skills necessary for stable cliff exits. This lack of experience and training directly contributed to the unstable exit producing the off-heading opening.</t>
  </si>
  <si>
    <t>The jumper's previous BASE jump one week earlier resulted in an unstable head-down launch from the same site. Despite this direct experience of exit instability, he returned to the same site without evidence of having corrected the problem, and the same failure mode (unstable exit) contributed to the fatal outcome.</t>
  </si>
  <si>
    <t>When Bridge Day Jumpmasters advised Steve that his skydiving PC/bridle setup was not appropriate, he responded 'It's always worked before,' indicating he was aware others considered it deficient but chose not to correct it based on past success. This reflects a sustained pattern of using inadequate equipment despite feedback, which directly enabled the L1 decision error.</t>
  </si>
  <si>
    <t>Insufficient Knowledge</t>
  </si>
  <si>
    <t>The narrative explicitly states David misunderstood a highly experienced jumper's written advice about hand-held PC technique, exposing mesh in addition to the PC top. This knowledge gap — confusing the correct amount of PC to expose — directly produced the improper hold that caused premature partial inflation. The misunderstanding of correspondence indicates he lacked the hands-on training or mentorship that would have corrected this specific technique error.</t>
  </si>
  <si>
    <t>The narrative speculates that Robert tightened his belly band after the final gear check performed by the first jumper. This post-check modification increased pin tension on the curved-pin closure system, directly contributing to the pin lock that caused the pilot chute in tow. The gear check that had been performed could not catch a problem introduced after it was completed.</t>
  </si>
  <si>
    <t>Darren had been advised multiple times to correct his head-down exits, and his previous three jumps all exhibited the same head-down exit problem. Despite this recurring issue and explicit feedback, he failed to take corrective action before attempting a more demanding object.</t>
  </si>
  <si>
    <t>The narrative states the hotel was 'for the more experienced,' and Darren had only a few prior BASE jumps with a persistent unresolved exit technique problem. He went without his mentor and had not yet demonstrated basic exit proficiency, indicating insufficient experience for this building jump.</t>
  </si>
  <si>
    <t>Darren used a modified skydiving canopy (Pursuit 230) in a borrowed skydiving rig rather than purpose-built BASE equipment. A skydiving rig and modified canopy may have contributed to the severity of the surge and opening characteristics following the off-heading deployment.</t>
  </si>
  <si>
    <t>Jonathan used a brand-new container system with a BOC pouch that was reportedly too large for his 38" pilot chute, and he had never used this BOC style before. The pouch-to-PC size mismatch created the condition for the PC to inadvertently extract during freefall. Additionally, he pulled fabric out of the pouch during pin checks to have 'plenty to grab,' further compromising the stowage security. This inadequate equipment configuration directly enabled the premature deployment.</t>
  </si>
  <si>
    <t>The PD 230 was a brand-new, unmodified skydiving canopy jumped without the standard BASE modifications discussed (deep brake setting, tail pouch with locking stow, relocated steering lines). Without a deep brake setting, the canopy surged violently upon premature opening, directly contributing to the collision and fatal outcome. While the premature deployment was the primary failure, the unmodified canopy's violent surge behavior amplified the consequences.</t>
  </si>
  <si>
    <t>Pressure/Haste/Misplaced Motivation</t>
  </si>
  <si>
    <t>The narrative explicitly states Joe was so nervous about the jump that friends later remarked about it. This level of nervousness, notable enough for others to comment on, suggests the jumper may have been exceeding their readiness for this specific jump, and proceeding despite this state likely degraded exit and response performance.</t>
  </si>
  <si>
    <t>Startle Response/Freeze</t>
  </si>
  <si>
    <t>The narrative states Joe 'failed to adequately respond' to the off-heading opening, suggesting a possible freeze or inadequate reaction under the stress of an unexpected 180° off-heading facing the wall. His notably high pre-jump nervousness may have compounded this inability to execute a timely correction.</t>
  </si>
  <si>
    <t>Insufficient Skydiving Experience</t>
  </si>
  <si>
    <t>The narrative states this fatality 'began the process of insisting people who begin BASE jumping have at least 150 previous parachute jumps,' and references 'people without much experience being handed BASE jumps beyond their abilities.' This directly indicates the jumper lacked sufficient skydiving experience to manage the freefall body position and altitude awareness demands of a terminal slider-up cliff jump from El Capitan.</t>
  </si>
  <si>
    <t>The narrative explicitly identifies the issue of 'people without much experience being handed BASE jumps beyond their abilities.' El Capitan is a terminal slider-up cliff requiring competent sub-terminal/terminal tracking, altitude awareness, and body position management. The jumper's inability to maintain proper body position and altitude awareness during a 15-second delay indicates experience insufficient for this object.</t>
  </si>
  <si>
    <t>The narrative explicitly states the jumper 'lost altitude awareness' while holding a head-high attitude. This failure to maintain situational awareness of proximity to the wall during freefall directly enabled the skill-based error of backing into the cliff.</t>
  </si>
  <si>
    <t>The jumper held only an expired USPA A license, the lowest skydiving certification, indicating minimal skydiving experience far below the accepted 200+ skydive minimum for beginning BASE. This insufficient foundation meant the jumper lacked the knowledge to understand why skydiving equipment is inappropriate for BASE jumping and why BASE-specific training is required.</t>
  </si>
  <si>
    <t>Lack of BASE Specific Training</t>
  </si>
  <si>
    <t>The narrative states there is nothing to suggest any previous BASE experience or training. The jumper attempted a BASE jump without a First Jump Course, mentor guidance, or any BASE-specific education, which would have taught that skydiving gear cannot be used for BASE and that BASE requires specialized equipment, packing, and deployment configurations.</t>
  </si>
  <si>
    <t>The jumper was an experienced skydiver who came along as ground crew and only decided to make a BASE jump later in the week. There is no indication of prior BASE experience, a first jump course, or mentorship. This lack of BASE-specific training and experience directly contributed to the inappropriate equipment and technique selection—an unmodified square canopy with no DBS on a sheer cliff requiring freefall delay and a round canopy.</t>
  </si>
  <si>
    <t>The jumper used an unmodified square canopy with no deep brake setting or other modifications appropriate for a slider-down cliff jump. Proper pre-jump preparation requires configuring the canopy with DBS to minimize forward speed on opening near a sheer wall. This configuration failure directly enabled the object strike.</t>
  </si>
  <si>
    <t>Don had only 30 skydives, far below the accepted minimum of 200-250 before beginning BASE. This grossly insufficient skydiving experience means he lacked the foundational canopy piloting skills needed to manage a tight landing area, directly contributing to the panic hook turn into the canyon wall.</t>
  </si>
  <si>
    <t>Overconfidence</t>
  </si>
  <si>
    <t>The narrative explicitly states Don was 'an idiot when it came to assessing risks,' supported by a pattern of behavior including forging a logbook for an untrained friend, taking that friend on a two-way skydive that 'almost killed them both,' and subsequently taking the same friend off a tower. This pattern of grossly overestimating his own capability and disregarding risk directly contributed to attempting a jump at a site with a tight landing area that exceeded his canopy piloting ability.</t>
  </si>
  <si>
    <t>Sébastien was tracking on his back to film the second jumper and focused on closing the gap between them for video purposes. This channelized attention on the filming task diverted his awareness from monitoring object separation and terrain proximity, directly contributing to insufficient separation from the wall and late recognition of the need to deploy.</t>
  </si>
  <si>
    <t>The jumper spent 12 seconds attempting to recover stability before deploying, indicating channelized attention on regaining a stable body position to the exclusion of altitude awareness. This fixation on stability recovery directly delayed the deployment that produced the fatal low pull.</t>
  </si>
  <si>
    <t>The narrative reports the jumper was offered instruction prior to the jump and refused it. The failure to deploy despite prolonged instability — prioritizing stability over pulling — reflects a knowledge gap regarding the fundamental BASE principle that deployment must occur regardless of body position when altitude is critical. Accepted BASE training explicitly teaches that deploying unstable is preferable to impact.</t>
  </si>
  <si>
    <t>The jumper had been repeatedly advised by other jumpers to apply deeper brake settings to his non-BASE specific canopy to avoid its excessive surge and drive. This represents a sustained pattern of failing to correct a known equipment configuration problem despite repeated feedback from peers.</t>
  </si>
  <si>
    <t>The jumper had been repeatedly told by other jumpers to be more responsive during the canopy opening sequence. This indicates a recurring performance issue that the jumper was aware of through direct feedback but failed to correct over time, directly contributing to the failure to execute evasive maneuvers.</t>
  </si>
  <si>
    <t>The narrative explicitly states the jumper had no prior BASE training or experience. Accepted BASE education covers the critical differences between skydiving and BASE equipment, including the unsuitability of collapsible pilot chutes at sub-terminal airspeeds. This knowledge gap directly enabled the decision to use an unmodified skydiving rig.</t>
  </si>
  <si>
    <t>Substance Effects</t>
  </si>
  <si>
    <t>The narrative states alcohol may have been a contributing factor. While qualified as possible, this is explicitly noted in the report as a potential contributor to the jumper's impaired judgment in deciding to use skydiving gear for a BASE jump.</t>
  </si>
  <si>
    <t>Low level clouds/fog bank eliminated visual references during canopy flight near the cliff face. This directly impaired the jumper's ability to perceive terrain proximity and maintain object separation, resulting in object strike under canopy.</t>
  </si>
  <si>
    <t>Channelized Attention/Fixation</t>
  </si>
  <si>
    <t>The jumper instinctively reached for the BOC position she was accustomed to, indicating her habitual motor pattern dominated her attention. This channelized focus on the familiar BOC location prevented her from redirecting to the actual leg-mounted pouch location before running out of altitude.</t>
  </si>
  <si>
    <t>Inadequate equipment familiarization</t>
  </si>
  <si>
    <t>The jumper switched to a system with an older-style leg-mounted pilot chute pouch that she was not accustomed to jumping, having habitually used a BOC pouch system. Adequate pre-jump preparation for an unfamiliar deployment system would include practice touches and deliberate rehearsal of the different pull location to override habitual motor patterns.</t>
  </si>
  <si>
    <t>The updated narrative indicates Roger was packed slider-up after jumping the higher Perrine Bridge all weekend, and it is unknown whether staying slider-up for the significantly lower Hansen Bridge (350 ft) was intentional. Slider-up configuration on a 350 ft bridge would produce a slower, higher opening consuming more altitude, directly reducing canopy flight time and glide available to reach the landing zone — contributing to his inability to make the planned LZ and landing in moving water instead.</t>
  </si>
  <si>
    <t>The narrative states that Trevor 'was caught in a time warp as far as BASE equipment is concerned,' indicating he lacked current knowledge of proper BASE equipment requirements. His use of a skydiving container with a grossly undersized PC, short bridle, deployment bag, and sail slider reflects a fundamental knowledge gap about BASE-specific equipment configuration that accepted BASE education would have corrected.</t>
  </si>
  <si>
    <t>Andrea was filming two other jumpers during freefall, which diverted his attention from monitoring altitude. The narrative explicitly identifies 'focusing on filming' as a possible factor and notes this is the second BASE fatality involving flying back-to-earth with a camera, indicating the filming task channelized his attention away from altitude awareness.</t>
  </si>
  <si>
    <t>Spatial Disorientation</t>
  </si>
  <si>
    <t>Andrea was flying in a back-to-earth position to film the other jumpers. This orientation deprived him of visual ground references needed to assess altitude, contributing to vestibular and visual spatial disorientation that directly enabled the over-delay.</t>
  </si>
  <si>
    <t>Terry had only 8 BASE jumps total and was attempting a terminal slider-up cliff jump requiring sub-terminal tracking and reliable deployment technique. Accepted progression norms require extensive experience at simpler objects before progressing to slider-up cliffs, and video evidence confirms his tracking and directional control skills were inadequate for this object. His experience level was clearly insufficient for the task attempted.</t>
  </si>
  <si>
    <t>The narrative explicitly states the jumper was offered instruction prior to the jump and refused it. This indicates the jumper lacked the training and mentorship that accepted practice requires, which directly contributed to the inability to recover from an unstable exit or deploy the parachute during freefall.</t>
  </si>
  <si>
    <t>The jumper refused offered instruction before attempting a terminal slider-up cliff jump. Refusing instruction for a task that clearly exceeded the jumper's demonstrated capability (as evidenced by the inability to recover from instability or deploy) indicates the jumper unreasonably overestimated their own ability to manage the jump without guidance.</t>
  </si>
  <si>
    <t>The jumper had no previous BASE jumps, no training, and no experienced jumper present. Without any skydiving or BASE training, he lacked the fundamental skills for exit technique, body position control, and object separation, directly contributing to the unstable exit and cliff strike.</t>
  </si>
  <si>
    <t>The jumper had zero BASE jumps, no first jump course, no mentor, and no experienced companion. This complete absence of training and education meant he lacked the knowledge framework to recognize that attempting a BASE jump without foundational skills was a fatal-level decision error.</t>
  </si>
  <si>
    <t>After converting from slider-down to slider-up configuration at the last minute, the jumper did not perform a gear check that would have caught the misrouted steering lines. A systematic inspection of the rigging after the conversion — tracing brake lines through slider grommets as accepted practice requires — would have detected the omission before the jump.</t>
  </si>
  <si>
    <t>Fatigue</t>
  </si>
  <si>
    <t>Witnesses attested that Thierry was 'really very tired' after completing ten jumps in the valley over the two days prior to his fatal jump. This fatigue likely degraded his judgment when deciding to perform an aerobatic back-to-earth exit from a cliff with limited vertical relief.</t>
  </si>
  <si>
    <t>Thierry had only ~100 skydives, which is below the accepted minimum of 200-250 before beginning BASE jumping. With 240 BASE jumps but a limited skydiving foundation, his core freefall body control skills — particularly recovery from non-standard orientations — may have been insufficient, directly contributing to his slow recovery from the back-to-earth exit position.</t>
  </si>
  <si>
    <t>The jumper had only 3 total BASE jumps and was attempting a slider-up cliff jump. Accepted progression norms establish that slider-up cliffs require sub-terminal tracking skill, refined exit technique, and object avoidance skills developed over many jumps at simpler objects. With only 2-3 BASE jumps, she lacked the experience necessary to execute a stable exit with adequate separation from a cliff object.</t>
  </si>
  <si>
    <t>It had been raining and the wooden launch ramp was wet. The wet surface directly caused the jumper to slip during his exit run, producing the unstable freefall and back-to-earth deployment that led to the fatal object strike.</t>
  </si>
  <si>
    <t>This was the jumper's first cliff jump after only 15 tower jumps (16 total BASE jumps) with no reported prior cliff experience. Accepted progression norms require developing object avoidance skills at spans before progressing to cliffs, and sub-terminal tracking is mandatory for slider-up cliffs. The jumper's limited experience base left him without the skills needed to recover from the unstable exit on a 700-foot cliff with a mid-face outcropping.</t>
  </si>
  <si>
    <t>The jumper had only 1 BASE jump (this fatal jump was their first), no reported skydiving experience, and no evidence of a first jump course or mentorship. This lack of BASE-specific training and knowledge directly contributed to the inappropriate gear selection, as accepted BASE education would have corrected the decision to use a modified skydiving rig with a canopy known to be unsuitable for BASE.</t>
  </si>
  <si>
    <t>The jumper had only 2 prior BASE jumps and approximately 200 skydives. With minimal BASE experience, the jumper lacked the practiced exit skills needed for a slider-down cliff jump, where a stable exit is critical and there is virtually no margin for recovery from an unstable body position. This level of experience is clearly insufficient for the task attempted, directly contributing to the failed exit execution.</t>
  </si>
  <si>
    <t>Lee was filming the other jumpers while on his back, channelizing his attention on the camera task to the exclusion of altitude/time awareness. The narrative explicitly identifies 'focusing on filming' as a possible factor, and describes him continuing to film on his back for 3 full seconds beyond the 8-second deployment point before transitioning to face-to-earth.</t>
  </si>
  <si>
    <t>A layer of fog approximately 300 feet off the ground eliminated visual altitude references. The fog degraded Lee's ability to perceive his proximity to the ground, directly impairing the altitude awareness needed to execute a timely deployment. The second jumper believed Lee was expecting to come out of the fog before deploying, suggesting the fog actively removed the visual cues he relied upon.</t>
  </si>
  <si>
    <t>The jumper had only 12 BASE jumps and was attempting a stowed deployment for the very first time. Stowed deployment requires practiced technique to cleanly extract and throw the PC from the BOC into clean air, a skill distinct from hand-held deployment. With no prior stowed BASE deployments, the jumper lacked the trained proficiency needed to execute this critical task reliably, directly contributing to the failed PC deployment.</t>
  </si>
  <si>
    <t>The jumper used a 38-inch PC with a 6'9" bridle on a stowed 1.5-second slider-down deployment from a span. Per accepted practice, a 46-inch PC is standard for 0-1 second slider-down delays, and 42-46 inches for ~2-second delays. A 38-inch PC is undersized for this low-airspeed application, producing less drag force and requiring more time to inflate and extract the canopy. Combined with a shorter-than-standard bridle (6'9" vs. standard 9'), the PC had less distance to clear the burble. This configuration was inadequate for the planned jump and directly contributed to the PC-in-tow malfunction.</t>
  </si>
  <si>
    <t>Lori had only five previous Perrine bridge jumps before attempting her first cliff jump. Slider-up cliff jumping requires sub-terminal tracking skills and the ability to recover from unstable exits near terrain — capabilities that develop over substantially more BASE experience than five bridge jumps. This insufficient cliff-specific experience directly contributed to her inability to recover stability and achieve separation after losing control on exit.</t>
  </si>
  <si>
    <t>The narrative explicitly states that most of Nik's previous BASE jumps had been low objects and that he was actively working on his tracking skills. This indicates his tracking proficiency was still developing and insufficient for the demands of a 9-10 second terminal cliff delay requiring effective sub-terminal/terminal tracking for object separation. This training gap directly contributed to both the insufficient separation and the unstable exit/premature deployment on a long-delay cliff jump.</t>
  </si>
  <si>
    <t>Wolfgang was focused on filming his partner's opening, which diverted his attention from tracking performance and altitude awareness. The partner's account confirms that the filming task degraded his tracking ('doing camera = bad (not perfect) tracking') and that attempting to film a 5-second delay opening at Staubbach was not feasible, indicating his attention was channelized on the camera task at the expense of monitoring his own deployment altitude.</t>
  </si>
  <si>
    <t>Inadequate jump plan</t>
  </si>
  <si>
    <t>The jump partner explicitly states the cause was 'stupid plan / not thinking' and that filming a 5-second delay including opening at Staubbach was not possible. The plan required the cameraman to track while filming, then deploy with adequate altitude, but the task was incompatible with the available altitude. Both jumpers had enough experience to recognize this beforehand but failed to identify the plan as unworkable during pre-jump planning.</t>
  </si>
  <si>
    <t>Wolfgang was jumping a borrowed TV station camera system (bicycle helmet with front-mounted camera and cable to belly recorder) instead of his own superior helmet setup. The partner noted the system looked 'a little bit dangerous' and was not very stable on the head. This unfamiliar, suboptimal equipment configuration may have further degraded his ability to manage the filming task efficiently while maintaining altitude awareness and tracking performance.</t>
  </si>
  <si>
    <t>With only 16 BASE jumps, the jumper attempted a slider-up cliff requiring sub-terminal tracking and a stable exit from a sketchy launch point. This is well below the experience level accepted practice requires for terminal/sub-terminal slider-up cliff objects, where exit technique, sub-terminal tracking, and recovery from poor exits are critical skills developed over many more jumps. This inexperience directly contributed to the inability to execute a stable exit and recover control.</t>
  </si>
  <si>
    <t>Kirill had only 2 wingsuit BASE jumps and 20 wingsuit skydives. Accepted progression norms require at least 100 wingsuit skydives and 100 BASE jumps before attempting wingsuit BASE. With such minimal wingsuit BASE experience, the altitude awareness and deployment timing skills required for wingsuit terrain flight were underdeveloped, directly contributing to the fatally late deployment.</t>
  </si>
  <si>
    <t>Rob was repeatedly told by his jumping partner and other experienced wingsuit pilots that the jump was not achievable, yet he remained convinced he could make it, including adding a reverse gainer. His belief that he could 'out fly the ledge right up until he died' despite unanimous expert assessment to the contrary demonstrates an unreasonable overestimation of his own capability relative to the specific task, directly driving the decision to attempt the jump.</t>
  </si>
  <si>
    <t>The narrative states Bill was speculated to have been distracted while putting his rig together, interrupting the bridle attachment procedure. This distraction caused him to leave the lark's head knot incomplete without restarting the procedure upon return, directly enabling the incomplete bridle attachment.</t>
  </si>
  <si>
    <t>A pre-jump gear check tracing the deployment chain from pilot chute through bridle to canopy would have revealed that the bridle was not secured to the canopy with a completed lark's head knot. The bar tack catching in the ring gave the appearance of a correct attachment, but a hands-on inspection of the connection point would have detected the incomplete attachment.</t>
  </si>
  <si>
    <t>Medium to strong winds with crosswinds at exit actively degraded the jumper's ability to achieve adequate object separation during the 5-6 second delay. Locals specifically cited the high winds as a contributing factor, indicating the wind conditions mechanically reduced the effectiveness of whatever tracking and separation the jumper achieved, compounding the insufficient delay.</t>
  </si>
  <si>
    <t>Highway patrol was actively attempting to arrest the jumpers, creating acute pressure to jump immediately rather than abort. This law enforcement pressure drove the decision to jump with a compromised PC rather than accept being caught, which would have been the safe alternative.</t>
  </si>
  <si>
    <t>The jumper was running toward the exit point to escape highway patrol, and this haste directly caused him to drop the hand-held pilot chute. The rushing was driven by the pressure of imminent arrest rather than normal jump preparation.</t>
  </si>
  <si>
    <t>The jump occurred at night, which would have degraded the jumper's ability to securely handle the pilot chute while running to the exit point and to visually assess the entanglement after dropping and picking up the PC.</t>
  </si>
  <si>
    <t>With only 30 BASE jumps and this being only his 2nd jump from the Nose (a slider-up cliff), the jumper had very limited experience for terminal cliff jumping. The narrative explicitly states this was his first off-heading opening, meaning he had never practiced the critical skill of instant heading correction in a real BASE scenario. Accepted progression norms emphasize extensive practice of off-heading corrections at simple spans before progressing to cliffs, precisely because the muscle memory must be automatic when facing the wall. His experience level was clearly insufficient for the task of recovering from an off-heading at a cliff with limited separation.</t>
  </si>
  <si>
    <t>Fellow jumpers reported that the jumper was very nervous at exit points on numerous occasions and may have been jumping above his limits. Persistent nervousness recognized by peers suggests the jumper was repeatedly operating beyond his comfort and capability level. This pattern of proceeding despite signals of unreadiness placed him in situations where he lacked the composure and practiced capability to handle emergencies such as the 180-degree off-heading that killed him.</t>
  </si>
  <si>
    <t>The narrative states speculation that the lack of normal groundrush — unlike what the jumper was accustomed to without a wingsuit — may have fooled him into misjudging his altitude. Wingsuit flight produces a fundamentally different visual speed picture (higher horizontal speed, lower vertical speed) than non-wingsuit freefall, creating a visual illusion that degraded his ability to perceive true altitude and proximity to the ground. This perceptual failure directly explains why he held his hand on the PC handle without extracting it.</t>
  </si>
  <si>
    <t>This was the jumper's first wingsuit BASE jump and his first jump ever with a leg-mounted pilot chute pouch. He had only 50 wingsuit skydives (below the accepted minimum of ~100) and 2 balloon wingsuit jumps. The combination of a novel deployment system, unfamiliar altitude perception in wingsuit flight near terrain, and insufficient wingsuit experience directly contributed to his failure to execute a timely deployment despite having located the handle.</t>
  </si>
  <si>
    <t>Degraded visual conditions</t>
  </si>
  <si>
    <t>Low-level clouds and foggy conditions degraded the jumper's ability to visually assess altitude and proximity to the ground. The narrative explicitly notes this is 'the third BASE fatality that is fog related,' indicating fog directly impaired altitude perception, contributing to the late pilot chute extraction.</t>
  </si>
  <si>
    <t>The narrative reports medium to strong winds with crosswinds at the exit. The press translation states a squall of local wind caused loss of canopy control. This wind condition actively degraded the jumper's ability to maintain heading and fly away from the wall after the already-late, off-heading opening that resulted from the unstable exit.</t>
  </si>
  <si>
    <t>The jumper had only 11 wingsuit BASE jumps, far below the accepted minimum of 100 BASE jumps before first wingsuit BASE. This insufficient experience base directly contributed to the decision to fly an unfamiliar, higher-performance wingsuit in adverse wind conditions — a decision a more experienced wingsuit BASE jumper would likely not have made.</t>
  </si>
  <si>
    <t>Medium-to-strong crosswinds reportedly contributed to the jumper's stability problems during flight. This wind-induced instability directly degraded his ability to maintain a stable body position and locate/extract the pilot chute from the leg pouch, contributing to the failure to deploy.</t>
  </si>
  <si>
    <t>The narrative reports the jumper had stability problems, likely from the combination of an unfamiliar suit and crosswinds. An unstable or tumbling body position in a wingsuit would degrade spatial orientation and the ability to execute the practiced BOC reach motion, directly contributing to the failure to locate and extract the pilot chute.</t>
  </si>
  <si>
    <t>The jumper's exceptionally effective tracking suit performance along the talus created an unusual visual environment where normal ground rush cues were absent. The narrative explicitly states he 'probably didn't experience normal ground rush as his track was really going at that point' and 'didn't notice just exactly how low he was.' This visual illusion caused him to misjudge his altitude, leaving him with thinner margins when the instability and delayed deployment occurred.</t>
  </si>
  <si>
    <t>The jumper failed to perform a final gear check that would have detected the pull-up cord still attached to the pilot chute. A pre-jump equipment inspection is accepted practice and would have caught this rigging error before exit.</t>
  </si>
  <si>
    <t>The jumper had only one previous BASE jump (two total including the fatal jump). Slider-up cliff jumping requires sub-terminal tracking ability, refined exit technique, and practiced object avoidance skills that are developed over many jumps at progressively more demanding objects. With only one prior BASE jump, the jumper lacked the experience to execute a stable exit and deployment from a slider-up cliff object, directly contributing to the over-rotation and unstable body position at deployment.</t>
  </si>
  <si>
    <t>After turning to face away from the tower, Mario did not notice the bridle wrapped around his lower body prior to launching. Accepted practice for static line jumps requires tracing the bridle by hand from shrivel flap to anchor before jumping, and having a knowledgeable person verify the jumper is clear of rigging. Mario was alone on the tower and failed to perform this check, which would have detected the entanglement caused by the wrong-direction turn.</t>
  </si>
  <si>
    <t>The over-rotation sent the jumper fully head-down, and he spent almost the entire freefall trying to correct. The disorienting head-down attitude from the failed aerial likely degraded his ability to perceive altitude and orientation, contributing to the inability to recover and the extremely late deployment attempt.</t>
  </si>
  <si>
    <t>The companion jumper's account reveals that gainers had become a 'crutch move' used to manage exit anxiety, and that both jumpers had developed a pattern of defaulting to aerials rather than maintaining flat-exit proficiency. This normalized reliance on aerials without addressing the underlying skill deficiency contributed to attempting the front loop from this object.</t>
  </si>
  <si>
    <t>Lack of Currency</t>
  </si>
  <si>
    <t>Brian had not maintained his BASE jumping or skydiving in the decades since his 1966 El Capitan jump. Despite receiving refresher training prior to Bridge Day 2006, the narrative explicitly states he had not kept up either discipline. This extended absence from active jumping left him without the practiced motor skills and muscle memory needed for a clean PC deployment under real conditions.</t>
  </si>
  <si>
    <t>Task Saturation</t>
  </si>
  <si>
    <t>Video shows Brian performed an unintentional backflip after exit, requiring him to recover stability before deploying. Managing recovery from an unexpected unstable exit on a slider-up span jump likely consumed cognitive and physical capacity, contributing to the poor PC deployment technique (deploying into his chest rather than into clean air to the side).</t>
  </si>
  <si>
    <t>Edgar was focused on filming the other jumper during freefall, which diverted his attention from altitude awareness, body position management, and timely deployment. The narrative explicitly lists 'Focusing on filming' as a possible factor, and the domain reference identifies back-to-earth exits as producing loss of altitude awareness — a problem compounded by the cognitive demands of operating a camera during the critical freefall phase.</t>
  </si>
  <si>
    <t>Exiting on his back and attempting to transition to face-to-earth while very unstable would have degraded Edgar's ability to perceive his orientation, altitude, and proximity to the wall. The domain reference identifies loss of altitude awareness as a known serious failure mode of back-to-earth exits, and the witness described the transition as very unstable, consistent with vestibular disorientation contributing to the late deployment.</t>
  </si>
  <si>
    <t>The witness noted Edgar was not wearing a jumpsuit or tracking clothes. For a slider-up cliff jump requiring tracking for object separation, the absence of tracking-appropriate clothing reduced his ability to generate separation from the wall after recovering from the back-to-earth position, directly contributing to insufficient clearance at deployment.</t>
  </si>
  <si>
    <t>The 32-39 mph winds with extreme turbulence directly degraded the jumper's ability to execute a clean pilot chute deployment. The high tailwind blew the bridle back under the arm/body, contributing to the entanglement. While the decision to jump in these winds is coded at L1, the wind also mechanically impaired the deployment execution itself.</t>
  </si>
  <si>
    <t>Jimmy had approximately 45 wingsuit BASE jumps and 700 skydives. The domain reference specifies a minimum of 100 wingsuit skydives (including 40-60 in the specific suit) and 100 BASE jumps before a first wingsuit BASE jump, plus extensive progression requirements. With 45 WS BASE jumps, he was still in early wingsuit BASE progression. The narrative describes classic early-progression wingsuit errors—exiting too head-high and flying in a near-stall configuration for 7 seconds—which the domain reference identifies as common mistakes stemming from insufficient skill development. This experience level directly contributed to the poor exit and inefficient flight execution.</t>
  </si>
  <si>
    <t>Geographically Lost</t>
  </si>
  <si>
    <t>Jimmy flew for approximately 22 seconds just above the snow in the couloir at an altitude too low to pull safely, yet continued flying and only deployed after 20 seconds of terrain-matching flight. This sustained flight in a no-pull zone without earlier deployment is consistent with the jumper failing to accurately perceive his altitude and proximity to terrain relative to minimum deployment altitude. The snow-covered couloir environment may have contributed to visual misperception of terrain proximity, impairing his ability to recognize he was already below survivable deployment altitude.</t>
  </si>
  <si>
    <t>The jumper had only 3 prior cliff jumps, with the remaining 62 BASE jumps from 60-80 meter antennas. Antenna jumps of that height provide no sub-terminal tracking practice, no experience managing object separation from terrain, and no experience with the exit-to-track skills required for slider-down cliff jumping. This insufficient cliff-specific experience directly contributed to the failure to achieve adequate forward separation and the late deployment.</t>
  </si>
  <si>
    <t>The group waited over 3 hours due to very strong headwinds before jumping in conditions described as only 'marginally ok.' The prolonged weather hold created psychological pressure to jump when conditions finally improved slightly rather than continuing to wait or walking down, contributing to the decision to jump in marginal conditions.</t>
  </si>
  <si>
    <t>The jumper deliberately chose not to wear a helmet, which the narrative notes could have given him a chance to remain conscious and fight to turn the canopy after the first wall strike. While not producing the object strike, the absence of head protection removed a layer of survivability that could have mitigated the fatal outcome after the off-heading opening.</t>
  </si>
  <si>
    <t>Marcelo failed to adequately check his static line anchor knot before jumping. A pre-jump verification by tracing the rigging from container to anchor — accepted practice for static line jumps — would have detected an insecure knot. This gear check omission enabled the L1 execution failure to go undetected.</t>
  </si>
  <si>
    <t>Marcelo chose to remove his pilot chute for the static line jump. While the domain reference notes the PC should never be stowed during static line, removal eliminated the backup means of canopy extraction. Had the PC been retained, it could potentially have inflated and extracted the canopy after the anchor failed, providing a possible recovery path from the knot failure.</t>
  </si>
  <si>
    <t>The jumper was filming other jumpers in a 3-way wingsuit formation. A fellow jumper from the load speculated that he lost attention to altitude because he was watching the others, and the video evidence supports this. Focusing on filming diverted attention from altitude awareness and timely deployment.</t>
  </si>
  <si>
    <t>The narrative describes the jumper as 'very nervous' at the exit point and unable to get his footing in the right position. The witness states the exit is 'a big mind fuck' that shook even a 1700+ jump veteran. The jumper's nervousness and psychological stress at the exit point degraded his execution of the technical exit, contributing to the unstable departure.</t>
  </si>
  <si>
    <t>The witness assessed that the jumper 'possibly panicked because of the mind fuck related to the jump' and that the wingsuit trapped his arms, preventing recovery. The combination of an immediately unstable exit from a psychologically intimidating, underhung exit point likely triggered a panic/freeze response that prevented the jumper from initiating deployment throughout the entire freefall, consistent with the pilot chute reportedly still being in its pouch at impact.</t>
  </si>
  <si>
    <t>The narrative states this was the jumper's first rappel-access exit, the exit is described as technical and suited for experienced jumpers only, and the witness concludes the death resulted from the jumper pushing forward too soon relative to his experience level. The exit required a hard push to clear underhung terrain in a wingsuit — a task demanding refined wingsuit exit skills that the jumper evidently lacked, as demonstrated by the head-down, shoulder-dropped departure.</t>
  </si>
  <si>
    <t>The exit point is described as having poor footing ('a bit of a shitty exit point for your feet') with grass on a slope, and the jumper could not get his footing in the right position. These exit surface conditions directly degraded his ability to execute the powerful, balanced push-off required to clear the underhung terrain, contributing to the unstable departure.</t>
  </si>
  <si>
    <t>Strong winds were reported at the exit point. Wind at exit causes discomfort and potential instability, and for a wingsuit exit from an extended deck, strong wind could directly degrade the jumper's ability to execute a stable exit, contributing to the unstable departure described in the narrative.</t>
  </si>
  <si>
    <t>Gusting winds of 18-22 mph changing from crosswind to tailwind physically blew the already-inflated hand-held PC behind the jumper after the throw, preventing effective deployment. The wind directly overpowered the jumper's ability to execute a clean PC toss, causing the PC to be entrained behind the jumper rather than reaching clean air.</t>
  </si>
  <si>
    <t>The narrative explicitly states the jumper 'remained focused on releasing them by reaching down to that left binding' and was 'only concerned with reaching that heel piece.' This channelized attention on the ski release task came at the exclusion of altitude awareness, directly contributing to the delayed deployment that was the L1 error.</t>
  </si>
  <si>
    <t>Mike had approximately 8 wingsuit BASE jumps. Accepted progression norms require at least 100 WS BASE jumps before proximity flying, and Bispen is described as suitable only for very experienced wingsuit pilots. This massive experience deficit directly enabled his decision to attempt a line far beyond his capability.</t>
  </si>
  <si>
    <t>With only ~8 WS BASE jumps, Mike had not developed the skills to manage airspeed and angle of attack near terrain. The witness observation of slow flight close to rock is consistent with the recognized slow-flight failure mode that results from insufficient training in speed management — a skill the domain reference states requires deliberate training with significant flight time.</t>
  </si>
  <si>
    <t>This was Leroy's first wingsuit BASE jump. The West wall at Notch Peak is described as a technical wingsuit jump requiring proximity flying skills. A first-time wingsuit BASE jumper lacks the experience to assess whether a 600ft-to-talus technical exit is survivable, and lacks the flight skills (start arc management, speed control) needed to execute such a jump.</t>
  </si>
  <si>
    <t>Leroy disregarded locals' recommendation not to go at all due to conditions, separated from his partner who turned back, blazed his own trail against his friend's judgment, and then chose to jump a technical exit on his first wingsuit BASE jump. This pattern of repeatedly overriding others' caution and proceeding alone demonstrates an unreasonable overestimation of his own capability relative to the specific task.</t>
  </si>
  <si>
    <t>Leroy failed to adequately identify the correct exit point. The South wall was the only exit with sufficient altitude for a non-technical wingsuit jump, but he was unable to find it and instead jumped the West wall with only 600ft to talus. Proper site preparation—obtaining detailed exit point information from locals or experienced jumpers familiar with Notch Peak—would have identified the appropriate exit or revealed that the West wall was unsuitable.</t>
  </si>
  <si>
    <t>The narrative states there was 'no attempt to correct the heading' despite 3-4 seconds of canopy flight — sufficient time for at least an initial correction attempt. Combined with the observation that Scott 'looked exceptionally nervous and made several countdowns before actually jumping,' the evidence supports a freeze or startle response upon experiencing the off-heading opening with line twists, resulting in temporary inability to act on trained corrections.</t>
  </si>
  <si>
    <t>Scott appeared exceptionally nervous and made several countdowns before jumping, indicating he was at or beyond his comfort level. Despite these clear signs of stress, he proceeded to jump as the third person in a group, suggesting social or self-imposed pressure to continue rather than declining. This state contributed to the weak exit that produced poor separation from the wall.</t>
  </si>
  <si>
    <t>The narrative explicitly states the Mighty Penis / Via Ferrata exit is a 'Wingsuit only jump' for 'experienced Wingsuiter only,' yet the jumper attempted it with a tracking suit. This indicates the jumper either did not know or did not understand the site-specific requirement for wingsuit-level glide performance to clear the terrain, a knowledge gap that site-specific briefing or mentorship from local experienced jumpers would have corrected.</t>
  </si>
  <si>
    <t>Geo's close friend explicitly described him as a 'beginner pilot' with only 1-2 years in the entire sport from first BASE jump to flying big wingsuits, calling him 'a classic example of too much too soon.' Accepted progression norms require at least 100 wingsuit skydives and 100 regular BASE jumps before first wingsuit BASE, with extensive further progression before proximity flying. His poor exits ('classic head high student exits') confirm insufficient skill development for the terrain-clearance proximity line he attempted.</t>
  </si>
  <si>
    <t>Geo was described as confident he could clear the saddle by 50-100m, yet his close friend stated he was a beginner pilot whose actual ability was far below what the line demanded. His friend noted he was 'hanging around all the experienced jumpers' and that 'it is easy now for beginners to successfully do a basejump/wingsuit flight and think that just because it was an advanced spot then they are good.' This demonstrates an unreasonable overestimation of his own capability relative to the specific task, well beyond what a reasonable jumper at his level would have assessed.</t>
  </si>
  <si>
    <t>The rig was not custom-made for the jumper's body dimensions. The narrative states his larger girth caused the container to shift upward on his back when in freefall position, moving the BOC out of reach. This was his first stowed deployment from this rig after two successful hand-held jumps, indicating the BOC accessibility had not been verified in a freefall-representative body position with this specific rig.</t>
  </si>
  <si>
    <t>Anthropometric/Biomechanical Limitations</t>
  </si>
  <si>
    <t>The narrative describes the jumper as 'a bit rounder than average with big solid shoulders' and 'not the most flexible of blokes.' His body dimensions and limited flexibility directly impaired his ability to reach the BOC once the rig shifted upward in freefall position, contributing to the failed extraction across five attempts.</t>
  </si>
  <si>
    <t>The narrative explicitly describes the jumper as 'an inexperienced wingsuit pilot.' Wingsuit BASE requires at least 100 wingsuit skydives and 100 BASE jumps per accepted progression norms, and technical sites with mandatory performance requirements demand commensurate experience. This insufficient experience directly contributed to the inappropriate object selection.</t>
  </si>
  <si>
    <t>The jumper's inexperience as a wingsuit pilot directly contributed to the unstable (sideways) exit. Accepted practice requires exits that blend seamlessly into flight, a skill developed through extensive wingsuit skydiving and BASE progression. An experienced wingsuit pilot would have had the trained motor patterns to produce a stable exit.</t>
  </si>
  <si>
    <t>The narrative states 'the group decided to go to a somewhat technical WS jump,' indicating the object selection was a group decision rather than the inexperienced jumper's independent choice. This group dynamic contributed to the jumper proceeding to an object inappropriate for his experience level.</t>
  </si>
  <si>
    <t>The jumper failed to verify that the bridle was clear of his body before exiting. Accepted practice for static line jumps requires that every jumper have a knowledgeable person trace the bridle by hand from shrivel flap to anchor and verify the jumper is clear of rigging before jumping. This check would have detected the bridle wrapped around his lower extremity.</t>
  </si>
  <si>
    <t>The narrative describes the exit area as having an 'unstable slope with disintegrated rocks,' which may have degraded the jumper's ability to execute the forceful launch required to clear the ledge 60-80m below. This exit surface condition could have directly impaired footing and push strength during the exit.</t>
  </si>
  <si>
    <t>Herbert had only 19 BASE jumps and 1 BASE season. The narrative explicitly states he 'still had slightly unstable exits,' indicating he had not yet developed the exit stability and sub-terminal tracking skills required for slider-up cliff jumping. His insufficient experience directly contributed to the unstable exit and inadequate separation that produced the fatal object strike.</t>
  </si>
  <si>
    <t>Herbert was not wearing a helmet. While this did not cause the unstable exit, accepted practice requires a helmet on every jump. The medic stated he might have survived with a helmet. The absence of this basic protective equipment converted a survivable object strike into a fatal one.</t>
  </si>
  <si>
    <t>The jumper switched from his Vampire 3 (leg pouch deployment) to his Phantom Edge (BOC deployment) mid-session after the V3 became unusable. The ingrained muscle memory from habitual V3 use caused him to automatically reach for the wrong deployment location, a classic negative habit transfer that directly produced the delayed PC extraction.</t>
  </si>
  <si>
    <t>The jumper had a GoPro camera mounted on her helmet with a clip that had previously broken and was re-attached with glue. This created a protrusion on the helmet that the bridle could catch on during deployment. Accepted practice recognizes helmet-mounted cameras as physical snag hazards; the broken and glued mount further increased entanglement risk. This equipment configuration directly enabled the bridle wrap that resulted from the weak PC toss.</t>
  </si>
  <si>
    <t>The camera clip had broken before and the jumper was seen gluing it back on before the jump rather than removing the snag hazard or properly repairing it. This indicates awareness of a known equipment deficiency that was not adequately corrected, maintaining the entanglement risk that contributed to the bridle wrapping around the camera.</t>
  </si>
  <si>
    <t>This was Gary's first wingsuit jump from the High Ultimate exit, a site where locals were divided on whether it was safe for wingsuit use. While he had ~400 BASE jumps and was current on his V1 wingsuit, the specific demands of a wingsuit exit from this platform—requiring precise body attitude management to clear a known ledge/outcrop—represented a task he had not previously performed. His inability to maintain the correct head-high exit attitude and transition into flight suggests the specific skill required for this exit exceeded what his experience at this particular site could support.</t>
  </si>
  <si>
    <t>This was only the jumper's second BASE jump at this cliff site, with the first jump completed the previous day. The narrative describes instability, poor tracking, and late deployment — a cluster of fundamental execution failures (exit-to-track transition, sub-terminal tracking, deployment timing) that indicates insufficient experience for a slider-up cliff requiring mandatory tracking and adequate object separation. Accepted progression norms require extensive practice of these skills at forgiving objects before attempting terminal/sub-terminal cliffs.</t>
  </si>
  <si>
    <t>The jumper stated before the jump that his fingers were cold. Cold fingers directly degrade fine motor function and tactile sensitivity, impairing the ability to locate and extract the pilot chute from the BOC pocket, which the narrative identifies as the mechanism of the late deployment.</t>
  </si>
  <si>
    <t>With only 50 wingsuit BASE jumps across 2 BASE seasons, and having progressed through two wingsuits (Prodigy then Phantom/Firebird) in that time, the jumper lacked the experience base to accurately evaluate whether a previously unscouted, highly technical exit with only 200m of rock drop was within his capabilities for wingsuit flight. The update explicitly frames this as pushing progression too fast to technical sites.</t>
  </si>
  <si>
    <t>The narrative explicitly states that the High Nose exit 'is classed as a wingsuit and experienced trackers only,' yet the jumper 'just did not get her track on.' This indicates the jumper's tracking proficiency was insufficient for the specific demands of this exit, which required experienced-level tracking skills to achieve adequate separation from the cliff's ledge system.</t>
  </si>
  <si>
    <t>This was Antoine's 3rd wingsuit BASE jump. The domain reference establishes that wingsuit BASE requires at least 100 wingsuit skydives and 100 regular BASE jumps before a first WS BASE jump, with extensive further progression before attempting technical lines. A 3-jump WS BASE experience level is grossly insufficient for a technical line involving a long turn and power line clearance, and this insufficiency directly enabled the decision to attempt the line.</t>
  </si>
  <si>
    <t>The narrative explicitly states the jumper 'was not well rested, had only a few hours of sleep.' Sleep deprivation degrades motor coordination and reaction time, directly contributing to the inability to locate and extract the pilot chute across four attempts.</t>
  </si>
  <si>
    <t>The narrative states the jumper 'had winter clothing on him, which made reaching PC more difficult.' The bulky winter jacket physically impeded the jumper's ability to reach the BOC pocket, directly degrading execution of the pull sequence.</t>
  </si>
  <si>
    <t>The narrative states the jumper 'already had problems with reaching his PC in that jacket before once, but got lucky that time.' The jumper was aware of a prior near-miss involving the same jacket restricting BOC access and failed to take corrective action such as switching to hand-held deployment or changing clothing.</t>
  </si>
  <si>
    <t>The jumper had only 20-50 BASE jumps and attempted a slider-up cliff exit classified as requiring wingsuit or experienced tracker skills. Accepted progression norms require substantial cliff experience and proven tracking ability before attempting objects with mandatory high-performance tracking. This insufficient experience level directly contributed to the decision to jump an object beyond the jumper's capability.</t>
  </si>
  <si>
    <t>The narrative explicitly states the jumper 'was reported to not have enough experience jumping slider down.' This insufficient experience with slider-down cliff jumping directly contributed to the inadequate exit technique that failed to generate sufficient forward separation from the object.</t>
  </si>
  <si>
    <t>The jumper had approximately 12 jumps on the Vampire 4 wingsuit after transitioning from an S-Fly, which had a completely different flying style. He had not practiced sharp turning maneuvers on the V4. This insufficient experience on the specific suit directly contributed to his inability to execute the emergency turn needed to avoid the ledge, a maneuver he could perform 'on a dime' in his previous suit.</t>
  </si>
  <si>
    <t>The narrative describes the jumper as 'one of the fiercest wingsuit pilots on the planet' in his S-Fly suit, and witnesses believe that because his flight was going well he 'went back into hardcore mode' and chose to fly a tight proximity line. His established identity as an elite proximity pilot in a different suit appears to have driven him to fly at a level inconsistent with his limited experience on the V4, overestimating his capability in the new platform.</t>
  </si>
  <si>
    <t>Witnesses reported the jumper was thinking about whether to fly proximity to the ledge the entire evening before and during the hike, indicating unresolved ambivalence about the task. His companions assessed the premature deployment was driven by panic or stress. The narrative also references the motivation of capturing a nice video as a factor in the decision-making chain.</t>
  </si>
  <si>
    <t>The jumper was flying proximity for the first time, at an unfamiliar cliff he had never seen from the landing area, in a wingsuit. The combination of novel proximity flying, unfamiliar terrain, and the need to manage flight path, terrain clearance, and deployment timing simultaneously likely exceeded his cognitive capacity, contributing to the panic-driven premature deployment near the wall.</t>
  </si>
  <si>
    <t>With approximately 35 wingsuit BASE jumps on a Phantom 2, the jumper attempted proximity flying past a ledge at an unfamiliar cliff for the first time. Accepted progression norms require extensive wingsuit BASE experience before terrain flying, including intimate knowledge of the specific line. His limited wingsuit BASE experience was insufficient for the demands of proximity flight near terrain, contributing to the panic-driven premature deployment.</t>
  </si>
  <si>
    <t>This was the jumper's first jump at Kandersteg. He had not seen the landing area or the ledge from below. The domain reference emphasizes that terrain flying requires intimate knowledge of the entire line, reconnaissance from multiple perspectives, and gradual progression at a specific site. His lack of site familiarity directly contributed to deploying at an unsafe point near the wall.</t>
  </si>
  <si>
    <t>The jumper had told people that her new Vampire 4 wingsuit did not fit well. An ill-fitting wingsuit can restrict movement and impair the ability to reach the BOC pocket, directly contributing to the failed PC deployment. Jumping with equipment known to fit poorly constitutes inadequate equipment configuration for the planned jump.</t>
  </si>
  <si>
    <t>Sean had recently changed wingsuits and fellow jumpers had noticed in the weeks prior that he was not maximizing the new suit's performance. This indicates he had not yet developed proficiency with the specific suit, which directly contributed to his loss of speed/glide during the flight. The domain reference states a minimum of 40-60 skydives with a specific suit before BASE use, and that upgrading wingsuits before fully utilizing current suit performance is a recognized error.</t>
  </si>
  <si>
    <t>The jumper had approximately 105 BASE jumps over 1-2 seasons and 70 wingsuit BASE jumps. Accepted progression norms require at least 100 wingsuit skydives and 100 regular BASE jumps with a long record of perfect exits before first wingsuit BASE, and the narrative notes the exit (High Ultimate) is recommended for experienced tracking only. The jumper's relatively rapid progression through wingsuit BASE at a demanding exit point indicates insufficient experience for the task attempted, directly contributing to the inability to manage the unstable exit.</t>
  </si>
  <si>
    <t>High Ultimate is described as underhung, meaning the terrain below the exit extends outward, reducing the margin for recovery from a poor exit. The ramp was introduced that same day. This terrain geometry directly reduced the time and space available to recover from the head-down position, converting a recoverable exit error into a fatal impact with a ledge.</t>
  </si>
  <si>
    <t>Carl had approximately 70 BASE jumps and only 10 wingsuit BASE jumps. Accepted progression norms require at least 100 regular BASE jumps before first wingsuit BASE, and 100 wingsuit skydives (including 40-60 in the specific suit). With only 10 wingsuit BASE jumps, Carl lacked the experience to recognize and respond to degrading flight performance by immediately deploying. The narrative explicitly highlights his low jump numbers and insufficient wingsuit BASE experience as a contributing factor.</t>
  </si>
  <si>
    <t>Despite having plenty of altitude to deploy when his performance degraded, Carl continued flying and did not pull until approximately 100m above trees. This pattern is consistent with channelized attention on the flight path or terrain ahead (including the power lines he passed over) rather than monitoring altitude and recognizing the need to abandon the flight. His fixation on continuing the flight despite clearly inadequate performance delayed the deployment decision until it was too late.</t>
  </si>
  <si>
    <t>Carl was flying a wingsuit over a long talus slope on his first jump from this cliff. The gradually sloping terrain beneath him during degraded flight performance likely impaired his ability to accurately perceive his altitude and closure rate with the ground, contributing to his failure to deploy when he still had adequate altitude. Unfamiliarity with the visual references at this site compounded the difficulty of altitude assessment during a high-sink-rate flight.</t>
  </si>
  <si>
    <t>The jumper had only ~10 wingsuit BASE jumps and ~40 wingsuit skydives. Accepted progression norms require at least 100 wingsuit skydives and 100 BASE jumps with perfect exits before first wingsuit BASE. With 40 WS skydives (well below the 100 minimum) and only 10 WS BASE jumps, the jumper lacked the experience to reliably execute wingsuit exits from cliffs, directly contributing to the exit performance failure.</t>
  </si>
  <si>
    <t>On the first jump of the day, the jumper exhibited bent legs during the exit — a recognized wingsuit exit error that degrades start performance. This was discussed between jumps and the jumper was reminded ('Think of your legs!') before the fatal second jump, yet the same or a related exit performance failure occurred. The jumper proceeded without adequately correcting a deficiency identified minutes earlier.</t>
  </si>
  <si>
    <t>The narrative reports 120 cm of snow at the top. A deep snow layer on the exit surface can degrade footing and launch stability, directly impairing the jumper's ability to execute a strong, stable wingsuit exit push — contributing to the failed start.</t>
  </si>
  <si>
    <t>A small outcropping with bush/vegetation existed immediately below the exit point, requiring a decent push to clear. This terrain feature provided essentially zero margin for an imperfect exit, meaning the skill-based execution error directly resulted in cliff strike within approximately 1 second.</t>
  </si>
  <si>
    <t>The narrative explicitly states the wind's importance was 'trivialized by our confidence in our big suits.' This overconfidence in equipment capability directly drove the decision to proceed with the proximity line despite strong winds that objectively degraded wingsuit performance below terrain-clearance requirements.</t>
  </si>
  <si>
    <t>Physical Overexertion</t>
  </si>
  <si>
    <t>Fernando had hiked twice the day before and commented on 'feeling that second hike' during the 3.5-hour approach on jump day, which involved the entire altitude of the jump done on foot. This cumulative physical fatigue may have degraded his capacity to recognize the need to deploy or execute a deployment during the flight.</t>
  </si>
  <si>
    <t>The three-way formation and flight path were decided at the exit moments before jumping without time for mental preparation. The line had never been flown before. This failure to adequately plan and brief the flight — especially a novel proximity line in strong winds — directly enabled the decision to commit to an unvetted line without proper assessment of terrain clearance requirements.</t>
  </si>
  <si>
    <t>Fernando had only 10 total jumps (BASE and skydive combined) on the X Three wingsuit. With so few jumps on this suit, he lacked the experience to understand its performance envelope in adverse conditions, directly contributing to committing to a proximity line that required performance he could not reliably extract from the suit.</t>
  </si>
  <si>
    <t>The strong headwind reduced airspeed and available lift during flight, as directly experienced by the co-jumper who noted 'strong head wind and subsequent lack of speed.' This environmental degradation of wingsuit performance compressed the time and altitude available for recognizing the need to deploy and executing a pull, contributing to the failure to attempt deployment.</t>
  </si>
  <si>
    <t>Luke was wearing a belly-mounted camera that created a snag point during deployment. The canopy or bridle snagged on the camera during extraction while he was on his back, converting the under-rotated aerial into a total malfunction. A camera mounted on the belly is a known entanglement hazard during non-standard body orientations at deployment, and its presence enabled the fatal outcome from the skill-based error.</t>
  </si>
  <si>
    <t>The bridle was visibly routed through the lateral flap of the harness, and after the PCA tightened the bridle, the bottom pin opened with canopy partially visible inside the container. A thorough pre-jump gear check — tracing the bridle from anchor to container as accepted PCA practice requires — would have detected this incorrect routing before exit.</t>
  </si>
  <si>
    <t>The narrative explicitly states the jumper had 'no experience in proxy flight and fairly new to wingsuiting,' and describes the jumper as 'rushing to base jump and getting into the wingsuit far too early.' This indicates the jumper's training and experience were clearly insufficient for the proximity flying task attempted, directly contributing to the decision to fly a line beyond their capability.</t>
  </si>
  <si>
    <t>The narrative explicitly notes this was the fourth jump of the day in the afternoon, and states that all fatalities at this site occur in the afternoon when airflow has changed and cold air moves into the valley. Anabatic flow and shifting valley wind conditions in the afternoon would have reduced effective glide performance and altered the aerodynamic environment along the flight path, directly degrading the jumper's ability to maintain speed and glide through the turn and subsequent terrain clearance.</t>
  </si>
  <si>
    <t>The jumper had a 'wrong appreciation of the height' over a grassy dome, indicating a visual illusion or misperception of terrain proximity. Featureless grassy terrain is a recognized cause of visual illusions that impair altitude/distance judgment, directly contributing to the altitude/terrain misjudgment identified at L1.</t>
  </si>
  <si>
    <t>The narrative explicitly states Dan was 'only a novice wingsuit Proxy flyer' despite being a good wingsuit BASE jumper. Proximity flying near terrain requires substantially greater experience than standard wingsuit BASE, and his novice-level proximity skills were insufficient for the line attempted, directly contributing to his decision to fly a line he could not clear.</t>
  </si>
  <si>
    <t>The deceased flew into the wrong crack, approximately 20 meters from the correct line. He misidentified the terrain feature he was flying into, believing it was the intended line when it was actually a dead-end crack. This geographic misidentification directly enabled his commitment to the fatal proximity line.</t>
  </si>
  <si>
    <t>Proxy flying demands intense focus on the terrain feature being flown past, which channels attention toward maintaining the flight line at the expense of monitoring altitude and terrain clearance. The narrative states the jumper 'lost height awareness,' consistent with attention fixated on the proximity task to the exclusion of altitude monitoring.</t>
  </si>
  <si>
    <t>The narrative describes the exit as one of the top 3 most advanced wingsuit jumps in the world, one that has killed even advanced pilots with hundreds of WS BASE jumps. The jumper's exit is characterized as 'unskilled,' directly indicating that the jumper's experience and skill level were insufficient for this specific task. This insufficiency in capability contributed to the decision to attempt an exit that was clearly beyond the jumper's level.</t>
  </si>
  <si>
    <t>The narrative explicitly characterizes the exit as 'too steep (unskilled),' indicating the jumper lacked the trained proficiency required for a proper wingsuit exit at this demanding site. The jumper was unable to transition from exit to flight, a skill that requires extensive wingsuit BASE experience and practiced technique at progressively more demanding exits.</t>
  </si>
  <si>
    <t>The jumper had only 22 total BASE jumps (10 slider-down prior to the trip plus 12 in the valley), with no reported slider-up non-wingsuit cliff experience. Accepted progression norms require at least 100 regular BASE jumps before first wingsuit BASE. This profound experience deficit directly enabled both the decision to attempt wingsuit BASE and the selection of an unsuitable object.</t>
  </si>
  <si>
    <t>The jumper's lack of wingsuit BASE experience and training directly produced the head-high slow flight pattern. Without the progression through sub-terminal tracking, slider-up cliff jumps, and extensive wingsuit skydiving specific to BASE preparation, the jumper lacked the skill to manage angle of attack and airspeed, resulting in near-stall flight — a recognized fatal error pattern that proper wingsuit BASE progression is designed to prevent.</t>
  </si>
  <si>
    <t>The jumper, a very experienced skydiver (AFF instructor, tandem master, thousands of skydives), ignored advice from fellow travelers and experienced jumpers in the valley, did not register for a landing card or obtain local site information from the SBA, and proceeded to attempt wingsuit BASE on approximately his 23rd BASE jump. This pattern of disregarding multiple sources of guidance and accepted progression norms indicates the jumper unreasonably overestimated their capability based on skydiving experience, which does not substitute for proper BASE training and progression.</t>
  </si>
  <si>
    <t>The jumper did not register for a landing card with the SBA and had no information from the SBA about exit profiles. Obtaining local site information is a standard preparatory action at Lauterbrunnen, and this failure directly contributed to the selection of Yellow Ocean as a wingsuit exit without understanding that its altitude profile was insufficient for wingsuit flight, particularly at the jumper's experience level.</t>
  </si>
  <si>
    <t>Other jumpers in the valley had observed that most of his exits in his Prodigy were too head-high and that he was not flying as quickly as he should be on exit. This recurring exit technique problem — falling straight down rather than achieving adequate airspeed — was a known deficiency that was never corrected before he attempted a more demanding suit and exit.</t>
  </si>
  <si>
    <t>Video review and witness analysis concluded the jumper likely became fixated on an object (a tree near his impact point) or lost altitude awareness during the tracking phase. This attention management failure directly contributed to his failure to initiate deployment at a survivable altitude.</t>
  </si>
  <si>
    <t>The jumper performed a roll onto his back and then back to belly during the multi-way exit sequence. This maneuver, combined with tracking at a steeper angle below his partner, likely disrupted his spatial orientation and altitude perception, contributing to his failure to recognize the need to deploy.</t>
  </si>
  <si>
    <t>The narrative explicitly states this was Amber's first wingsuit BASE jump. Accepted progression norms require at least 100 wingsuit skydives and at least 100 regular BASE jumps before a first wingsuit BASE jump. Her poor flight performance — failing to build forward speed and not outflying the talus — and her loss of altitude awareness are consistent with the fundamental inexperience of a first wingsuit BASE attempt. A first wingsuit BASE jump represents insufficient experience for the demands of wingsuit terrain flying, altitude management, and deployment timing in a wingsuit.</t>
  </si>
  <si>
    <t>The narrative states 'she must have lost altitude awareness,' and the possible factors list includes 'altitude awareness.' The jumper failed to monitor her altitude during wingsuit flight, reaching back to pull only when much too low. This loss of situational awareness regarding altitude directly enabled the late deployment. Task saturation from managing a first wingsuit BASE flight likely contributed to channelized attention away from altitude monitoring.</t>
  </si>
  <si>
    <t>The jumper planned the double gainer as a tribute to his deceased friend Daniel Moore, who had done his first double from the same exit point. This emotional motivation to complete the aerial contributed to his proceeding despite visible fear and hesitation (shaking, going back and forth, screaming expletives), overriding the rational signals to abort.</t>
  </si>
  <si>
    <t>The jumper's attention was focused on completing the double gainer rotation rather than monitoring altitude. When the second rotation stalled, his 'Oh shit!' exclamation upon returning to belly-to-earth indicates he only recognized the altitude deficit at that moment, consistent with channelized attention on the aerial task at the expense of altitude awareness.</t>
  </si>
  <si>
    <t>The tumbling motion of the double gainer, particularly when the second rotation stalled, likely caused vestibular disorientation that impaired the jumper's ability to perceive altitude and orientation. His verbal reaction upon regaining belly-to-earth position indicates he did not recognize his altitude situation until visual reference was restored, by which point it was too late.</t>
  </si>
  <si>
    <t>The jumper had only 30 BASE jumps and 1 season of experience while attempting a slider-up cliff jump requiring sub-terminal tracking, off-heading correction skills, and line twist management. Per accepted progression norms, slider-up cliffs are among the most complex BASE objects, requiring well-developed tracking and object avoidance skills typically built through extensive practice at simpler objects. With 30 total BASE jumps, the jumper's experience level was clearly insufficient for the demands of this task, directly contributing to the inadequate separation and inability to correct the 180-degree off-heading with line twists.</t>
  </si>
  <si>
    <t>The jump was performed at night at a very dark site with inadequate ground lighting and minimal moonlight. The narrative states that aerials can be disorienting even on a sunny day, and that in the low light conditions he may have lost orientation or altitude awareness during the rotation. This visual impoverishment during an aerial maneuver would have degraded his ability to judge when to deploy.</t>
  </si>
  <si>
    <t>The jumper placed a stash bag on his back beneath the rig with an elastic adjusting strap that had approximately 6 inches of free slack when empty. The elastic line was found pulled taut, indicating it likely interfered with pilot chute extraction. This equipment configuration created a snag hazard that contributed to the deployment failure.</t>
  </si>
  <si>
    <t>The site was very dark, ground lighting had not been recently replaced, and the moon was low or already set. These conditions directly impaired the jumper's ability to maintain spatial orientation and altitude awareness during the aerial maneuver, contributing to the late or failed deployment.</t>
  </si>
  <si>
    <t>The narrative describes the jumper's behavior as 'almost inexplicable' — he had plenty of time and altitude to deploy safely but continued flying as altitude progressively deteriorated. The companion speculates about possible 'brain lock' and wanting to 'enjoy the ride as long as he could.' This pattern is consistent with channelized attention on continuing the flight/completing the line to the exclusion of monitoring altitude margin and making the deployment decision. The sustained failure to act over an extended period despite obvious cues suggests fixation rather than a simple misjudgment.</t>
  </si>
  <si>
    <t>The narrative explicitly states 'it was a while since his last jump' despite 10 BASE seasons of experience. The companion speculates he may not have been 'jumping regularly enough to realize he was in a bad situation right after the exit.' Lack of currency in wingsuit BASE flying could have degraded his ability to accurately assess his altitude margin and glide performance in real time, contributing to the delayed deployment decision.</t>
  </si>
  <si>
    <t>The narrative explicitly states the jumper was rushing to jump because it was getting dark ('don't be in a rush to jump because it is getting dark'). The time pressure of fading daylight at 9pm drove the decision to jump in winds that exceeded site limits rather than waiting for better conditions or walking down.</t>
  </si>
  <si>
    <t>Winds beyond site safety limits directly degraded the jumper's ability to maintain a stable track and achieve proper body position at deployment. Excessive wind at a cliff object mechanically impairs tracking performance and body stability, contributing to the poor unstable track and bad body position at pull time described in the narrative.</t>
  </si>
  <si>
    <t>The narrative explicitly states that while Shaun was hyper-current and experienced in wingsuit BASE, he did not have as much experience flying his particular new suit at the highly aggressive angles required for the Brevent lines. The new suit had different flight characteristics from his previous suit, specifically in how a pilot would fly very steep lines. This insufficient familiarity with the suit's behavior at extreme angles directly contributed to the technique errors in managing the dive-to-flight transition — the over-exposure of the wing's top surface and the abrupt AoA correction that produced the fatal stall.</t>
  </si>
  <si>
    <t>The narrative explicitly states the exit point was still draining water and conditions were very wet and muddy after many rainy days. This degraded the exit surface traction, directly causing the jumper to slip during the wingsuit launch.</t>
  </si>
  <si>
    <t>The jumper misjudged the start arc, which was longer than he thought, indicating he misperceived his position and trajectory relative to the terrain during the critical transition to the left line. This misperception of spatial position directly contributed to the failed terrain flight execution.</t>
  </si>
  <si>
    <t>Donald's decision to jump was influenced by watching the first jumper successfully clear the exit, which gave him confidence despite not feeling fully comfortable. The narrative states he 'probably decided to jump because the first guy did and made it' and that he 'got the confidence to jump by watching the first guy get off.' This borrowed confidence from observing another jumper's performance served as a misplaced motivational driver, contributing to his proceeding with an exit he did not execute with sufficient force.</t>
  </si>
  <si>
    <t>Distraction</t>
  </si>
  <si>
    <t>Donald was listening to music at the exit point, which prevented him from hearing repeated attempts by his companion on the observation deck to communicate with him. This external distraction eliminated the opportunity for critical information exchange about exit technique requirements before he jumped, directly contributing to his inadequate exit execution.</t>
  </si>
  <si>
    <t>Channing used old and degraded break-cord that had been torn apart rather than cut, compromising its integrity before use. He rigged an improvised static line system with two short pieces of break-cord tied together and attached far toward the end of the bridle, increasing dynamic loading. These specific preparation failures created the conditions that caused both the primary knot to slip and the secondary cord to break prematurely.</t>
  </si>
  <si>
    <t>Bryan did not receive a gear check from any other jumper prior to exit. A gear check is an accepted practice that could have detected the rigging condition (e.g., closing loop large enough to admit the pin eye, or improper pin/loop interaction) that caused the pin lock malfunction.</t>
  </si>
  <si>
    <t>Bryan was slightly rushed to finish his pack job because the other jumpers had finished packing and were returning to the bridge, and he wanted to ride in their van back to the top. This time pressure contributed to the conditions under which the rigging error occurred and the gear check was omitted.</t>
  </si>
  <si>
    <t>Low-level clouds were present at exit altitude, and the hole in the clouds closed immediately after exit. Loss of visual ground references due to cloud immersion would have directly impaired the jumper's ability to assess altitude and judge correct deployment timing, contributing to the late deployment.</t>
  </si>
  <si>
    <t>The narrator describes the notch line as 'the new standard of being an alpha male in the valley' and compares the jumpers to 'moths to a flame,' indicating that social status and competitive motivation within the local wingsuit community drove the decision to fly this line despite its minimal margin and lack of meaningful flight benefit.</t>
  </si>
  <si>
    <t>The narrator describes the notch line as 'the new standard of being an alpha male in the valley' and compares the jumpers to 'moths to a flame.' This indicates a social/competitive motivation — maintaining status among elite wingsuit pilots in Yosemite — that drove both jumpers to commit to a line that an experienced peer had explicitly told them was not worth the risk.</t>
  </si>
  <si>
    <t>The jumper had not flown the X2 wingsuit for one year, despite being current on a different suit (Aura). This lack of currency on the specific suit directly contributed to his degraded flight performance — flying slowly and going off-route — which is the consequence of the decision to fly non-current equipment.</t>
  </si>
  <si>
    <t>The jumper had not flown the X2 wingsuit for one year. Different wingsuits have different BOC access characteristics and arm-wing configurations affecting the reach and deployment motion. His lack of currency on this specific suit directly contributed to his failure to execute the PC deployment on the first two attempts.</t>
  </si>
  <si>
    <t>The narrative states the jumper went slightly off-route, then realized he wouldn't be able to continue on his line. By the time he recognized the need to deploy, he was in a position requiring immediate action, and the delayed recognition of his off-route position contributed to the late deployment attempts.</t>
  </si>
  <si>
    <t>This was only the jumper's second wingsuit BASE flight (the first being from the same exit). Wingsuit BASE requires at least 100 wingsuit skydives and 100 BASE jumps as prerequisites, and proficient wingsuit terrain flying demands extensive progressive experience. His second-ever wingsuit BASE jump placed him at a critically early stage of progression where the skills needed for effective wingsuit flight execution and managing terrain proximity had not been developed.</t>
  </si>
  <si>
    <t>The narrative states that prior to this jump, Ian had landed in the river and gotten his gear wet. The domain reference explicitly states 'Never jump wet equipment.' The wet PC and canopy likely delayed PC inflation, contributing to the over-rotation and bridle entanglement during the aerobatic deployment. The extra weight of wet equipment coupled with a relatively small 36" PC for a ~4-second delay further degraded the deployment sequence.</t>
  </si>
  <si>
    <t>Magnus had never flown the Barn Line before and planned to follow another jumper who had. When the other jumper exited and Magnus did not follow, he lost the benefit of a guide on an unfamiliar line. Flying an unknown proximity line solo, without the visual reference of a lead jumper, directly degraded his ability to manage speed, glide, and terrain clearance along the route.</t>
  </si>
  <si>
    <t>The narrative explicitly states this was a 'Very Technical exit with a few second rock drop not for a beginner or intermediate wingsuit basejumper,' directly indicating the exit required advanced wingsuit BASE skill. The jumper's failure to execute an adequate push from this technical exit is consistent with insufficient experience for the specific demands of this object. Accepted progression norms require extensive wingsuit BASE experience before attempting highly technical exits with minimal terrain clearance margins.</t>
  </si>
  <si>
    <t>The narrative states the jumper jumped in 'extremely high winds' that directly caused the unstable exit (flipped after exit). The strong wind at the cliff exit physically disrupted the jumper's body position and prevented recovery, directly degrading execution of the exit and flight.</t>
  </si>
  <si>
    <t>The jumper had only skydived the wingsuit twice before attempting a wingsuit BASE jump. Accepted practice requires 40-60 skydives with the specific suit before wingsuit BASE use. This gross insufficiency of suit-specific experience directly degraded the jumper's ability to execute a successful start arc and transition to flight from a technical exit.</t>
  </si>
  <si>
    <t>Exit surface condition</t>
  </si>
  <si>
    <t>The narrative states the jumper 'possibly slipped on exit,' indicating the exit surface condition (wet, icy, or loose rock) degraded his footing and directly caused the unstable exit that he was unable to recover from.</t>
  </si>
  <si>
    <t>After 3:30pm in late December, line 7 was in shadow with radiational cooling producing katabatic (downslope sinking) airflow. This atmospheric condition actively degraded the wingsuit's available lift and effective glide performance during the critical approach to the entrance point, making the already challenging flight path significantly more difficult and directly contributing to the stall.</t>
  </si>
  <si>
    <t>Philippe Jean was on a phone call via a Bluetooth communicator during the wingsuit flight. The narrative explicitly identifies talking while flying as challenging and potentially distracting. This external stimulus diverted attention during a flight phase requiring precise airspeed and position management, contributing to the execution failure.</t>
  </si>
  <si>
    <t>Philippe Jean had only flown line 7 a few times and had not familiarized himself with how waypoints and landmarks appeared under snow cover. He had explicitly stated after a previous flight that he was unsure of his position before making the entrance. Snow-altered visual references impaired his ability to accurately judge speed, position, and the appropriate moment to commit or abort, contributing to the stall during the critical approach.</t>
  </si>
  <si>
    <t>Philippe Jean held the other jumper in high regard and had expressed excitement about showing him line 7. He exited immediately after the other jumper, passed him, and went straight for the challenging line rather than flying conservatively. This desire to demonstrate the line to an admired companion is a clearly identifiable misplaced motivation that contributed to committing to the aggressive flight path rather than exercising caution.</t>
  </si>
  <si>
    <t>The narrative explicitly states that Philippe Jean and his mentor/companion did not discuss how or when to abort if things did not go as planned on line 7. The absence of a pre-briefed abort plan for a challenging proximity line meant there was no predetermined decision point at which to abandon the approach, contributing to his commitment to the entrance point despite insufficient energy.</t>
  </si>
  <si>
    <t>The jumper had only 1 BASE season and was attempting a jump at an object described as 'very much a blue to black diamond' — a highly technical site requiring advanced site assessment skills. This insufficient experience level directly contributed to the inadequate evaluation of the landing area, wind conditions, and ocean hazard that constituted the L1 decision error.</t>
  </si>
  <si>
    <t>Low-level fog and clouds degraded the jumper's ability to see terrain and maintain spatial orientation during wingsuit flight. The police report explicitly states low-level fog could have increased the chance of impact from low visibility. These conditions directly impaired the visual references essential for wingsuit terrain flying, contributing to the terminal freefall impact.</t>
  </si>
  <si>
    <t>The narrative states the jumper 'had felt improvements on his tracking' and may have 'pushed it too far,' and that 'the road is a landmark on that jump and it's common for people to want to track past it.' This suggests channelized attention on tracking performance and the goal of passing the road landmark, to the exclusion of monitoring altitude — directly contributing to the late deployment.</t>
  </si>
  <si>
    <t>The narrative states the jumper 'had complained about his ski-goggles he jumped with not being optimal to see through.' Impaired visual acuity from suboptimal goggles could have degraded his ability to accurately assess altitude and terrain proximity during the tracking phase, directly contributing to the late deployment.</t>
  </si>
  <si>
    <t>Winds were gusty and visible on the grass at the exit point. These gusty crosswind conditions directly degraded the jumper's exit stability, contributing to the slip and immediate loss of control during the two-move dynamic exit in a large wingsuit.</t>
  </si>
  <si>
    <t>The jumper re-closed the container at the exit point without removing the bridle and PC from their stow — a critical step in the repacking sequence. This failure to follow the complete procedure when re-securing the dislodged pin created the bridle misrouting that caused the pin lock malfunction. A systematic gear check after the field adjustment would have detected the improper bridle routing before exit.</t>
  </si>
  <si>
    <t>Gary's wingsuit flight on both days exhibited stalled/near-stalled flight from exit, indicating he lacked the fundamental skill to achieve efficient wingsuit flight. The witness noted that basic wingsuit BASE concepts (exit technique, angle of attack, flying in non-thermic conditions) were 'brand new to him,' and his request to join a technical multi-way formation further demonstrated a gap between his actual capability and the demands of the task. His inability to produce adequate forward speed on two consecutive attempts indicates insufficient wingsuit proficiency for the object.</t>
  </si>
  <si>
    <t>Gary repeatedly described the Chief as 'basically like Brento' despite the witness knowing this was incorrect, dismissed corrective information from another source, and planned to immediately travel to France for Brevant after returning. After a near-miss requiring an emergency pitch and highway landing, he packed slider-up with his wingsuit again and even asked to join a technical multi-way formation. This pattern of dismissing risk information and overestimating his own capability directly contributed to his decision to repeat a jump that had clearly exceeded his ability the previous day.</t>
  </si>
  <si>
    <t>The narrative states Gary had taken a break from jumping to recover from an injury prior to this trip. While the exact duration is not specified, the witness noted it as a relevant factor. Returning from an injury-related break degrades currency and physical readiness, which would have contributed to his poor wingsuit execution.</t>
  </si>
  <si>
    <t>Gary characterized the Chief as similar to Brento and rejected corrective information about the actual jump profile, indicating he did not adequately evaluate the site's demands before committing to the jump. Proper site evaluation—understanding the flight profile, power line obstacles, and non-thermic morning conditions—is a required preparatory action that would have informed a more appropriate decision.</t>
  </si>
  <si>
    <t>Although exit angles for camera flying were discussed on the cable car, when the plan changed at the top (the lead jumper would fly his normal line without camera-flyer procedures, and JVH chose the right side), there was no further discussion of exit angles at the exit point. This incomplete re-briefing after the plan change left the specific exit angle for JVH's position unresolved, directly enabling his push onto the same axis as the first jumper.</t>
  </si>
  <si>
    <t>After entering the first jumper's flight path due to the L1 exit angle error, JVH encountered the lead jumper's wake turbulence (burble) approximately 4 seconds into the jump. This caused visible shaking, clear loss of power, and a leftward swerve, mechanically degrading his wingsuit's aerodynamic performance and placing him in the energy-depleted state from which he attempted to fly out rather than deploy.</t>
  </si>
  <si>
    <t>Jimmy had approximately 100 wingsuit skydives (almost all on a different suit, the P3) and only 2 skydives on the V3 before taking it to BASE. His previous Brento jumps were described as 'not very good, rather unsteady.' This level of experience and demonstrated proficiency on the V3 was clearly insufficient for choosing a committing terrain line requiring turns over ridges, per accepted wingsuit BASE progression norms.</t>
  </si>
  <si>
    <t>The narrative explicitly states that two steady straight-out jumps the previous day 'gave him confidence' to attempt the more committing turning line over ridges. This confidence was disproportionate to his overall demonstrated ability on the V3, which was characterized by unsteady performance across most of his Brento jumps.</t>
  </si>
  <si>
    <t>Jimmy had only 2 skydives and approximately 13 BASE jumps on the V3, a recently purchased suit that was not his primary wingsuit. His lack of familiarity with the V3's flight characteristics — speed range, stall behavior, and recovery — directly contributed to his inability to manage speed and glide near terrain, as he progressively slowed the suit into lateral instability rather than maintaining speed or converting to a dive.</t>
  </si>
  <si>
    <t>The narrative explicitly states the jumper had worked a night shift as an air traffic controller, slept only a few hours, then completed nine tandem jumps and one fun jump before inspecting and rigging her BASE gear. The narrative concludes that 'all information points toward extreme fatigue played a large role in this rigging mistake.' This level of sleep deprivation and physical exertion directly degraded the cognitive capacity needed to execute the critical rigging check.</t>
  </si>
  <si>
    <t>The jumper opened both rigs to inspect them before jumping. Despite this inspection in a lit area, the disconnected bridle-canopy attachment was not detected. The gear check failed to catch the existing rigging deficiency — a bridle not attached to the canopy — which is a fundamental verification step in BASE equipment preparation.</t>
  </si>
  <si>
    <t>The late afternoon timing meant diminished anabatic/thermal lift compared to the jumper's earlier flights that day. The narrative explicitly states there was less lift than on previous jumps, when he had cleared the same ridge point by 10-15 meters. This reduced environmental lift directly degraded the jumper's effective glide performance, contributing to his inability to maintain sufficient altitude to clear the ridge.</t>
  </si>
  <si>
    <t>The narrative states there was snow on the exit point, and the jumper's family believes he slipped on it. Snow on the exit surface directly degraded footing and caused the slip that produced the unstable exit.</t>
  </si>
  <si>
    <t>The report states strong winds were present at the time of the jump. At a high-altitude exit point (Titlis), strong winds can directly destabilize a wingsuit exit by disrupting the jumper's body position during launch, contributing to the legs going over the back and the resulting unstable exit.</t>
  </si>
  <si>
    <t>The narrative states the jumper 'misjudged his position' relative to the ridge. This indicates he misperceived his spatial relationship to the terrain during flight, which directly led to the selection of a line he could not clear.</t>
  </si>
  <si>
    <t>The jumper failed to make an emergency pull despite being on a collision course with terrain. The narrative's statement that he 'failed to make an emergency pull' after misjudging his position suggests he was fixated on the tracking line or terrain avoidance to the exclusion of recognizing the need to deploy, or recognized it too late to act.</t>
  </si>
  <si>
    <t>The narrative states 'the mud was still a bit slick' at the exit area. Slick footing from mud directly degraded the jumper's ability to execute a clean, powerful exit, contributing to the 'too head low and not far away' exit that resulted in clipping the ledge.</t>
  </si>
  <si>
    <t>The jumper struggled on the approach, turning a 3-hour hike into a 5-hour trip. He stated he would 'rather jump than hike down' due to being tired. This physical overexertion from the prolonged approach likely degraded his physical capacity to execute a demanding wingsuit exit requiring precise body positioning and a strong forward push.</t>
  </si>
  <si>
    <t>The jumper's stated motivation for jumping was to avoid hiking down ('I'd rather jump than hike down') rather than being driven by readiness and confidence in conditions. This misplaced motivation to avoid the descent contributed to proceeding with the jump despite physical fatigue, directly setting up the conditions for the poorly executed exit.</t>
  </si>
  <si>
    <t>The narrative describes a tailwind over the mountain creating a slight downdraft at the exit. For a wingsuit exit requiring forward separation to clear a ledge 150 meters below, a downdraft would actively degrade the jumper's ability to achieve forward flight and increase the altitude consumed during the start arc, directly contributing to the insufficient separation from the already-compromised exit.</t>
  </si>
  <si>
    <t>The eyewitness states the jumper 'lost his speed slowly and didn't realise he was losing speed.' He was flying at maximum glide approximately 100m above terrain, indicating his attention was directed toward maintaining glide ratio and terrain clearance rather than monitoring airspeed — a critical parameter for wingsuit flight. This channelized attention on glide performance to the exclusion of speed awareness directly enabled the progressive speed loss that led to the stall.</t>
  </si>
  <si>
    <t>With 65 wingsuit BASE jumps and only 3 BASE seasons, the jumper was flying an Aura 2 — an intermediate-to-advanced wingsuit — that the eyewitness explicitly describes him as a 'beginner with this suit.' The eyewitness directly attributes the fatal outcome to insufficient experience: 'He had not enough experience with this suit to realise he was losing speed.' Recognizing progressive speed decay and managing the speed-glide tradeoff near terrain are skills that develop with extensive wingsuit experience, and this jumper lacked the experience to detect the deteriorating energy state before it became unrecoverable.</t>
  </si>
  <si>
    <t>Winds of 5-10 m/s at the exit point directly degraded the jumper's ability to achieve stable wingsuit flight after exit. The witness observed the jumper tumbling immediately from exit until impact, indicating the wind mechanically disrupted body position and prevented flight initiation or recovery.</t>
  </si>
  <si>
    <t>This was only the jumper's second jump ever with the C-Race wingsuit and second jump from Brento. The C-Race is a high-performance wingsuit. Accepted progression norms require 40-60 skydives with a specific suit before BASE use, and extensive practice pulls in all body positions. With only one prior jump in this suit, the jumper had minimal familiarity with the BOC reach mechanics and recovery procedures specific to this wingsuit, directly contributing to the failed PC extraction and the inability to return to stable flight for a reattempt.</t>
  </si>
  <si>
    <t>A 7 mph crosswind from the jumper's right to left was present at the exit point. This crosswind actively contributed to the unstable, head-low exit by introducing an asymmetric aerodynamic force during the launch, degrading the jumper's ability to achieve a stable exit attitude and contributing to the subsequent corkscrew.</t>
  </si>
  <si>
    <t>The narrative describes that when the jumper turned toward the landing zone, he 'may have caught some cooler descending air and he lost his flight characteristics very quick.' This atmospheric disturbance — katabatic or sinking air on the cooler side of the ridge — actively degraded his wingsuit's aerodynamic performance at the critical moment, directly contributing to the loss of speed and glide that constituted the L1 skill-based failure.</t>
  </si>
  <si>
    <t>The jumper was wearing a selfie stick camera mount on his helmet, which the narrative notes may have disturbed his vision and depth perception. If this impaired his ability to accurately judge terrain proximity and clearance margins, it would have degraded the situational awareness underlying his decision to commit to the challenging left-sector line over the ridge.</t>
  </si>
  <si>
    <t>The jumper had only 10-12 jumps on the Vampire Alpine wingsuit. Limited familiarity with a specific suit's performance envelope — its start arc, glide characteristics, and speed range — degrades the jumper's ability to accurately assess whether a given proximity line is within achievable margins, directly contributing to the decision to fly a line that exceeded the suit's performance or the jumper's ability to extract that performance.</t>
  </si>
  <si>
    <t>The jumper had only 25 BASE jumps and 1 BASE season. The BOC extraction skill—cleanly reaching past container features to extract the PC without routing it through obstructions—is a fundamental motor skill that develops through repetition. With only 25 jumps, the jumper had limited opportunity to develop the reliable muscle memory needed for consistent, error-free BOC deployment, particularly while wearing a tracking suit that may alter reach dynamics.</t>
  </si>
  <si>
    <t>The narrative states 'perhaps he slipped (there was previous rainy days),' indicating the exit surface may have been wet or damp from recent rain. This surface condition would have directly degraded the jumper's footing during the exit, contributing to the unstable/head-down departure.</t>
  </si>
  <si>
    <t>Jumper 2's wingsuit burble directly disrupted Ben's flight, causing instability and a dramatic decrease in groundspeed. The narrative explicitly states Ben flew through the burble, became unstable, and lost groundspeed from which he could not recover. This environmental disturbance actively degraded his ability to maintain adequate airspeed at a critical moment when he was already flying at high GR with limited energy reserves.</t>
  </si>
  <si>
    <t>The narrative explicitly states there was downwind coming from the right, and that the jumper 'couldn't manage to recover quickly because of the downwind.' The wind actively degraded his ability to recover from the head-low exit attitude by pushing him toward terrain and reducing effective forward separation, directly contributing to the failed recovery from the unstable exit.</t>
  </si>
  <si>
    <t>Kristian was without gloves for at least 12 minutes before the jump and wore only thin gloves for the final 5 minutes. He was observed trying to blow his hands warm before exit. The narrative states it is 'truly believed that the cold made him lose the feelings in his fingers and hands,' directly impairing his ability to locate and extract the pilot chute from the BOC pocket.</t>
  </si>
  <si>
    <t>The jumper had 3 BASE seasons and was flying a Vampire Sukhoi, a high-performance wingsuit. The narrative describes flight 'a bit on the slow side,' consistent with insufficient experience to fly the suit efficiently. Reliable BOC location during full-flight wingsuit deployment is a skill requiring extensive wingsuit-specific training (hundreds of practice pulls in all body positions per accepted norms). The repeated failed attempts to locate the PC handle suggest the jumper had not developed the muscle memory and technique required for consistent BOC extraction in this suit, indicating insufficient training/experience for the specific wingsuit BASE task attempted.</t>
  </si>
  <si>
    <t>The video shows Eddie handling and checking the bridle routing prior to exit, but he failed to verify that the right-side carabiner remained securely stowed after climbing over the railing and sitting on the top rail. A pre-exit gear check that included verifying the slings and carabiners were secure would have detected the partially dislodged carabiner before it could interact with the bridle.</t>
  </si>
  <si>
    <t>The jumper had only one BASE season, approximately 50 slider-down jumps, and only 2-3 slider-up jumps from this antenna (his first slider-up object). Accepted progression norms require extensive experience with aerials from forgiving objects before attempting them from technical objects, and slider-up jumping requires significant progression beyond slider-down. His experience level was clearly insufficient for the task of performing a gainer from a slider-up antenna.</t>
  </si>
  <si>
    <t>The narrative states the jumper 'performed poor gainers, some of them were rather unstable and uncontrolled,' indicating a sustained pattern of inadequate aerial execution that he was aware of through repeated personal experience. Despite this known recurring deficiency, he continued to attempt gainers and escalated to performing one from a more demanding object (slider-up antenna) without correcting the underlying skill deficit.</t>
  </si>
  <si>
    <t>The report lists 'Health issues' as a possible factor. At age 50 with documented health issues, a physical or physiological condition may have degraded the jumper's ability to execute the PC extraction, contributing to the inability to locate the pilot chute in the BOC pocket.</t>
  </si>
  <si>
    <t>The jumper had only 150 skydives, which is below the generally accepted minimum of 200-250 before beginning BASE. With 143 BASE jumps on an insufficient skydiving foundation, core skills including reliable BOC extraction under stress may not have been adequately developed, contributing to the failed pull attempt.</t>
  </si>
  <si>
    <t>The video evidence and mentor's analysis indicate Oscar was fixated on repeating his morning proximity line and buzzing the trees for at least the last 10 seconds of flight. His mentor states he was 'so focussed on flying the line that he didn't pay attention to how this flight was going differently.' This channelized attention on the intended line prevented him from recognizing his degraded speed/energy state and executing the available escape to the right until it was too late.</t>
  </si>
  <si>
    <t>The witness estimated that the jumper's visuals were fixed on the landing area and she did not see the ledge coming. This channelized attention on the landing zone to the exclusion of terrain proximity awareness directly contributed to the late deployment.</t>
  </si>
  <si>
    <t>This was the jumper's first terminal tracking jump from a slider-up cliff, with only 70 BASE jumps and 2 BASE seasons. Terminal slider-up cliff jumping with a tracking suit requires sub-terminal tracking proficiency and altitude awareness skills developed through progressive cliff experience. The jumper did not effectively establish her track or maintain adequate terrain awareness, consistent with insufficient BASE experience for this specific task.</t>
  </si>
  <si>
    <t>The jumper had only 19 BASE jumps and 1 BASE season, and was attempting slider-up terminal cliff jumps requiring mandatory sub-terminal tracking in a tracking suit he had only recently acquired. Accepted progression norms indicate that sub-terminal tracking from terminal walls requires substantially more experience, and the narrative explicitly states 'there is nothing that can simulate subterminal tracking other than subterminal tracking' and recommends balloon jumps prior to terminal walls. His experience level was clearly insufficient for the task attempted.</t>
  </si>
  <si>
    <t>The narrative states the jumper 'did have a tendency to turn once he was up to speed,' indicating a recurring sub-terminal tracking deficiency observed across previous jumps. This known performance issue was not corrected before continuing to jump terminal cliff objects where tracking separation is mandatory for survival.</t>
  </si>
  <si>
    <t>The narrative states Rob's 'judgement may have been somewhat impaired by a bad stomach and altitude.' A gastrointestinal illness combined with altitude effects could have degraded his physical execution capacity, contributing to the weak push and poor body position on exit.</t>
  </si>
  <si>
    <t>The narrative explicitly states this was 'a case of jumping from the wrong exit point.' The jumper exited from a position he apparently believed provided adequate clearance, but the ledge gradually protruded further on the right side where he stood. This indicates he misjudged or was unaware of the terrain geometry at his specific exit position relative to the ledge below — he was effectively at a different position relative to the terrain than he believed.</t>
  </si>
  <si>
    <t>The narrative explicitly states the jumper appeared to focus on turning himself 180 degrees away from the cliff rather than monitoring altitude. This channelized attention on the heading correction task came at the expense of altitude awareness, directly contributing to the fatally late deployment.</t>
  </si>
  <si>
    <t>The jumper had only 40 skydives, far below the accepted minimum of 200+ before beginning BASE. This extreme deficit meant the jumper lacked fundamental freefall body position, canopy piloting, and deployment skills necessary for any BASE jump, let alone a wingsuit BASE jump.</t>
  </si>
  <si>
    <t>The jumper had no First Jump Course, no mentorship, and no BASE training of any kind. The narrative explicitly states he had no training whatsoever and was soliciting strangers to take him to exit points. This complete absence of training meant he lacked knowledge of BASE-specific equipment requirements, deployment techniques, object avoidance, and emergency procedures.</t>
  </si>
  <si>
    <t>The jumper attempted a wingsuit BASE jump with zero prior BASE jumps. Accepted progression requires at least 100 BASE jumps with a long record of perfect exits before attempting wingsuit BASE. The jumper had none of the prerequisite BASE experience for any advanced discipline.</t>
  </si>
  <si>
    <t>The jumper used a skydiving container (Micron) with a skydiving main, reserve, and deployment bag rather than BASE-specific equipment. This configuration lacks the rapid deployment characteristics required for BASE jumping and was identified as the cause of death. Proper BASE preparation requires BASE-specific gear configured for the object type.</t>
  </si>
  <si>
    <t>The narrative states the aerials were not mentioned to the jump partner prior to the jump and the jumper had not performed aerials from this specific exit point before (only his second jump from Nose 3 that day). Performing aerials from an unfamiliar exit without coordinating with the jump partner represents inadequate pre-jump planning and briefing, creating conditions that enabled the over-rotation error.</t>
  </si>
  <si>
    <t>Lluis had 80 wingsuit BASE jumps and was jumping a wingsuit he had 'not many jumps on,' from a 'fairly tricky exit.' Accepted progression norms require extensive familiarity with a specific suit (30-80 BASE jumps to reach full potential) before jumping challenging exits. The combination of limited experience on the specific suit and a tricky exit point contributed to the unstable, head-low, asymmetric exit execution.</t>
  </si>
  <si>
    <t>It had rained the night before and the exit area was muddy and wet, though the main exit rock was reported dry. For a running/stepping exit, surrounding wet and muddy conditions at a 'fairly tricky exit' could have degraded footing stability during the few-steps exit, contributing to the head-low and asymmetric body position.</t>
  </si>
  <si>
    <t>The jumper consistently overestimated his ability to manage tight proximity lines, flying at what the narrative describes as '110%' despite repeated feedback from an experienced flying partner that he needed more margin. He declined a 2-way with an experienced terrain flyer because that flyer wouldn't be 'charging hard enough,' and chose to fly an aggressive line through unfamiliar terrain on what was most likely his first flight there. His own acknowledgment that 'ego' was his main weakness, combined with his persistent pattern of flying beyond acceptable margins despite awareness and external feedback, demonstrates an enduring overestimation of capability relative to the tasks attempted.</t>
  </si>
  <si>
    <t>Despite weekly reminders from an experienced flying partner over three months, awareness that his ego drove him to fly with insufficient margin, and his own stated intention to fly with more safety margin, the jumper failed to consistently correct his pattern of flying at or beyond the edge of acceptable risk. The narrative describes a recognized, recurring pattern ('110%') that he acknowledged but did not adequately address, constituting normalization of deviance over the season.</t>
  </si>
  <si>
    <t>The jumper was a 15-year-old with no instruction on any technique — no skydiving experience, no first jump course, no mentorship. The complete absence of any training or education meant the jumper had no basis to understand that skydiving gear is unsuitable for BASE or how to configure equipment for a fixed-object jump.</t>
  </si>
  <si>
    <t>The jumper had a documented pattern of opening lower than he should and was explicitly warned about this by his mentor and other jumpers. Despite these warnings, he failed to correct the behavior, continuing to deploy at dangerously low altitudes.</t>
  </si>
  <si>
    <t>With only 75 BASE jumps across one season and only 5 wingsuit BASE jumps, the jumper was attempting slider-up tracking suit jumps from terminal cliffs in Lauterbrunnen. His rapid progression through 47 jumps on his first trip and continuation to terminal cliff objects with a tracking suit within one season suggests experience insufficient for the demands of the task, contributing to poor judgment on deployment altitude.</t>
  </si>
  <si>
    <t>The PC handle was found in an open configuration, which is noted as a known factor where fingers can get stuck. This equipment configuration created conditions enabling the failed PC extraction at the critical moment of deployment.</t>
  </si>
  <si>
    <t>Marcus was focused on unzipping his wingsuit while flying away from the landing area after deployment. The unzipping task diverted his attention from monitoring altitude and position relative to the only viable landing zone, contributing to his failure to recognize he was too low to return to the road until it was too late.</t>
  </si>
  <si>
    <t>The jumper had only 1 BASE season, 90 BASE jumps, and only 5 skydives with a tracking suit. This site required mandatory tracking at a slider-down cliff with ~4 seconds of usable delay and known strong coastal winds requiring specific timing. The combination of limited BASE experience and near-zero tracking suit experience made the jumper poorly equipped to assess the risk of jumping this site in strong wind conditions.</t>
  </si>
  <si>
    <t>Strong coastal winds during the warmer part of the day (when winds are known to be stronger at this site) likely degraded the jumper's exit stability, tracking performance, and/or object separation during freefall. The wind actively impaired execution capacity regardless of the decision to jump, contributing to the fatal impact with the cliff.</t>
  </si>
  <si>
    <t>The pilot chute was fully stuffed into the BOC with only the carbon fibre tubular handle sticking out, placing the bulkiest part of the PC inside the elastic. The operating organization explicitly stated they do not recommend this packing method. This configuration directly contributed to Jon's inability to locate and/or extract the pilot chute from the BOC pocket.</t>
  </si>
  <si>
    <t>The jumping partner performed a rig check before exit but failed to detect the bridle misrouting through the lateral band. A thorough gear check tracing the bridle path from anchor to container would have caught this rigging error before the jump.</t>
  </si>
  <si>
    <t>The jumper had only 100 skydives and 50 BASE jumps over 2 BASE seasons. The accepted minimum before beginning BASE is 200+ skydives, and the jumper was rigging a static line deployment—a specialized configuration requiring thorough knowledge of bridle routing. This insufficient experience base directly contributed to the execution error of misrouting the bridle through the lateral band.</t>
  </si>
  <si>
    <t>The narrative states the exit had wet grass, which the reporter believes caused Eric's feet to slip, sending him into a front flip/scorpion position. The wet surface directly degraded his ability to execute a stable exit.</t>
  </si>
  <si>
    <t>The narrative explicitly states that over recent seasons the jumper had mainly jumped only 'short' jumps (20-25s Lauterbrunnen style) where pilots build speed, release it, and pull when speed is exhausted. This jump required sustained speed management over a longer (~30s) flight with a committed crux section. His lack of experience with longer committed flights in a tracking suit directly contributed to his failure to recognize the abort point, as the speed-management pattern from short jumps did not transfer to this profile.</t>
  </si>
  <si>
    <t>The jumper had only 10 BASE jumps and 1 BASE season. The delayed brake release after a riser correction is a fundamental canopy handling sequence that requires practiced muscle memory. With only 10 jumps, the jumper lacked the repetition needed to execute this sequence instinctively under pressure, directly contributing to the slow transition from risers to brakes.</t>
  </si>
  <si>
    <t>With only 10 BASE jumps, the jumper lacked the experience to accurately assess whether he could reach the main landing zone from a degraded altitude. Experienced jumpers develop the ability to judge glide performance relative to obstacles through repeated practice; at 10 jumps this judgment was undeveloped, contributing to the decision to continue forward rather than use an emergency landing area.</t>
  </si>
  <si>
    <t>The jumper failed to properly configure the static line system for this specific site. The static cord loop was too long for the bridge, and the excess bridle between the two break cord loops was not stowed with a rubber band, creating a system that was excessively long with free-moving bridle and cord. This inadequate pre-jump rigging setup created the conditions that enabled the bridle to entangle with his foot during exit.</t>
  </si>
  <si>
    <t>The narrative reports that before this jump, the jumper had climbed a 260-metre antenna during the night, performed a slider-up jump, then packed slider-down and drove to the bridge. The analyst who reviewed the GoPro footage noted the jumper appeared 'more stressed than usual' in the video. This sequence of overnight climbing, jumping, repacking, and driving may have contributed to degraded attention during rigging setup and exit execution.</t>
  </si>
  <si>
    <t>The narrative notes the jumper was carrying crampons that may have filled his suit pockets and tightened the wingsuit, potentially reducing his movement capabilities and degrading his exit push. A companion recalled seeing his suit pockets pretty filled on previous jumps. While stated as a possible factor rather than confirmed, this is a plausible biomechanical limitation that could have contributed to the weaker-than-usual exit push.</t>
  </si>
  <si>
    <t>The jumper lost his helmet during the pitch sequence, which diverted his attention from the critical task of deploying the PC. The narrative explicitly states he reached for his helmet with one hand while still holding the PC by the handle, and the analyst's assessment is that 'he probably kept the PC in the hand because he was thinking of his helmet.' This distraction directly caused the delay in releasing the PC that allowed the bridle/PC entanglement to develop.</t>
  </si>
  <si>
    <t>The helmet chin-lock was found open, indicating the helmet was not properly attached before the jump. The helmet coming off during the pitch sequence created the distraction that caused the jumper to hold the PC rather than deploy it cleanly, directly enabling the bridle-under-arm entanglement.</t>
  </si>
  <si>
    <t>Flying at high speed in a wingsuit at low altitude with low sun straight into the wall, Gonsholt may have misjudged his position relative to the pre-established reference point. However, the narrative states from GPS and POV data that he was clearly below the reference point, and the decision to continue is explicitly noted. The evidence is insufficient to distinguish between misperception of position and a conscious choice to press on despite recognizing the deficit.</t>
  </si>
  <si>
    <t>The report explicitly states that Gonsholt's 'experience in exit opening was low,' meaning he lacked experience in evaluating and flying first-time or newly opened sites. This directly contributed to his inability to correctly assess when to abort. The two other jumpers had over 40 combined years of BASE experience and a long history of opening new exit points, highlighting the gap. Despite approximately 200 wingsuit BASE jumps and impressive dynamic flying skills, the specific competency of evaluating marginal new lines and making abort decisions at unfamiliar sites was underdeveloped.</t>
  </si>
  <si>
    <t>The narrative describes Jeremiah as visibly nervous at the exit point (giving a 'nervous chakra' instead of a fist bump), yet he proceeded with the technical line rather than choosing the safer alternatives suggested by his companion. His companion noted that 'sometimes we trap ourselves into a plan' and that Jeremiah likely would have changed plans if directly asked. This pattern — fixating on the notch line despite acknowledged uncertainty and available safer options — indicates a self-imposed commitment to the plan that overrode his own rational assessment.</t>
  </si>
  <si>
    <t>Jeremiah repeatedly asked about the notch line during the hike (at the halfway mark and again near the rock gully), despite being told he lacked the necessary data (laser numbers, GPS data, subterminal turn performance data) and being offered safer alternatives. His companion described this as fixation on flying through the left notch. This channelized focus on the technical line appears to have excluded adequate consideration of the safer flight options that were explicitly suggested.</t>
  </si>
  <si>
    <t>Jeremiah's last wingsuit BASE jump was approximately 10 months prior (November 2019). While he had made 200 wingsuit skydives in the interim, wingsuit skydiving does not maintain the site-specific judgment, subterminal performance awareness, and terrain-proximity decision-making skills required for wingsuit BASE. This extended gap in wingsuit BASE currency may have degraded his ability to accurately assess whether his suit and skills could manage the technical notch line.</t>
  </si>
  <si>
    <t>The jumper had roughly 100 WS BASE jumps total but was described as 'not experienced in the mountains' and was from Paris. He had only approximately 20 jumps on his Corvid wingsuit. This insufficient mountain-specific experience directly contributed to his selection of a demanding line requiring &gt;3:1 glide with a long NPZ under conditions (high altitude, morning thermals) that required experienced mountain judgment to evaluate.</t>
  </si>
  <si>
    <t>The jumper had only approximately 20 jumps on his Corvid wingsuit. Insufficient familiarity with the suit's flight characteristics and speed management contributed to his inability to fly at adequate speed and glide, as witnessed by observers who were immediately concerned by his slow flight.</t>
  </si>
  <si>
    <t>The narrative states the jump occurred at high altitude with thermals producing and that morning jumps are tricky because of high altitude and thermals. Reduced air density at high altitude degrades wingsuit performance (lower available lift and glide for a given airspeed), and thermal activity creates variable atmospheric conditions. These environmental factors directly degraded the jumper's ability to maintain adequate speed and glide over the plateau.</t>
  </si>
  <si>
    <t>The narrative establishes a sustained pattern of aggressive proximity flying at the top end of what is possible, with multiple peers noting this style was 'not sustainable.' Despite this feedback, the jumper continued flying aggressively close to terrain, indicating he unreasonably overestimated his ability to manage the margins involved. This overconfidence in his capacity to fly near-max-glide proximity lines contributed to the decision to attempt clearing the pinnacle with inadequate margin.</t>
  </si>
  <si>
    <t>After the canopy edge contacted the waterfall due to insufficient separation, a surge of water struck the left end cells causing collapse, and katabatic/downdraft airflow associated with the waterfall entrained the stalled canopy into the falls. The waterfall's water flow and associated air currents actively degraded canopy performance beyond what the off-heading alone would have caused, converting a correctable off-heading into a total canopy loss.</t>
  </si>
  <si>
    <t>Video evidence revealed the jumper was agitated at the exit point, repeatedly resetting foot placements and touching his pilot chute multiple times, indicating excessive deliberation about peripheral concerns. This over-focus on foot placement and pre-exit rituals may have diverted attention from the core exit execution (push direction and body position), contributing to the over-rotation on launch.</t>
  </si>
  <si>
    <t>The jumper initially showed no interest in Cima Capi on two prior opportunities, remaining adamant about jumping Brento main exit. By Monday evening he requested to join, and after a poor exit experience at Pilastro (weak push, head low), he took only one recovery day before requesting to join the Cima Capi group again. This escalating desire to join the more experienced group at a new exit, despite his recent poor exit performance at a similar object, suggests social motivation contributed to proceeding with the jump.</t>
  </si>
  <si>
    <t>With 130 BASE jumps and 4 seasons, the jumper was a debutant to the Cima Capi exit—a slider-up cliff requiring sub-terminal tracking with a tracking suit. His only prior experience at a comparable exit (Pilastro) two days earlier resulted in a self-reported weak push and head-low instability. His limited experience with technical cliff exits contributed to the over-rotation and inability to recover a stable body position.</t>
  </si>
  <si>
    <t>Fabrizio chose an exit he had never jumped before, finding it via GPS point. The terrain under the exit did not provide sufficient altitude to recover from a head-low exit. Jumping a new exit without prior reconnaissance or knowledge of the terrain profile below — specifically whether it afforded adequate recovery margin for a wingsuit start arc — constitutes inadequate jump preparation that directly enabled the fatal consequence of the unstable exit.</t>
  </si>
  <si>
    <t>With only ~25 BASE jumps limited to antenna and slider-down cliff experience, Yaroslav attempted his first slider-up cliff jump. Accepted progression norms require extensive object avoidance practice at forgiving objects (spans), sub-terminal tracking competence developed over many jumps, and gradual progression before attempting slider-up cliffs. His experience level was clearly insufficient for this task.</t>
  </si>
  <si>
    <t>Yaroslav's mentor was explicitly described as an inexperienced jumper. He did not complete a recognized first jump course or follow accepted training pathways (Croatian S + Brento plan was abandoned due to COVID). Experienced jumpers warned him about the dangers of his jumps without proper training, and the narrative establishes his training was inadequate for the progression he attempted.</t>
  </si>
  <si>
    <t>Yaroslav was explicitly warned by experienced jumpers about the dangers of his progression without proper training. He acknowledged his approach was 'roulette' but continued, stating he hoped his paragliding skills and psychology would compensate. This represents a sustained pattern of proceeding despite awareness of a known deficiency in training and progression, not a single-instance failure.</t>
  </si>
  <si>
    <t>The narrative states the jumper 'always cared about the quality of his videos' and suggests the camera angle and crowd angle may have been more important to him than the wind angle. This focus on filming likely diverted attention from proper deployment technique and wind management, contributing to the gentle/inadequate PC toss.</t>
  </si>
  <si>
    <t>The jumper was wearing a 'long camera mount' that provided a snag point for the bridle during the entanglement. Jumping with a protruding camera mount on a 60-meter slider-down jump in strong crosswind conditions created the physical mechanism by which the weak PC toss became a fatal entanglement rather than merely a hesitation.</t>
  </si>
  <si>
    <t>Strong crosswind blowing from the jumper's right to left actively carried the gently thrown PC across his body, directly enabling the bridle wrap. While the jumper's decision to jump in these conditions is a separate matter, the crosswind mechanically contributed to the entanglement by redirecting the inadequately thrown PC into the bridle/body/camera mount.</t>
  </si>
  <si>
    <t>The narrative states the jumper had been drinking at a bar earlier that evening before deciding to jump. Alcohol impairment degrades judgment and decision-making capacity, directly contributing to the decisions to attempt a BASE jump with skydiving gear and without adequate training or experience.</t>
  </si>
  <si>
    <t>The jumper had 147 skydives, below the accepted 200+ minimum prerequisite for beginning BASE jumping. This insufficient foundation contributed to his inability to recognize that skydiving equipment is fundamentally unsuitable for BASE applications.</t>
  </si>
  <si>
    <t>The jumper had only 1 prior BASE jump and no evidence of completing a first jump course or having competent mentorship. The narrative explicitly states he lacked the knowledge to understand the critical differences between skydiving and BASE gear and the hazards of the specific situation. Without BASE-specific training, he could not recognize that a skydiving canopy in slider-up configuration from a 14-story building was non-survivable.</t>
  </si>
  <si>
    <t>The jumper had only 5 BASE jumps, 60 skydives, and 1 BASE season. With 60 skydives he was far below the accepted minimum of 200+ skydives before beginning BASE, and with only 5 BASE jumps he had minimal experience with static line deployment procedures. This insufficient experience base directly contributed to the execution error in bridle routing or pilot chute handling during the static line deployment.</t>
  </si>
  <si>
    <t>The narrative states that under the first hypothesis, the jumper did not perform a final check of the static line routing before jumping, which would have caught the bridle passing in front of his right arm. Accepted practice for static line jumps explicitly requires that every jumper have a knowledgeable person verify they are clear of rigging before jumping by tracing the bridle by hand from shrivel flap to anchor. This omitted check would have detected and prevented the routing error.</t>
  </si>
  <si>
    <t>The narrative explicitly states 'in the rush before the jump' as a contributing factor to the jumper not performing a final check of the static line routing. This haste directly contributed to the execution error by causing the jumper to skip the verification step that would have caught the bridle misrouting.</t>
  </si>
  <si>
    <t>The jumper had only 50 skydives and 40 BASE jumps in 1 BASE season. With skydiving experience far below the accepted minimum of 200+ jumps before beginning BASE, and limited BASE experience, the jumper lacked the foundational knowledge and judgment to correctly evaluate the lee-side wind shadow as dangerous. This insufficient experience directly contributed to the flawed decision to jump in strong wind conditions that all experienced local jumpers recognized as unsuitable.</t>
  </si>
  <si>
    <t>The narrative states the jumpers had 'only a few days to be in that area,' indicating time pressure from a limited trip window contributed to the decision to jump despite strong winds. This external pressure drove them to relocate to a secondary exit and proceed rather than wait for suitable conditions, even after experienced local jumpers had all declined to jump that day.</t>
  </si>
  <si>
    <t>The jumper had only 10 BASE jumps and 1 BASE season. Instant off-heading correction via rear risers or brakes is a skill that requires extensive practice at forgiving objects (spans) to develop the muscle memory needed for reflexive response. With 10 jumps, the jumper had insufficient experience to have developed reliable off-heading correction skills, directly contributing to the failure to arrest the 180° turn before object strike.</t>
  </si>
  <si>
    <t>The jumper had only 3 wingsuit BASE jumps and was known to have recurring problems with wingsuit starts. Accepted progression norms require at least 100 wingsuit skydives and 100 BASE jumps before first wingsuit BASE, and extensive practice before attempting sites that do not tolerate poor exits. With 3 WS BASE jumps and acknowledged start deficiencies, his experience was clearly insufficient for the site attempted.</t>
  </si>
  <si>
    <t>With only 3 wingsuit BASE jumps and known problems with starts, the jumper lacked the skill and experience to recover from a poor wingsuit exit and transition to effective flight or timely deployment. The execution failure in the exit directly reflects insufficient wingsuit BASE experience.</t>
  </si>
  <si>
    <t>The jumper was aware of his problems with wingsuit starts and had been warned by others, yet he did not correct this deficiency before attempting a site that required competent exits. This sustained failure to address a known recurring performance issue directly enabled the poor exit that produced the fatal outcome.</t>
  </si>
  <si>
    <t>The narrative states Bryce had done 70-80 wingsuit BASE jumps in one month, was 'very confident and feeling great in his suit,' and 'got quickly bored in Lauterbrunnen and started to fly proximity.' Despite warnings from close friends about his 'bad habit of pulling low' and a prior consequence (water landing at Altissimo), he continued the practice. This pattern of escalating confidence overriding external feedback and personal experience directly enabled his decision to delay deployment initiation.</t>
  </si>
  <si>
    <t>On the morning of the accident, Bryce told his partner Gabe that he 'felt tired.' The investigation summary explicitly identifies that long BASE trips can be exhausting and lists physical/mental tiredness as a contributing factor. This fatigue may have degraded his judgment regarding deployment timing, contributing to his decision to initiate the pull sequence too late.</t>
  </si>
  <si>
    <t>Bryce had developed a recognized pattern of pulling low. He had already experienced a consequence (water landing after a low pull from Altissimo weeks earlier), and two close friends explicitly warned him about this habit the day before the fatal jump. Despite this awareness and feedback, he failed to correct the behavior, directly enabling the repeated decision to delay deployment initiation.</t>
  </si>
  <si>
    <t>The jumper had only 16 BASE jumps, 2 BASE seasons, and 144 skydives (below the accepted minimum of 200+ before beginning BASE). A slider-up cliff requiring a 10-second delay with mandatory tracking represents an advanced BASE task. The complete absence of freefall control and tracking — fundamental skills for slider-up cliff jumping — indicates experience and skill clearly insufficient for this task, directly contributing to the failure to track and maintain body control.</t>
  </si>
  <si>
    <t>With only 144 skydives, the jumper had not reached the generally accepted minimum of 200-250 skydives before beginning BASE jumping. Skydiving develops the core freefall body control and canopy piloting skills that are prerequisites for BASE. The inability to control body position or initiate tracking during a 10-second freefall reflects this foundational skill deficit.</t>
  </si>
  <si>
    <t>Another BASE jumper present that day reported conditions were extremely turbulent and noisy to fly in with a lot of sink and lift closer to the ground. Strong anabatic conditions were present at exit. These atmospheric disturbances (turbulence, sink, and lift) would have directly degraded the jumper's ability to build speed, maintain a stable flight path, and achieve adequate terrain separation during the critical start phase in a one-piece tracking suit, which has minimal margin compared to a wingsuit.</t>
  </si>
  <si>
    <t>The jumper had only 1 BASE season and 100 BASE jumps, and the narrative indicates 'No or little training' as a possible factor. Arranging a PCA from an unqualified non-jumper and disregarding advice on PC sizing reflect a knowledge gap about PCA requirements and equipment selection that accepted BASE training and mentorship would have addressed.</t>
  </si>
  <si>
    <t>The jumper failed to ensure a qualified person performed the PCA. Accepted practice requires a knowledgeable person to hold the bridle (not just the PC), maintain position, and release at the correct moment. Using a non-BASE-jumper without apparent training or briefing as the PCA assistant was a preparatory failure that directly enabled the early release and resulting malfunction.</t>
  </si>
  <si>
    <t>The witness explicitly states 'I have not known Jimmy to be a terrain flyer,' yet the selected exit point required immediate terrain flying from the start arc with zero margin for error. This indicates the jumper lacked the specific wingsuit terrain flying experience and skill set required for this object, which directly contributed to the decision to attempt a jump that demanded capabilities beyond his experience level.</t>
  </si>
  <si>
    <t>Despite being told explicitly by the witness that the start arc transitions directly to terrain flight, that even the experienced witness could not outfly the terrain beyond the minimum needed, and despite not being a terrain flyer himself, the jumper proceeded with the jump. The narrative indicates he believed he was 'current and ready' for his first wingsuit BASE jump in Moab, suggesting he unreasonably overestimated his ability to manage a zero-margin terrain flight that exceeded his demonstrated skill set.</t>
  </si>
  <si>
    <t>After clipping the ledge and being sent into violent unstable rotation, the narrative states Thomas was 'probably disoriented or in shock' during the 6 seconds before wall impact. The violent physical impact with the ledge and resulting tumble likely triggered a startle/freeze response or spatial disorientation that prevented him from initiating deployment despite available time.</t>
  </si>
  <si>
    <t>The jump occurred at 08:50, before significant solar heating could generate anabatic updraft on the cliff face. A fellow jumper who jumped at 07:50 the same morning reported being closer to the wall than usual. The absence of the lift normally present during later conditions reduced the vertical and horizontal separation margin, directly contributing to Thomas clipping the ledge by only 20cm despite an otherwise corrected track.</t>
  </si>
  <si>
    <t>The narrative explicitly states the jumper 'had a passion for beautiful flying lines and was always chasing novelty: he rarely jumped the same exit or flew the same line several times' and that 'his lines were committed, which he was totally aware of.' This enduring behavioral pattern of seeking novel, committed lines directly contributed to the decision to fly a deeper, lower, unfamiliar variation on this jump, reducing his margin and eliminating outs.</t>
  </si>
  <si>
    <t>The jumper failed to perform a final gear check that would have detected the bridle routed around his leg before exiting. The witness describes that he himself nearly made the identical error and caught it only by chance (a bird landing drew his eyes to his crotch area), indicating that a deliberate trace of the bridle from shrivel flap to anchor — which accepted static-line practice requires — was not performed or was inadequate. A proper pre-exit bridle check would have caught and corrected the misrouting.</t>
  </si>
  <si>
    <t>The jumper had only 100 skydives (well below the accepted minimum of 200+) and approximately 50 BASE jumps across 2 seasons. This was described as only his second slider-down stowed deployment from a cliff. The domain reference establishes that slider-down cliff jumping requires refined exit and deployment skills developed through extensive progression. His limited experience directly relates to the insufficient exit push and immediate pull that failed to generate adequate object separation.</t>
  </si>
  <si>
    <t>The jumper's mentor explicitly identified complacency as a contributing factor, attributing it to the jumper's positive personality traits and confidence from paragliding experience that led to reduced vigilance about execution quality. This complacency contributed to the insufficient exit push and immediate deployment without adequate separation from the cliff.</t>
  </si>
  <si>
    <t>The narrative explicitly states the jumper had 'a winter without jumping,' indicating an extended period without BASE activity before this fatal jump. This lack of currency would have degraded the motor skills and timing needed for a quality exit push and proper deployment sequence from a slider-down cliff, directly contributing to the execution errors identified in L1.</t>
  </si>
  <si>
    <t>The mentor's report states the cliff was 'not really a cliff for slider down' — at 500m and slightly overhanging with extensive cliff below, the site characteristics combined with a slider-down configuration (which produces rapid openings with less time for heading correction) created conditions where the insufficient exit push became fatal. A slider-up configuration with delay and tracking would have provided greater object separation.</t>
  </si>
  <si>
    <t>A close friend stated the jumper 'wasn't very good at flying' the tracking suit and experienced 'significant rolling and pitching movements,' indicating he had not developed the skill level required for proximity flight. He had been warned on multiple occasions that he was pushing beyond his skill level, confirming his capability was insufficient for the task attempted.</t>
  </si>
  <si>
    <t>The jumper was 'pushing a lot in the last period before the accident' despite being told on more than one occasion that he had not yet developed the right skills. This pattern of disregarding repeated warnings from peers indicates an overestimation of his own capability that drove the decision to fly a proximity line beyond his ability.</t>
  </si>
  <si>
    <t>The jumper was aware of recurring instability issues (significant rolling and pitching) in his tracking suit and had been warned multiple times about pushing beyond his skill level, yet he continued to attempt proximity lines without correcting the underlying performance deficiency.</t>
  </si>
  <si>
    <t>The jumper experienced a very head-low exit from the same object the day prior and was aware of the problem, yet returned the next day without correcting the underlying technique issue. His comment about having enough separation to do an emergency front flip and still clear the ledge indicates he recognized the head-low tendency but rationalized it rather than addressing it.</t>
  </si>
  <si>
    <t>The narrative explicitly describes hitting 'a wall of lift' when crossing the ridge onto the sun-exposed south side, flying in 'turbulent air and probably a bit slower than expected,' and the witness observing Chris 'struggling a bit.' These thermal conditions mechanically degraded flight performance—reducing speed and available lift—which directly contributed to the jumper being unable to execute his intended line or maintain adequate margin when he committed to the right turn into terrain.</t>
  </si>
  <si>
    <t>Personality Style</t>
  </si>
  <si>
    <t>Friends explicitly described Jonny as having 'a tendency to go all out and fly right at the limit,' indicating an enduring behavioral pattern of pushing margins. This stable pattern directly contributed to the decision to fly closer to terrain than on previous occasions on a technical line with multiple sharp turns.</t>
  </si>
  <si>
    <t>The companion reported that katabatic wind over the glacier produced sinking air that pushed them toward the ground, particularly noticeable at the end of the glacier where the impact occurred. This atmospheric condition mechanically degraded the jumper's available lift and effective glide, directly contributing to the inability to maintain terrain clearance despite the chosen flight path.</t>
  </si>
  <si>
    <t>Multiple close friends and the companion explicitly stated that the jumper habitually flew close to terrain despite his low experience level (80 BASE jumps, 3 seasons) and was told on numerous occasions to slow down. This pattern of repeatedly disregarding warnings from experienced peers indicates the jumper systematically overestimated his ability to manage proximity flying relative to his actual skill and experience level.</t>
  </si>
  <si>
    <t>The jumper was warned on numerous occasions by multiple close friends and his companion to stop flying close to terrain given his experience level. Despite this sustained feedback over time, he failed to correct the behavior, representing a pattern of inaction in the face of known deficiency that directly enabled the fatal proximity flying decision.</t>
  </si>
  <si>
    <t>With only 80 BASE jumps across 3 seasons and no reported wingsuit BASE jump count, the jumper was flying proximity terrain lines that his peers explicitly identified as beyond his experience level. Accepted progression norms require extensive wingsuit BASE experience before proximity terrain flying, and the narrative confirms multiple experienced jumpers assessed his experience as insufficient for the flying he was attempting.</t>
  </si>
  <si>
    <t>The narrative explicitly states 'He use to have head low exits,' indicating a known, recurring performance deficiency. The jumper's failure to correct this pattern over time directly contributed to the fatal exit execution error.</t>
  </si>
  <si>
    <t>The jumper's partner explicitly noted he 'only ever jumps his wingsuit' at cliff objects, and she told him performing a gainer was 'a stupid idea' for that reason. The domain reference states aerials require extensive training, careful planning, instruction, supervision, and a forgiving object. Performing a gainer from a slider-up cliff without established competence in slick aerial exits represents insufficient training for the specific task attempted, directly contributing to the over-rotation and instability.</t>
  </si>
  <si>
    <t>The jumper's helmet was equipped with an Insta360 camera on a unicorn extension mount with a protruding 6cm bolt. After the gainer-induced 180-degree off-heading opening, the front left riser swoop loop snagged on this bolt, converting a survivable object strike sequence into a sustained, unrecoverable entanglement against the wall. While the camera mount did not cause the gainer decision, the failure to identify and mitigate this specific snag hazard in pre-jump preparation directly amplified the consequences of the L1 error.</t>
  </si>
  <si>
    <t>The exit point was located in a shaded couloir at that time of day, which the narrative explicitly states 'made it really difficult to see the details of the landscape.' This degraded visual condition directly impaired the jumper's ability to assess the terrain from the new exit point, preventing detection of the ledge on the flight trajectory and contributing to the inadequate assessment underlying the decision error.</t>
  </si>
  <si>
    <t>The sub-terminal flight occurred in a shaded couloir where hidden terrain details only became visible once in flight. The jumper's inability to perceive the immediate aerodynamic effect of his control inputs at sub-terminal speed—reinforcing an input that would become excessive as airspeed built—reflects a perceptual mismatch between control input magnitude and changing flight dynamics in visually degraded conditions where terrain references were unreliable.</t>
  </si>
  <si>
    <t>The narrative explicitly states the exit is 'very uncomfortable and difficult to stand there if you climb over the rail.' This degraded exit surface condition directly impaired the jumper's ability to execute a clean exit, contributing to the foot snag on the rail and resulting head-low over-rotation.</t>
  </si>
  <si>
    <t>The narrative states the hand-mounted camera 'may have distracted him or cost him some time in terms of reaction and correcting the off heading.' While stated as a possibility, a hand-mounted camera is a plausible source of channelized attention or distraction that could have delayed the heading correction after the 130-degree off-heading opening.</t>
  </si>
  <si>
    <t>The jumper had only 25 BASE jumps and 1 BASE season. While he had 800 skydives, 25 BASE jumps represents very early progression. The exit required managing an uncomfortable stance and clearing a rail — a technically demanding exit that a jumper with limited BASE experience would be less equipped to execute cleanly. The poor exit technique (sideways stance, foot catch) and failure to correct a 130-degree off-heading on a static line cliff jump are consistent with insufficient BASE experience for this object.</t>
  </si>
  <si>
    <t>The jumper had only 50 skydives and 1 BASE season with 100 BASE jumps. The domain reference states the accepted minimum is 200-250 skydives before beginning BASE, and that aerials 'exponentially increase danger' requiring 'extensive training,' 'careful planning, instruction, supervision, and a forgiving object.' With only 50 skydives, the jumper lacked the foundational freefall body control and spatial awareness needed for aerobatic BASE exits, directly contributing to the over-rotation and inability to manage the deployment sequence.</t>
  </si>
  <si>
    <t>After the pin popped and the container was re-closed, accepted practice requires checking the bridle routing all the way from PC to canopy attachment points. The jumper did not perform this verification, which would have detected the mis-routed bridle before the jump.</t>
  </si>
  <si>
    <t>The narrative states 'we can only assume she didn't know about this malfunction,' indicating the jumper likely lacked knowledge of how re-closing a popped pin can create a bridle misrouting pin lock. This specific knowledge gap about the pin lock failure mode from improper bridle routing during reclose directly contributed to the rigging error.</t>
  </si>
  <si>
    <t>The canopy opened 90° off-heading to the right while the jumper's body had been turning left, and the added inertia of heavy ski boots and skis caused a violent body rotation back to the right. This sudden, forceful physical disruption likely overwhelmed the jumper's ability to execute the correct toggle inputs, resulting in releasing only the left toggle instead of performing a proper heading correction.</t>
  </si>
  <si>
    <t>The narrative indicates ski-BASE was a dream the jumper was fulfilling, suggesting limited or no prior ski-BASE experience. The added mass of ski boots and skis fundamentally altered opening dynamics, producing a violent body rotation that a jumper experienced in standard BASE but not in ski-BASE would not have anticipated or trained to manage. This inexperience with the discipline-specific forces directly contributed to the failed heading correction.</t>
  </si>
  <si>
    <t>The narrative explicitly states this was the jumper's first jump after 3 years of not jumping. This extended period without jumping likely degraded his situational awareness, physical coordination, and judgment regarding terrain hazards while scouting the unstable exit area, contributing to the fall.</t>
  </si>
  <si>
    <t>The jump occurred at night (23:45). Darkness would have directly impaired the jumper's ability to visually locate the BOC pilot chute handle, contributing to the failure to extract and deploy the pilot chute.</t>
  </si>
  <si>
    <t>The jumper appears to have fixated on recovering his wingsuit flight path during the oscillating corrections, channeling attention on regaining forward flight to the exclusion of monitoring altitude and terrain proximity. The narrative states there was sufficient time for an emergency pull but he likely 'felt he could out fly the terrain,' indicating his attention was locked on the flight problem rather than shifting to deployment as a survival action.</t>
  </si>
  <si>
    <t>The narrative explicitly states that the jumper 'often separated late from the terrain' and that 'the altitude that he gained from the flare was often needed to get a good pull altitude.' This is a sustained pattern of flying with minimal margin, relying on flare performance for adequate deployment altitude, representing a normalization of deviance that directly enabled the fatal decision to continue flying low with insufficient energy on this jump.</t>
  </si>
  <si>
    <t>The narrative notes the jumper did not have his Flysight (GPS) on this flight. The Flysight provides audible altitude and speed feedback during wingsuit flight. Its absence removed a tool that could have alerted him to his low altitude and reduced speed state, contributing to his failure to recognize the insufficient margin before initiating the flare at approximately 80m or lower.</t>
  </si>
  <si>
    <t>Witnesses and video analysis indicate the jumper fixated on the far flight line after initiating the aggressive right turn, failing to monitor the close terrain (pillar) during the maneuver. He showed no corrective action before impact, consistent with attention channelized on distant reference points to the exclusion of proximate obstacle awareness.</t>
  </si>
  <si>
    <t>The narrative describes headwind gusts, high temperature producing thermals, and shade on the wall creating differential heating — conditions that actively degraded the wingsuit's aerodynamic performance. The witness reports the jumper was 'sinking a bit after the 4th second,' experienced 'not much power from the 4th to 9th second,' and 'a bit turbulent flight due to the stronger wind at mid-flight.' These atmospheric conditions (anabatic flow, headwind, turbulence) mechanically reduced the jumper's effective glide ratio and available lift below what was needed to clear terrain, directly contributing to the insufficient margin that characterized the L1 decision error.</t>
  </si>
  <si>
    <t>The jumper tracked past and below his partner without apparent awareness that deployment was overdue, even as his partner had already opened. The multi-way tracking format and the slight convergence toward his partner's side may have channelized his attention on the track itself or on maintaining separation, to the exclusion of monitoring altitude. The approximately one-second hesitation with his hand on the pilot chute further suggests he was not monitoring altitude throughout the track and recognized the situation late.</t>
  </si>
  <si>
    <t>On the accident day there was no wind at the exit and hot thermals were producing, compared to the prior day's 5-10 mph quartering headwind and significant lift on the face. The first jumper reported being noticeably lower than the day before under the same conditions. The absence of the headwind component and anabatic lift that had been present the previous day mechanically reduced the jumper's effective glide performance and available lift over the ridge, directly contributing to the fatal terrain impact.</t>
  </si>
  <si>
    <t>Thor had experienced a series of bad exits in his Alpine 3 wingsuit in the weeks prior and was aware of the problem, explicitly stating he wanted to stop jumping the suit and was waiting for a new one. Despite this known recurring deficiency, he continued jumping the same suit from a technical exit rather than correcting the problem first.</t>
  </si>
  <si>
    <t>The narrative describes Thor declaring 'I have to fix my exits!' before proceeding to jump solo from a technical exit point, despite acknowledging problems with the suit and having a series of bad launches. This suggests a pressure or motivation to resolve the issue by jumping through it rather than stepping back to a more forgiving environment, which directly contributed to the unstable exit.</t>
  </si>
  <si>
    <t>The jump was briefed as a two-way with the second jumper performing a gainer above Jorge, who jumped first with a short delay. This plan placed an aerial-performing jumper directly above a jumper who would be under canopy shortly after exit, with insufficient vertical/horizontal separation to protect against the foreseeable consequence of a delayed deployment during the aerial. The briefing and jump order created the conditions that made the bridle entanglement fatal to Jorge.</t>
  </si>
  <si>
    <t>The narrative states Nathan 'seemed to be in a rush' while gearing up, which is consistent with haste contributing to the bridle misrouting. Rushing through rigging procedures reduces the deliberate attention needed to correctly route the bridle, directly enabling the skill-based execution error.</t>
  </si>
  <si>
    <t>Nathan's companion was not a BASE jumper and could not have noticed the misrouted bridle. For a TARD/static line deployment, accepted practice requires a knowledgeable person to verify the jumper is clear of rigging before jumping. The absence of a qualified gear check meant the misrouting went undetected.</t>
  </si>
  <si>
    <t>The narrative explicitly states Nathan had a 'habit of gearing up with the bridle outside of the BOC,' which created recurring exposure to misrouting risk. This habitual practice over multiple jumps was a known deficiency that was never corrected and directly enabled the fatal misrouting on this occasion.</t>
  </si>
  <si>
    <t>Rear camera footage shows very little input was made to avoid the cliff. The narrator states 'I can only think she possibly froze or just didn't react quick enough.' This suggests a startle response or freeze reaction upon experiencing the off-heading opening facing the wall, which prevented her from executing the heading correction skills she had recently been practicing.</t>
  </si>
  <si>
    <t>With approximately 100 BASE jumps and only one prior jump from this specific cliff (5 years earlier), the jumper was attempting a slider-up terminal cliff jump. Her previous jump from Brento involved only a sub-5-second delay with a slow slider, and she herself recognized she needed more airspeed for better separation. The combination of limited cliff experience and the demands of a terminal slider-up cliff with mandatory tracking contributed to her inability to execute an effective off-heading correction under pressure.</t>
  </si>
  <si>
    <t>The video analyst states 'it honestly looked like he got object fixated, once his body was heading towards the rock, and he just froze. There was not any attempt at pitching at all.' This describes a freeze response — a temporary inability to act in the face of rapidly approaching terrain — that directly prevented Kenn from executing any deployment attempt.</t>
  </si>
  <si>
    <t>The narrator states Kenn 'looked extremely tired from the long climb/hike to the exit' and that it was 'one of the first hot days this season' compounding the fatigue. Physical exhaustion from the approach in heat would have degraded his cognitive and physical capacity, plausibly contributing to his failure to initiate deployment or respond to the developing situation.</t>
  </si>
  <si>
    <t>The narrator explicitly references 'a long hiatus' and states that 'being uncurrent can have a huge impact on decision making.' While exact duration is not specified, the narrative treats his lack of currency as a significant contributing factor, and the narrator — his only BASE contact — had no idea of his current state. Lack of currency would degrade the practiced, automatic deployment responses needed in a wingsuit BASE environment.</t>
  </si>
  <si>
    <t>Kenn used a Velcro container for a slider-up wingsuit BASE jump. The domain reference explicitly states Velcro rigs are 'contraindicated for terminal, wingsuit, and aerobatic jumps due to risk of premature opening at high airspeeds' and should 'only be used for low-airspeed slider-down applications.' While the fatal outcome was failure to deploy rather than premature opening, this configuration choice reflects a fundamental preparation failure. The possible factor 'unable to locate pilot chute' suggests the equipment configuration may have contributed to his inability to deploy.</t>
  </si>
  <si>
    <t>The jumper was expecting to jump that day and had hiked since 5am with that intention. When the planned site did not materialize and a marginal alternative was found, he was 'very fast to gear up' and 'suddenly appeared over my shoulder on exit ready to jump,' bypassing the planned sequence where another instructor was gearing up to go first. The narrative explicitly identifies that 'expectations did not meet reality for the day, and B. was expecting to jump,' indicating a commitment to jumping that drove his decision to proceed despite the site exceeding his demonstrated ability.</t>
  </si>
  <si>
    <t>The narrative states the jumper 'chose to jump into a situation he hoped he would perform perfectly, without enough repetition and consistency' and that 'experience or confidence gained over 10 years ago should not equate to modern wingsuit jumps.' Despite having 1500 BASE jumps and 200 WS BASE jumps, his exits throughout the course had not been consistent. He overestimated his ability to execute at this unforgiving site, insisting he was ready when the instructors had not cleared him as one of the few students suitable for this exit.</t>
  </si>
  <si>
    <t>Despite 20 BASE seasons and 200 WS BASE jumps on paper, the jumper's exits throughout the multi-day course 'had not been great but manageable' with only 'moderate improvement' despite instructor intervention. The narrative explicitly states that 'experience or confidence gained over 10 years ago should not equate to modern wingsuit jumps,' indicating his current wingsuit exit proficiency was insufficient for the task. This degraded execution capability directly produced the unstable exit and failed recovery.</t>
  </si>
  <si>
    <t>The jumper geared up rapidly and appeared at the exit ready to jump while an instructor was still gearing up to go first. He insisted he was ready, bypassing the coordinated sequence that would have provided him additional information about the site's demands. This failure in coordination contributed to his decision to jump a site that exceeded his demonstrated ability.</t>
  </si>
  <si>
    <t>With 425 BASE jumps compressed into a single season, the jumper's progression was extremely rapid. The domain reference establishes that time in the sport is as important as jump numbers and that rushed progression is a recognized risk factor. The 6-second tumble without recovery to a tracking position from a slider-up cliff indicates that the body control and recovery skills required for cliff jumping had not matured sufficiently despite high jump numbers, consistent with skills that require time and varied experience to consolidate.</t>
  </si>
  <si>
    <t>The jumper had no identified connection to skydiving or BASE jumping, no USPA membership, and no apparent training or experience of any kind. He lacked all foundational skills—skydiving proficiency, first jump course, mentorship—required to rig, pack, and deploy BASE equipment. This complete absence of training directly enabled the misrigging that caused the fatal malfunction.</t>
  </si>
  <si>
    <t>The jumper's close friend confirmed they had discussed his problems with head-low exits and slow flying speed for many months. Rather than addressing the root cause through training, he attempted to compensate by purchasing a C-Base wingsuit. This persistent failure to correct a known, recurring performance deficiency directly contributed to the poor exit and slow flight that led to the fatal impact.</t>
  </si>
  <si>
    <t>The jumper chose to lead five other jumpers on a demanding proximity line despite chronic, well-documented problems with exit technique and flight speed. His willingness to go first and guide others on terrain where even skilled pilots in higher-performance suits found little margin indicates he unreasonably overestimated his ability to manage this specific line given his known deficiencies.</t>
  </si>
  <si>
    <t>The jumper had a documented chronic inability to achieve adequate speed and proper exits in wingsuit BASE, as confirmed by his closest jumping partner. His friend explicitly stated he needed to 'fix your problems with training and not just changing a suit,' indicating his skill level was insufficient for the demanding proximity flying he was attempting. This skill deficit directly produced the poor exit and slow flight that caused the fatal impact.</t>
  </si>
  <si>
    <t>The jumper had only 2 BASE seasons and this was his first wingsuit jump from this exit point. His prior experience at this site was limited to two jumps with a less performant Onesie suit on a different, less technical line. Flying a technical proximity line requiring precise altitude management through a gate and into a steep trench demands site-specific wingsuit experience that he did not possess, directly contributing to his selection of an unsuitable line.</t>
  </si>
  <si>
    <t>The narrative states the jumper was 'probably too much focused on reaching the second landing area of the jump' and 'lacked complete awareness of the safety altitude.' This channelized attention on the distant landing goal degraded his monitoring of altitude and terrain clearance, directly contributing to his failure to deploy at a survivable altitude.</t>
  </si>
  <si>
    <t>The jumper had approximately 200 BASE jumps and 100 wingsuit skydives, with wingsuit BASE jump count not reported. The narrative explicitly states he 'didn't have yet the experience to assess the speed range of the suit, nor to realize he was flying too close to the stall point.' This specific knowledge and skill gap — inability to recognize and manage the suit's speed envelope — directly contributed to his flying too slowly near stall. Per accepted progression norms, a wingsuit BASE jumper must have full command of the suit's speed range, which requires extensive experience with the specific suit; the narrative positively establishes this experience was lacking.</t>
  </si>
  <si>
    <t>The jumper had only 25 BASE jumps and 1 BASE season. The aggressive 270-degree low-altitude turn demonstrates a lack of canopy piloting judgment specific to BASE environments — managing a canopy surge after DBS toggle release and executing appropriate corrections in the extremely limited altitude available from a bridge jump. With only 25 BASE jumps, the jumper had insufficient experience to have developed the canopy handling skills and altitude awareness needed to recognize and arrest an escalating low-altitude turn before it became unrecoverable.</t>
  </si>
  <si>
    <t>The jumper had not studied any previous videos, Google Earth, or other tools before his first jump, and was on only his second jump at this site. After making the right turn, he was 'pretty blind to what was coming next' — he did not know the terrain geometry beyond the second ridge. This lack of terrain awareness meant he could not accurately perceive his position relative to the terrain during flight, directly contributing to his committed line into unseen terrain.</t>
  </si>
  <si>
    <t>The jumper failed to study any videos, Google Earth imagery, or other planning tools before jumping the site. Accepted practice for wingsuit BASE requires intimate knowledge of the entire flight line from exit to landing, including reconnaissance on foot or via other means. This failure to perform basic site reconnaissance directly enabled the decision to fly a committed proximity line into terrain he had not verified.</t>
  </si>
  <si>
    <t>With approximately 20 wingsuit BASE jumps, the jumper attempted a flat, highly committed proximity line requiring precise terrain knowledge and energy management at an unfamiliar site. Accepted progression norms require extensive wingsuit BASE experience before flying near terrain, with gradual progression over many sessions at known sites. Twenty wingsuit BASE jumps is clearly insufficient for committed proximity flying, and this experience deficit directly contributed to his inability to manage speed, glide, and terrain clearance.</t>
  </si>
  <si>
    <t>Philippe had approximately 90 BASE jumps over 4 years, almost all slider-down and slick, before attempting wingsuit BASE with a Freak suit. Accepted progression norms require at least 100 BASE jumps with a long record of perfect exits and comfort with sub-terminal tracking before first wingsuit BASE. His BASE experience was overwhelmingly in a fundamentally different discipline (slider-down slick) that does not develop the skills required for wingsuit deployment, including reliable BOC location at speed in a wingsuit.</t>
  </si>
  <si>
    <t>Philippe had approximately 40 wingsuit BASE flights before attempting Magland, which the narrative describes as 'much more technical than what he was used to' — shorter, more positive terrain, with civilization directly below. This was only his second flight from this exit. The combination of very limited wingsuit BASE experience and an unfamiliar, more demanding site contributed to his inability to execute the deployment sequence under pressure.</t>
  </si>
  <si>
    <t>The narrative states Philippe 'most likely didn't find his pilote chute, panicked, never found it.' The initial failure to locate the BOC handle appears to have triggered a panic response that prevented him from recovering and completing the deployment sequence through alternative attempts, contributing directly to the mis-pull.</t>
  </si>
  <si>
    <t>Magland's more technical and visually demanding environment — shorter, more positive terrain with civilization directly below — combined with Philippe's limited wingsuit BASE experience at this site likely increased cognitive demands during the deployment phase. The unfamiliar visual environment and terrain proximity may have saturated his capacity to execute the BOC reach while managing flight and altitude awareness.</t>
  </si>
  <si>
    <t>Jonathan had only 1 BASE season and 160 BASE jumps. The narrative explicitly states he 'would have benefited from more experience before attempting this flight to inform the intuition needed for making such a quick judgement call off exit.' This exit required site-specific intuition for rapid ridge-crossover-or-deploy decisions that develops through accumulated wingsuit BASE experience at demanding terrain sites, which he had not yet built.</t>
  </si>
  <si>
    <t>The narrative reports medium winds and rain at the time of the jump. Rain and wet conditions can degrade tracking performance by affecting body position stability and suit aerodynamics. The jumper had been waiting two days of rain to jump, and the witnesses noted conditions were wet, which may have contributed to degraded tracking execution.</t>
  </si>
  <si>
    <t>The narrative states the jumper 'was used to jumping a gainer with his wingsuit' in the previous days, indicating a pattern of performing aerials from this exit. Aerials with wingsuits are explicitly identified as exponentially dangerous due to bridle entanglement risk, loss of altitude awareness, and instability. The repeated practice of this high-risk maneuver without apparent corrective action after normalizing it represents a failure to correct a known deficiency — the inherent control recovery challenge of combining aerials with wingsuit flight.</t>
  </si>
  <si>
    <t>The FlySight data shows constant and progressive speed loss from the first moment, yet the narrative states Nacho 'should not have noticed' this degradation and continued the complex line. His failure to perceive the deteriorating airspeed — the critical cue that should have triggered an abort — directly enabled the decision to continue the complex line rather than redirecting to the simpler channel exit.</t>
  </si>
  <si>
    <t>The narrative explicitly identifies fatigue from the 4-hour, 1300m+ winter alpine approach with full climbing equipment (ice axe, crampons, harness, ropes) through abundant snow in poor conditions as an intrinsic factor. This physical exertion likely degraded cognitive and physical performance, contributing to reduced situational awareness and the failure to recognize the poor start and progressive speed loss that should have prompted an abort.</t>
  </si>
  <si>
    <t>The narrative identifies strong backwind (katabatic airflow) as a factor that caused descent and further height loss on the recovery arc. All three jumpers who jumped that day had poor start numbers, attributed to the backwind. This environmental condition mechanically degraded the wingsuit's flight performance by reducing effective airspeed and glide, directly contributing to the progressive speed loss that made the complex line unviable and should have triggered the abort decision.</t>
  </si>
  <si>
    <t>The jumper was most likely rendered unconscious upon striking the ledge approximately 30 meters below the exit after the sled struck the protruding rock. The witness observed the jumper's head resting against his chest with no effort to correct instability or deploy his parachute, indicating loss of consciousness that prevented any recovery action. While this incapacitation was a consequence of the exit failure rather than a pre-existing condition, it is the physiological state that made the L1 error fatal by eliminating any possibility of corrective action.</t>
  </si>
  <si>
    <t>The jumper performed a TARD from a cliff exit he had not done a TARD from before, and the narrative notes the cliff was 'not a very friendly one for TARDs.' This unfamiliar and suboptimal deployment method from this specific exit created conditions that contributed to the immediate 180° off-heading opening, which the jumper then failed to correct.</t>
  </si>
  <si>
    <t>The jumper had set a goal of 365 BASE jumps in the year, had fallen behind, and was trying to catch up by doing multiple jumps per day. The narrative describes him appearing 'a little rushed' during preparation and 'nervous on exit,' exiting 'quietly and without a count.' This self-imposed pressure and resulting haste degraded his preparation and exit quality, contributing to the conditions that produced the off-heading and his failure to respond.</t>
  </si>
  <si>
    <t>The narrative states Fabrice exited from a point ~100m northeast of the known 'classic' exit, and investigators could not determine whether he was trying to open a new exit or mistakenly believed he was at the classic exit. The possibility that he misidentified his position on the mountain directly explains why he jumped from a non-jumpable cliff profile without adequate assessment.</t>
  </si>
  <si>
    <t>The narrative states 'we suppose he didn't really measure the place' — Fabrice jumped from a cliff profile that post-accident measurements confirmed was non-jumpable, indicating he failed to adequately assess the terrain profile before committing to the exit. He had visited the area twice before without his rig but apparently did not verify the specific exit point's jumpability on this occasion.</t>
  </si>
  <si>
    <t>The narrative explicitly states Fabrice 'was not current on opening exits' — evaluating and opening new or unfamiliar exit points is a specific skill requiring recent practice. This lack of currency directly contributed to his failure to recognize that the cliff profile was non-jumpable before committing to the jump.</t>
  </si>
  <si>
    <t>The jumper was flying a new LD5 container he had never jumped before, which had a different BOC placement than his previous Zack rig. Accepted practice requires thorough familiarization with new equipment before use in demanding applications. The witness confirmed that the LD5's BOC was difficult to reach if body position wasn't 100% correct, and the jumper had not adequately prepared for this difference, directly enabling the failed PC extraction.</t>
  </si>
  <si>
    <t>The narrative explicitly states the jumper was 'not very current at the moment' because that year he had been focusing on a paragliding course rather than BASE jumping. Reduced currency would degrade the fine motor skills and muscle memory needed for a smooth PC extraction, particularly when adapting to unfamiliar equipment, directly contributing to the failed pull attempt.</t>
  </si>
  <si>
    <t>After spending 7 seconds fighting line twists following a 360-degree twist on opening, the jumper cleared the twists but then made zero control inputs for the remaining 8-9 seconds before cliff impact. This complete absence of any corrective action despite having a flyable canopy and time available is consistent with a freeze response — a temporary inability to act following the stress of the line twist emergency and the realization of proximity to the wall.</t>
  </si>
  <si>
    <t>Derrick had only 12 skydives, never graduated from AFF, and was banned from his DZ. The accepted minimum before beginning BASE is 200-250 skydives. This profound lack of foundational training left him without the knowledge and judgment framework needed to evaluate object suitability.</t>
  </si>
  <si>
    <t>Derrick had no mentor, no first jump course, and taught himself BASE jumping entirely on his own. He had 'huge gaps in his theoretical knowledge and skills that he seemed oblivious to,' including inability to assess object suitability. He took a packing class only one week before death and lied about his skydiving experience to the instructors.</t>
  </si>
  <si>
    <t>With only 12 skydives and no AFF graduation, Derrick lacked the foundational freefall and deployment skills that skydiving training develops. On a 195ft antenna requiring precise BOC deployment timing with minimal margin, this absence of basic deployment proficiency directly contributed to the late extraction.</t>
  </si>
  <si>
    <t>Without formal BASE training or mentorship, Derrick had not developed proper deployment technique for packed BOC deployments from low objects. He had exclusively performed unpacked rollover jumps and only took a packing class one week prior. The narrative indicates he did not know how to pack a parachute, suggesting this may have been among his first packed BOC deployments.</t>
  </si>
  <si>
    <t>Despite 12 skydives, no AFF graduation, no BASE training, being banned from his DZ, multiple mishaps including a cliff strike one month prior, and repeated warnings from skydivers, BASE jumpers, and community members online, Derrick continued jumping increasingly dangerous objects solo. He told his AFF instructor he was 'fully aware of the risks,' demonstrating a persistent and unreasonable overestimation of his ability that far exceeded what any reasonable jumper would exhibit.</t>
  </si>
  <si>
    <t>Derrick had been repeatedly warned by multiple community members, AFF instructors, and online contacts that he needed to stop BASE jumping and get proper training. He had experienced multiple mishaps including a cliff strike at Bixby Bridge one month before death and a dangerous low turn under canopy at the DZ. Despite awareness of these deficiencies through direct feedback and personal near-misses, he continued jumping progressively more dangerous objects without corrective action.</t>
  </si>
  <si>
    <t>The grass section of the mountain was still shaded at the time of the jump, creating cold, sinky air conditions on that side of the ridge. This atmospheric condition directly degraded the jumper's glide performance and available lift as he came around the corkscrew maneuver, contributing to his inability to maintain adequate separation from terrain.</t>
  </si>
  <si>
    <t>The narrative explicitly states Marta had not jumped her wingsuit for about three months due to an ankle injury. While she made some wingsuit skydives the week before, a three-month gap in wingsuit BASE jumping represents a significant currency deficit for a discipline where precise motor patterns degrade without regular practice. This reduced currency directly relates to the head-low exit and failure to recover stable flight, a skill-based error in execution.</t>
  </si>
  <si>
    <t>James experienced a mis-pull the day before the fatal jump and discussed it with peers, acknowledging the need to return to skydiving to perfect the deployment technique associated with his new flare method. Despite this awareness of a known deficiency, he continued competing without correcting the problem, and the same failure mode recurred fatally.</t>
  </si>
  <si>
    <t>The narrator states that Logan appeared to be 'already in go mode' when positioning on his exit platform, 'exiting without gauging what the wind was doing in the moment.' This indicates a failure to maintain situational awareness of the immediate wind conditions at the critical moment of exit, directly contributing to his choice of exit position and timing.</t>
  </si>
  <si>
    <t>The jumper had only 1 prior wingsuit BASE jump. Wingsuit BASE accepted progression norms require at least 100 wingsuit skydives and 100 regular BASE jumps before a first wingsuit BASE jump, with many subsequent jumps needed to develop proficiency. With only 2 BASE seasons and 1 prior WS BASE jump, the jumper lacked the experience to manage wingsuit flight near terrain, directly contributing to the loss of control and stall.</t>
  </si>
  <si>
    <t>The narrative explicitly states Busto's exits were known to be inconsistent, and on at least two occasions earlier in the season he was recommended to remain at Brento to work on exits rather than participate in other jumps. The notes further state he was 'jumping beyond personal capability' at a technical exit where 'a poor launch was simply not survivable.' This established pattern of insufficient exit proficiency directly contributed to the unstable exit.</t>
  </si>
  <si>
    <t>Busto was aware of his inconsistent exits through direct feedback from peers who recommended he stay at Brento to work on exits on at least two occasions earlier in the season. Despite this recurring feedback, he proceeded to a technical cliff exit requiring consistent performance rather than continuing remedial practice at a more forgiving object.</t>
  </si>
  <si>
    <t>The jumper's intent was to film his buddy during the two-way wingsuit flight. The possible factors explicitly list 'Focusing on filming' and 'Altitude awareness,' indicating that attention directed toward the filming task diverted focus from altitude monitoring and timely deployment preparation, contributing to the failure to locate the pilot chute.</t>
  </si>
  <si>
    <t>The jump occurred well after sunset in dark conditions. Reduced visibility would have impaired Sergey's ability to perceive his proximity to the cliff face and assess his separation during freefall and deployment, directly degrading his ability to execute adequate forward separation.</t>
  </si>
  <si>
    <t>Sergey had experienced a serious accident at High Ultimate in 2023 involving aerials and a 180 off-heading resulting in severe injuries. He had expressed a strong desire to return for 'redemption,' and reports indicate he was progressively getting into 'sendy mode' during the trip. This motivation plausibly drove his decision to attempt a late solo night jump from the same object where he had previously been seriously injured performing aerials.</t>
  </si>
  <si>
    <t>Sergey's tracking skills were documented as below average, with a very shallow, almost positive angle of attack resulting in poor forward separation performance. This skill deficiency directly contributed to his inability to achieve adequate object clearance on a slider-up cliff that requires effective tracking for safe separation.</t>
  </si>
  <si>
    <t>The jump took place well after sunset with limited natural light. Even with a 75% moon, conditions were quite dark. These conditions directly impaired Sergey's ability to maintain orientation, judge terrain proximity, and assess his separation from the cliff during freefall and under canopy, as evidenced by toggles remaining stowed suggesting he never achieved stable canopy flight.</t>
  </si>
  <si>
    <t>Eric formulated a last-minute flyby plan while zipping up his wingsuit at the exit point, and during flight he directed his attention toward executing the flyby (turning 15-20 degrees right, narrating instructions to his partner). This channelized attention on the flyby task likely contributed to him initiating his flare and deployment reach later and lower than he otherwise would have, leaving him in a degraded position (low altitude, post-flare deceleration) when he needed to execute the PC extraction.</t>
  </si>
  <si>
    <t>The flyby was formulated last-minute at the exit point while Eric was zipping up his wingsuit, with no specific coordination on height, location, or communication technology. This inadequate planning resulted in Eric flying the flyby at approximately 150ft above terrain over the last ledge of the talus, leaving critically insufficient altitude and time for deployment when he subsequently struggled with PC extraction.</t>
  </si>
  <si>
    <t>The investigation conclusion explicitly states 'Lack of knowledge in complex static line jumping (I don't know what I don't know).' While the jumper had 300 BASE jumps and 3 seasons, the narrative confirms the inverted static line technique was 'still new to him.' Accepted practice requires specific instruction and supervised progression for unpacked/unconventional deployments; the jumper's knowledge gap regarding the specific rigging, body position, and entanglement risks of an inverted static line jump directly enabled the decision to attempt it.</t>
  </si>
  <si>
    <t>The updated investigation identifies multiple preparation failures: the anchor point was positioned on the handrail vertical cable rather than the stepping surface, which was not ideal for the exit position and introduced asymmetric loading risk. Additionally, big gloves were hanging from his wrists, creating a snag/entanglement hazard during a deployment where bridle routing through the legs was required. These configuration choices created the physical conditions enabling the bridle/PC entanglement with his leg that produced the total malfunction.</t>
  </si>
  <si>
    <t>The investigation conclusion explicitly identifies 'nervousness and in a rush' and 'external influence' as contributing factors. Being in a rush at the exit point — particularly for a complex, unfamiliar deployment method — is directly contrary to accepted practice, which emphasizes taking time at the exit point and not rushing checklists. This haste likely degraded the quality of his pre-jump verification and exit execution for a technique requiring meticulous preparation.</t>
  </si>
  <si>
    <t>The narrative explicitly states he felt 'really good (too good)' at the exit and was 'overconfident and willing to try this line immediately.' His partner and multiple community members had warned him repeatedly over years about his approach, but he dismissed all concerns. This overconfidence drove his decision to fly an aggressive proximity line on his first jump from this exit rather than following the conservative briefing.</t>
  </si>
  <si>
    <t>The updated narrative describes a specific visual illusion: leafless winter trees are nearly invisible from above, causing the jumper to perceive greater clearance than actually existed. This perceptual degradation directly contributed to his failure to see the dry tree he struck, enabling the aggressive line choice to produce the fatal outcome.</t>
  </si>
  <si>
    <t>The narrative states that a similar incident with an unseen dry tree had happened to him just weeks prior ('this happened to him already few weeks back but he got away without anything'), and that multiple people had spoken to him 'thousand times over the years' about his jumping behavior. He had many close calls throughout his BASE career yet consistently failed to correct his approach, representing a sustained pattern of ignoring known recurring risks.</t>
  </si>
  <si>
    <t>The narrative explicitly states he had 'almost no wingsuit skydiving experience' and 'essentially did his first wingsuit jumps there [at Brento].' The domain reference requires at least 100 wingsuit skydives before first wingsuit BASE jump. This severe training deficiency meant he lacked the foundational skills in flight efficiency, speed management, and glide assessment needed to recognize the hazards of the aggressive proximity line he chose.</t>
  </si>
  <si>
    <t>The exit point was covered in snow in winter conditions. Despite the jumper's efforts to clear and dry the rock, the surrounding terrain remained snow-covered and the rock surface had been wetted. The snowy/icy surface directly degraded the jumper's ability to maintain footing during the exit push, causing the slip.</t>
  </si>
  <si>
    <t>sheet / column</t>
  </si>
  <si>
    <t>description</t>
  </si>
  <si>
    <t>Records</t>
  </si>
  <si>
    <t>One row per BFL record (n=537). Record-level view: source fields, derived discipline, L0 classification, and counts/joined-codes for L1 and L2.</t>
  </si>
  <si>
    <t>L1_acts</t>
  </si>
  <si>
    <t>One row per L1 unsafe act (n=501 across 424 records). Long format: filter L0_classification or L1_category to read all labels/descriptions in that bucket.</t>
  </si>
  <si>
    <t>L2_preconditions</t>
  </si>
  <si>
    <t>One row per L2 precondition (n≈462 across ~395 records). Long format: filter L2_category/L2_subcategory to read all labels/descriptions in that bucket.</t>
  </si>
  <si>
    <t>--- Key columns ---</t>
  </si>
  <si>
    <t>Derived from `Clothing - Suit` parenthetical. Values: wingsuit / tracking / slick / unknown / other. Falls back to ws_base_jumps&gt;0 only when suit is missing.</t>
  </si>
  <si>
    <t>001HE = human error, 002OC = other cause, 003II = insufficient info.</t>
  </si>
  <si>
    <t>101D = decision error, 102S = skill-based error, 103II = insufficient info at L1.</t>
  </si>
  <si>
    <t>201C = cognitive/psychological, 202P = physiological/physical, 203T = team/environmental, 204E = equipment. Subcategories carry the C1/C2/C3, P1/P2 detail.</t>
  </si>
  <si>
    <t>On L2 rows: which L1 act category this precondition explains.</t>
  </si>
  <si>
    <t>On Records sheet: True if any layer returned a parsing/API error for this record.</t>
  </si>
  <si>
    <t>Manufacturer Error</t>
  </si>
  <si>
    <t>Health Issue</t>
  </si>
  <si>
    <t>Habitual Motor Pattern (PC Placement)</t>
  </si>
  <si>
    <t>Failure to Correct Known Deficiency - Equipment</t>
  </si>
  <si>
    <t>Failure to Correct Known Deficiency - Skill</t>
  </si>
  <si>
    <t>Normalization of Deviance</t>
  </si>
  <si>
    <t>Inadequate equipment</t>
  </si>
  <si>
    <t>Failure to perform adequate gear check</t>
  </si>
  <si>
    <t>Inadequate Site Asessement</t>
  </si>
  <si>
    <t>Inadequate coordination</t>
  </si>
  <si>
    <t>Insufficient Suit Familiarity</t>
  </si>
  <si>
    <t>Other</t>
  </si>
  <si>
    <t>Adverse atmospheric conditions in jump (Airflow, Wind, Rain..)</t>
  </si>
  <si>
    <t>Identified Human Error</t>
  </si>
  <si>
    <t>Jump beyond capability or margin</t>
  </si>
  <si>
    <t>Jumped in adverse conditions</t>
  </si>
  <si>
    <t>Inappropriate equipment selection/configuration</t>
  </si>
  <si>
    <t>Failed to abort or adapt in flight</t>
  </si>
  <si>
    <t>Unknown information for determination of active error</t>
  </si>
  <si>
    <t>Rigging/Packing Error</t>
  </si>
  <si>
    <t>Inadequate exit</t>
  </si>
  <si>
    <t>Flight Execution Failure</t>
  </si>
  <si>
    <t>Failed aerial execution</t>
  </si>
  <si>
    <t>Failed or Late Deployment</t>
  </si>
  <si>
    <t>Failed canopy response</t>
  </si>
  <si>
    <t>Inadequate tracking/object seperation</t>
  </si>
  <si>
    <t>BFL_id</t>
  </si>
  <si>
    <t>tracking (Onepiece)</t>
  </si>
  <si>
    <t>numeric_id</t>
  </si>
  <si>
    <t>Inattention/Complacency</t>
  </si>
  <si>
    <t>Cold Effect on Physiology</t>
  </si>
  <si>
    <t>(almost) no experience or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</si>
</sst>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AC7-DD12-8B41-833C-8578A3C46615}">
  <sheetPr filterMode="1"/>
  <dimension ref="A1:W538"/>
  <sheetViews>
    <sheetView workbookViewId="0">
      <pane ySplit="1" topLeftCell="A2" activePane="bottomLeft" state="frozen"/>
      <selection pane="bottomLeft" activeCell="G29" sqref="G29"/>
    </sheetView>
  </sheetViews>
  <sheetFormatPr baseColWidth="10" defaultColWidth="8.83203125" defaultRowHeight="15" x14ac:dyDescent="0.2"/>
  <cols>
    <col min="1" max="1" width="11" customWidth="1"/>
    <col min="2" max="2" width="11" style="1" customWidth="1"/>
    <col min="3" max="3" width="10.83203125" customWidth="1"/>
    <col min="4" max="4" width="7" customWidth="1"/>
    <col min="5" max="5" width="15" customWidth="1"/>
    <col min="6" max="6" width="7.5" customWidth="1"/>
    <col min="7" max="7" width="15" customWidth="1"/>
    <col min="8" max="8" width="12.1640625" hidden="1" customWidth="1"/>
    <col min="9" max="9" width="6" hidden="1" customWidth="1"/>
    <col min="10" max="10" width="10" hidden="1" customWidth="1"/>
    <col min="11" max="11" width="23.6640625" hidden="1" customWidth="1"/>
    <col min="12" max="12" width="13" hidden="1" customWidth="1"/>
    <col min="13" max="13" width="12" hidden="1" customWidth="1"/>
    <col min="14" max="14" width="12.1640625" hidden="1" customWidth="1"/>
    <col min="15" max="15" width="6" hidden="1" customWidth="1"/>
    <col min="16" max="16" width="6.33203125" hidden="1" customWidth="1"/>
    <col min="17" max="17" width="5.1640625" hidden="1" customWidth="1"/>
    <col min="18" max="18" width="5.6640625" hidden="1" customWidth="1"/>
    <col min="19" max="19" width="4.6640625" hidden="1" customWidth="1"/>
    <col min="20" max="20" width="21" hidden="1" customWidth="1"/>
    <col min="21" max="21" width="26" hidden="1" customWidth="1"/>
    <col min="22" max="22" width="27" hidden="1" customWidth="1"/>
    <col min="23" max="23" width="0.1640625" hidden="1" customWidth="1"/>
  </cols>
  <sheetData>
    <row r="1" spans="1:23" x14ac:dyDescent="0.2">
      <c r="A1" t="s">
        <v>4153</v>
      </c>
      <c r="B1" s="1" t="s">
        <v>4155</v>
      </c>
      <c r="C1" t="s">
        <v>13</v>
      </c>
      <c r="D1" t="s">
        <v>16</v>
      </c>
      <c r="E1" t="s">
        <v>17</v>
      </c>
      <c r="F1" t="s">
        <v>18</v>
      </c>
      <c r="G1" t="s">
        <v>19</v>
      </c>
      <c r="H1" t="s">
        <v>1</v>
      </c>
      <c r="I1" t="s">
        <v>2</v>
      </c>
      <c r="J1" t="s">
        <v>3</v>
      </c>
      <c r="K1" t="s">
        <v>4</v>
      </c>
      <c r="L1" t="s">
        <v>5</v>
      </c>
      <c r="M1" t="s">
        <v>6</v>
      </c>
      <c r="N1" t="s">
        <v>7</v>
      </c>
      <c r="O1" t="s">
        <v>8</v>
      </c>
      <c r="P1" t="s">
        <v>9</v>
      </c>
      <c r="Q1" t="s">
        <v>10</v>
      </c>
      <c r="R1" t="s">
        <v>11</v>
      </c>
      <c r="S1" t="s">
        <v>12</v>
      </c>
      <c r="T1" t="s">
        <v>21</v>
      </c>
      <c r="U1" t="s">
        <v>22</v>
      </c>
      <c r="V1" t="s">
        <v>23</v>
      </c>
      <c r="W1" t="s">
        <v>24</v>
      </c>
    </row>
    <row r="2" spans="1:23" x14ac:dyDescent="0.2">
      <c r="A2" t="s">
        <v>25</v>
      </c>
      <c r="B2" s="1">
        <f>VALUE(RIGHT(A2,LEN(A2)-3))</f>
        <v>1</v>
      </c>
      <c r="C2" t="s">
        <v>32</v>
      </c>
      <c r="D2">
        <v>1</v>
      </c>
      <c r="E2" t="s">
        <v>35</v>
      </c>
      <c r="F2">
        <v>0</v>
      </c>
      <c r="H2" t="s">
        <v>26</v>
      </c>
      <c r="J2" t="s">
        <v>27</v>
      </c>
      <c r="K2" t="s">
        <v>28</v>
      </c>
      <c r="L2" t="s">
        <v>29</v>
      </c>
      <c r="M2" t="s">
        <v>30</v>
      </c>
      <c r="N2" t="s">
        <v>31</v>
      </c>
      <c r="T2" t="s">
        <v>36</v>
      </c>
      <c r="U2" t="s">
        <v>37</v>
      </c>
      <c r="V2" t="s">
        <v>38</v>
      </c>
      <c r="W2" t="s">
        <v>39</v>
      </c>
    </row>
    <row r="3" spans="1:23" hidden="1" x14ac:dyDescent="0.2">
      <c r="A3" t="s">
        <v>40</v>
      </c>
      <c r="B3" s="1">
        <v>2</v>
      </c>
      <c r="C3" t="s">
        <v>44</v>
      </c>
      <c r="D3">
        <v>0</v>
      </c>
      <c r="F3">
        <v>0</v>
      </c>
      <c r="H3" t="s">
        <v>41</v>
      </c>
      <c r="J3" t="s">
        <v>27</v>
      </c>
      <c r="K3" t="s">
        <v>42</v>
      </c>
      <c r="L3" t="s">
        <v>43</v>
      </c>
      <c r="M3" t="s">
        <v>30</v>
      </c>
      <c r="N3" t="s">
        <v>31</v>
      </c>
      <c r="T3" t="s">
        <v>36</v>
      </c>
      <c r="U3" t="s">
        <v>47</v>
      </c>
      <c r="V3" t="s">
        <v>48</v>
      </c>
      <c r="W3" t="s">
        <v>49</v>
      </c>
    </row>
    <row r="4" spans="1:23" x14ac:dyDescent="0.2">
      <c r="A4" t="s">
        <v>50</v>
      </c>
      <c r="B4" s="1">
        <f>VALUE(RIGHT(A4,LEN(A4)-3))</f>
        <v>3</v>
      </c>
      <c r="C4" t="s">
        <v>32</v>
      </c>
      <c r="D4">
        <v>1</v>
      </c>
      <c r="E4" t="s">
        <v>57</v>
      </c>
      <c r="F4">
        <v>1</v>
      </c>
      <c r="G4" t="s">
        <v>58</v>
      </c>
      <c r="H4" t="s">
        <v>51</v>
      </c>
      <c r="J4" t="s">
        <v>52</v>
      </c>
      <c r="K4" t="s">
        <v>53</v>
      </c>
      <c r="L4" t="s">
        <v>54</v>
      </c>
      <c r="M4" t="s">
        <v>30</v>
      </c>
      <c r="N4" t="s">
        <v>31</v>
      </c>
      <c r="T4" t="s">
        <v>59</v>
      </c>
      <c r="U4" t="s">
        <v>60</v>
      </c>
      <c r="V4" t="s">
        <v>61</v>
      </c>
      <c r="W4" t="s">
        <v>62</v>
      </c>
    </row>
    <row r="5" spans="1:23" x14ac:dyDescent="0.2">
      <c r="A5" t="s">
        <v>63</v>
      </c>
      <c r="B5" s="1">
        <f>VALUE(RIGHT(A5,LEN(A5)-3))</f>
        <v>4</v>
      </c>
      <c r="C5" t="s">
        <v>32</v>
      </c>
      <c r="D5">
        <v>1</v>
      </c>
      <c r="E5" t="s">
        <v>35</v>
      </c>
      <c r="F5">
        <v>1</v>
      </c>
      <c r="G5" t="s">
        <v>68</v>
      </c>
      <c r="H5" t="s">
        <v>64</v>
      </c>
      <c r="J5" t="s">
        <v>27</v>
      </c>
      <c r="K5" t="s">
        <v>65</v>
      </c>
      <c r="L5" t="s">
        <v>43</v>
      </c>
      <c r="M5" t="s">
        <v>30</v>
      </c>
      <c r="N5" t="s">
        <v>31</v>
      </c>
      <c r="T5" t="s">
        <v>36</v>
      </c>
      <c r="U5" t="s">
        <v>69</v>
      </c>
      <c r="V5" t="s">
        <v>70</v>
      </c>
      <c r="W5" t="s">
        <v>71</v>
      </c>
    </row>
    <row r="6" spans="1:23" x14ac:dyDescent="0.2">
      <c r="A6" t="s">
        <v>72</v>
      </c>
      <c r="B6" s="1">
        <f>VALUE(RIGHT(A6,LEN(A6)-3))</f>
        <v>5</v>
      </c>
      <c r="C6" t="s">
        <v>32</v>
      </c>
      <c r="D6">
        <v>1</v>
      </c>
      <c r="E6" t="s">
        <v>57</v>
      </c>
      <c r="F6">
        <v>1</v>
      </c>
      <c r="G6" t="s">
        <v>58</v>
      </c>
      <c r="H6" t="s">
        <v>73</v>
      </c>
      <c r="J6" t="s">
        <v>74</v>
      </c>
      <c r="K6" t="s">
        <v>75</v>
      </c>
      <c r="L6" t="s">
        <v>29</v>
      </c>
      <c r="M6" t="s">
        <v>30</v>
      </c>
      <c r="N6" t="s">
        <v>31</v>
      </c>
      <c r="T6" t="s">
        <v>59</v>
      </c>
      <c r="U6" t="s">
        <v>78</v>
      </c>
      <c r="V6" t="s">
        <v>48</v>
      </c>
      <c r="W6" t="s">
        <v>79</v>
      </c>
    </row>
    <row r="7" spans="1:23" x14ac:dyDescent="0.2">
      <c r="A7" t="s">
        <v>80</v>
      </c>
      <c r="B7" s="1">
        <f>VALUE(RIGHT(A7,LEN(A7)-3))</f>
        <v>6</v>
      </c>
      <c r="C7" t="s">
        <v>32</v>
      </c>
      <c r="D7">
        <v>1</v>
      </c>
      <c r="E7" t="s">
        <v>57</v>
      </c>
      <c r="F7">
        <v>0</v>
      </c>
      <c r="H7" t="s">
        <v>81</v>
      </c>
      <c r="J7" t="s">
        <v>27</v>
      </c>
      <c r="K7" t="s">
        <v>82</v>
      </c>
      <c r="L7" t="s">
        <v>83</v>
      </c>
      <c r="M7" t="s">
        <v>30</v>
      </c>
      <c r="N7" t="s">
        <v>31</v>
      </c>
      <c r="T7" t="s">
        <v>86</v>
      </c>
      <c r="U7" t="s">
        <v>87</v>
      </c>
      <c r="V7" t="s">
        <v>61</v>
      </c>
      <c r="W7" t="s">
        <v>88</v>
      </c>
    </row>
    <row r="8" spans="1:23" x14ac:dyDescent="0.2">
      <c r="A8" t="s">
        <v>89</v>
      </c>
      <c r="B8" s="1">
        <f>VALUE(RIGHT(A8,LEN(A8)-3))</f>
        <v>7</v>
      </c>
      <c r="C8" t="s">
        <v>32</v>
      </c>
      <c r="D8">
        <v>2</v>
      </c>
      <c r="E8" t="s">
        <v>94</v>
      </c>
      <c r="F8">
        <v>2</v>
      </c>
      <c r="G8" t="s">
        <v>58</v>
      </c>
      <c r="H8" t="s">
        <v>90</v>
      </c>
      <c r="J8" t="s">
        <v>27</v>
      </c>
      <c r="K8" t="s">
        <v>91</v>
      </c>
      <c r="L8" t="s">
        <v>43</v>
      </c>
      <c r="M8" t="s">
        <v>30</v>
      </c>
      <c r="N8" t="s">
        <v>31</v>
      </c>
      <c r="T8" t="s">
        <v>36</v>
      </c>
      <c r="U8" t="s">
        <v>95</v>
      </c>
      <c r="V8" t="s">
        <v>61</v>
      </c>
      <c r="W8" t="s">
        <v>96</v>
      </c>
    </row>
    <row r="9" spans="1:23" x14ac:dyDescent="0.2">
      <c r="A9" t="s">
        <v>97</v>
      </c>
      <c r="B9" s="1">
        <f>VALUE(RIGHT(A9,LEN(A9)-3))</f>
        <v>8</v>
      </c>
      <c r="C9" t="s">
        <v>32</v>
      </c>
      <c r="D9">
        <v>1</v>
      </c>
      <c r="E9" t="s">
        <v>57</v>
      </c>
      <c r="F9">
        <v>0</v>
      </c>
      <c r="H9" t="s">
        <v>98</v>
      </c>
      <c r="J9" t="s">
        <v>99</v>
      </c>
      <c r="K9" t="s">
        <v>100</v>
      </c>
      <c r="L9" t="s">
        <v>43</v>
      </c>
      <c r="M9" t="s">
        <v>30</v>
      </c>
      <c r="N9" t="s">
        <v>31</v>
      </c>
      <c r="T9" t="s">
        <v>103</v>
      </c>
      <c r="U9" t="s">
        <v>104</v>
      </c>
      <c r="V9" t="s">
        <v>61</v>
      </c>
      <c r="W9" t="s">
        <v>105</v>
      </c>
    </row>
    <row r="10" spans="1:23" hidden="1" x14ac:dyDescent="0.2">
      <c r="A10" t="s">
        <v>106</v>
      </c>
      <c r="B10" s="1">
        <f>VALUE(RIGHT(A10,LEN(A10)-3))</f>
        <v>9</v>
      </c>
      <c r="C10" t="s">
        <v>44</v>
      </c>
      <c r="D10">
        <v>0</v>
      </c>
      <c r="F10">
        <v>0</v>
      </c>
      <c r="H10" t="s">
        <v>107</v>
      </c>
      <c r="J10" t="s">
        <v>74</v>
      </c>
      <c r="K10" t="s">
        <v>100</v>
      </c>
      <c r="L10" t="s">
        <v>43</v>
      </c>
      <c r="M10" t="s">
        <v>30</v>
      </c>
      <c r="N10" t="s">
        <v>31</v>
      </c>
      <c r="T10" t="s">
        <v>103</v>
      </c>
      <c r="U10" t="s">
        <v>104</v>
      </c>
      <c r="V10" t="s">
        <v>61</v>
      </c>
      <c r="W10" t="s">
        <v>109</v>
      </c>
    </row>
    <row r="11" spans="1:23" x14ac:dyDescent="0.2">
      <c r="A11" t="s">
        <v>110</v>
      </c>
      <c r="B11" s="1">
        <f>VALUE(RIGHT(A11,LEN(A11)-3))</f>
        <v>10</v>
      </c>
      <c r="C11" t="s">
        <v>32</v>
      </c>
      <c r="D11">
        <v>1</v>
      </c>
      <c r="E11" t="s">
        <v>57</v>
      </c>
      <c r="F11">
        <v>0</v>
      </c>
      <c r="H11" t="s">
        <v>111</v>
      </c>
      <c r="J11" t="s">
        <v>112</v>
      </c>
      <c r="K11" t="s">
        <v>113</v>
      </c>
      <c r="L11" t="s">
        <v>43</v>
      </c>
      <c r="M11" t="s">
        <v>30</v>
      </c>
      <c r="N11" t="s">
        <v>31</v>
      </c>
      <c r="T11" t="s">
        <v>36</v>
      </c>
      <c r="U11" t="s">
        <v>116</v>
      </c>
      <c r="V11" t="s">
        <v>61</v>
      </c>
      <c r="W11" t="s">
        <v>117</v>
      </c>
    </row>
    <row r="12" spans="1:23" x14ac:dyDescent="0.2">
      <c r="A12" t="s">
        <v>118</v>
      </c>
      <c r="B12" s="1">
        <f>VALUE(RIGHT(A12,LEN(A12)-3))</f>
        <v>11</v>
      </c>
      <c r="C12" t="s">
        <v>32</v>
      </c>
      <c r="D12">
        <v>1</v>
      </c>
      <c r="E12" t="s">
        <v>57</v>
      </c>
      <c r="F12">
        <v>1</v>
      </c>
      <c r="G12" t="s">
        <v>123</v>
      </c>
      <c r="H12" t="s">
        <v>119</v>
      </c>
      <c r="J12" t="s">
        <v>120</v>
      </c>
      <c r="K12" t="s">
        <v>100</v>
      </c>
      <c r="L12" t="s">
        <v>43</v>
      </c>
      <c r="M12" t="s">
        <v>30</v>
      </c>
      <c r="N12" t="s">
        <v>31</v>
      </c>
      <c r="P12">
        <v>1</v>
      </c>
      <c r="R12">
        <v>2700</v>
      </c>
      <c r="T12" t="s">
        <v>36</v>
      </c>
      <c r="U12" t="s">
        <v>104</v>
      </c>
      <c r="V12" t="s">
        <v>61</v>
      </c>
      <c r="W12" t="s">
        <v>124</v>
      </c>
    </row>
    <row r="13" spans="1:23" x14ac:dyDescent="0.2">
      <c r="A13" t="s">
        <v>125</v>
      </c>
      <c r="B13" s="1">
        <f>VALUE(RIGHT(A13,LEN(A13)-3))</f>
        <v>12</v>
      </c>
      <c r="C13" t="s">
        <v>32</v>
      </c>
      <c r="D13">
        <v>1</v>
      </c>
      <c r="E13" t="s">
        <v>130</v>
      </c>
      <c r="F13">
        <v>0</v>
      </c>
      <c r="H13" t="s">
        <v>126</v>
      </c>
      <c r="J13" t="s">
        <v>127</v>
      </c>
      <c r="K13" t="s">
        <v>82</v>
      </c>
      <c r="L13" t="s">
        <v>83</v>
      </c>
      <c r="M13" t="s">
        <v>30</v>
      </c>
      <c r="N13" t="s">
        <v>31</v>
      </c>
      <c r="T13" t="s">
        <v>86</v>
      </c>
      <c r="U13" t="s">
        <v>131</v>
      </c>
      <c r="V13" t="s">
        <v>48</v>
      </c>
      <c r="W13" t="s">
        <v>132</v>
      </c>
    </row>
    <row r="14" spans="1:23" x14ac:dyDescent="0.2">
      <c r="A14" t="s">
        <v>133</v>
      </c>
      <c r="B14" s="1">
        <f>VALUE(RIGHT(A14,LEN(A14)-3))</f>
        <v>13</v>
      </c>
      <c r="C14" t="s">
        <v>32</v>
      </c>
      <c r="D14">
        <v>1</v>
      </c>
      <c r="E14" t="s">
        <v>35</v>
      </c>
      <c r="F14">
        <v>1</v>
      </c>
      <c r="G14" t="s">
        <v>123</v>
      </c>
      <c r="H14" t="s">
        <v>134</v>
      </c>
      <c r="J14" t="s">
        <v>27</v>
      </c>
      <c r="K14" t="s">
        <v>135</v>
      </c>
      <c r="L14" t="s">
        <v>29</v>
      </c>
      <c r="M14" t="s">
        <v>30</v>
      </c>
      <c r="N14" t="s">
        <v>31</v>
      </c>
      <c r="T14" t="s">
        <v>138</v>
      </c>
      <c r="U14" t="s">
        <v>139</v>
      </c>
      <c r="V14" t="s">
        <v>48</v>
      </c>
      <c r="W14" t="s">
        <v>140</v>
      </c>
    </row>
    <row r="15" spans="1:23" x14ac:dyDescent="0.2">
      <c r="A15" t="s">
        <v>141</v>
      </c>
      <c r="B15" s="1">
        <f>VALUE(RIGHT(A15,LEN(A15)-3))</f>
        <v>14</v>
      </c>
      <c r="C15" t="s">
        <v>32</v>
      </c>
      <c r="D15">
        <v>1</v>
      </c>
      <c r="E15" t="s">
        <v>57</v>
      </c>
      <c r="F15">
        <v>2</v>
      </c>
      <c r="G15" t="s">
        <v>146</v>
      </c>
      <c r="H15" t="s">
        <v>142</v>
      </c>
      <c r="J15" t="s">
        <v>52</v>
      </c>
      <c r="K15" t="s">
        <v>143</v>
      </c>
      <c r="L15" t="s">
        <v>43</v>
      </c>
      <c r="M15" t="s">
        <v>30</v>
      </c>
      <c r="N15" t="s">
        <v>31</v>
      </c>
      <c r="P15">
        <v>4</v>
      </c>
      <c r="R15">
        <v>200</v>
      </c>
      <c r="T15" t="s">
        <v>59</v>
      </c>
      <c r="U15" t="s">
        <v>78</v>
      </c>
      <c r="V15" t="s">
        <v>61</v>
      </c>
      <c r="W15" t="s">
        <v>147</v>
      </c>
    </row>
    <row r="16" spans="1:23" x14ac:dyDescent="0.2">
      <c r="A16" t="s">
        <v>148</v>
      </c>
      <c r="B16" s="1">
        <f>VALUE(RIGHT(A16,LEN(A16)-3))</f>
        <v>15</v>
      </c>
      <c r="C16" t="s">
        <v>32</v>
      </c>
      <c r="D16">
        <v>2</v>
      </c>
      <c r="E16" t="s">
        <v>94</v>
      </c>
      <c r="F16">
        <v>3</v>
      </c>
      <c r="G16" t="s">
        <v>146</v>
      </c>
      <c r="H16" t="s">
        <v>149</v>
      </c>
      <c r="J16" t="s">
        <v>150</v>
      </c>
      <c r="K16" t="s">
        <v>151</v>
      </c>
      <c r="L16" t="s">
        <v>43</v>
      </c>
      <c r="M16" t="s">
        <v>30</v>
      </c>
      <c r="N16" t="s">
        <v>31</v>
      </c>
      <c r="T16" t="s">
        <v>36</v>
      </c>
      <c r="U16" t="s">
        <v>154</v>
      </c>
      <c r="V16" t="s">
        <v>61</v>
      </c>
      <c r="W16" t="s">
        <v>155</v>
      </c>
    </row>
    <row r="17" spans="1:23" x14ac:dyDescent="0.2">
      <c r="A17" t="s">
        <v>156</v>
      </c>
      <c r="B17" s="1">
        <f>VALUE(RIGHT(A17,LEN(A17)-3))</f>
        <v>16</v>
      </c>
      <c r="C17" t="s">
        <v>32</v>
      </c>
      <c r="D17">
        <v>1</v>
      </c>
      <c r="E17" t="s">
        <v>35</v>
      </c>
      <c r="F17">
        <v>1</v>
      </c>
      <c r="G17" t="s">
        <v>58</v>
      </c>
      <c r="H17" t="s">
        <v>157</v>
      </c>
      <c r="J17" t="s">
        <v>27</v>
      </c>
      <c r="K17" t="s">
        <v>82</v>
      </c>
      <c r="L17" t="s">
        <v>83</v>
      </c>
      <c r="M17" t="s">
        <v>30</v>
      </c>
      <c r="N17" t="s">
        <v>31</v>
      </c>
      <c r="T17" t="s">
        <v>138</v>
      </c>
      <c r="U17" t="s">
        <v>159</v>
      </c>
      <c r="V17" t="s">
        <v>61</v>
      </c>
      <c r="W17" t="s">
        <v>160</v>
      </c>
    </row>
    <row r="18" spans="1:23" x14ac:dyDescent="0.2">
      <c r="A18" t="s">
        <v>161</v>
      </c>
      <c r="B18" s="1">
        <f>VALUE(RIGHT(A18,LEN(A18)-3))</f>
        <v>17</v>
      </c>
      <c r="C18" t="s">
        <v>32</v>
      </c>
      <c r="D18">
        <v>1</v>
      </c>
      <c r="E18" t="s">
        <v>35</v>
      </c>
      <c r="F18">
        <v>0</v>
      </c>
      <c r="H18" t="s">
        <v>162</v>
      </c>
      <c r="J18" t="s">
        <v>27</v>
      </c>
      <c r="K18" t="s">
        <v>163</v>
      </c>
      <c r="L18" t="s">
        <v>54</v>
      </c>
      <c r="M18" t="s">
        <v>30</v>
      </c>
      <c r="N18" t="s">
        <v>31</v>
      </c>
      <c r="T18" t="s">
        <v>166</v>
      </c>
      <c r="U18" t="s">
        <v>167</v>
      </c>
      <c r="V18" t="s">
        <v>38</v>
      </c>
      <c r="W18" t="s">
        <v>168</v>
      </c>
    </row>
    <row r="19" spans="1:23" x14ac:dyDescent="0.2">
      <c r="A19" t="s">
        <v>169</v>
      </c>
      <c r="B19" s="1">
        <f>VALUE(RIGHT(A19,LEN(A19)-3))</f>
        <v>18</v>
      </c>
      <c r="C19" t="s">
        <v>32</v>
      </c>
      <c r="D19">
        <v>1</v>
      </c>
      <c r="E19" t="s">
        <v>57</v>
      </c>
      <c r="F19">
        <v>0</v>
      </c>
      <c r="H19" t="s">
        <v>170</v>
      </c>
      <c r="J19" t="s">
        <v>27</v>
      </c>
      <c r="K19" t="s">
        <v>65</v>
      </c>
      <c r="L19" t="s">
        <v>43</v>
      </c>
      <c r="M19" t="s">
        <v>30</v>
      </c>
      <c r="N19" t="s">
        <v>31</v>
      </c>
      <c r="T19" t="s">
        <v>173</v>
      </c>
      <c r="U19" t="s">
        <v>174</v>
      </c>
      <c r="V19" t="s">
        <v>61</v>
      </c>
      <c r="W19" t="s">
        <v>175</v>
      </c>
    </row>
    <row r="20" spans="1:23" x14ac:dyDescent="0.2">
      <c r="A20" t="s">
        <v>176</v>
      </c>
      <c r="B20" s="1">
        <f>VALUE(RIGHT(A20,LEN(A20)-3))</f>
        <v>19</v>
      </c>
      <c r="C20" t="s">
        <v>32</v>
      </c>
      <c r="D20">
        <v>1</v>
      </c>
      <c r="E20" t="s">
        <v>35</v>
      </c>
      <c r="F20">
        <v>0</v>
      </c>
      <c r="H20" t="s">
        <v>177</v>
      </c>
      <c r="J20" t="s">
        <v>178</v>
      </c>
      <c r="K20" t="s">
        <v>179</v>
      </c>
      <c r="L20" t="s">
        <v>43</v>
      </c>
      <c r="M20" t="s">
        <v>30</v>
      </c>
      <c r="N20" t="s">
        <v>31</v>
      </c>
      <c r="T20" t="s">
        <v>138</v>
      </c>
      <c r="U20" t="s">
        <v>181</v>
      </c>
      <c r="V20" t="s">
        <v>182</v>
      </c>
      <c r="W20" t="s">
        <v>183</v>
      </c>
    </row>
    <row r="21" spans="1:23" x14ac:dyDescent="0.2">
      <c r="A21" t="s">
        <v>184</v>
      </c>
      <c r="B21" s="1">
        <f>VALUE(RIGHT(A21,LEN(A21)-3))</f>
        <v>20</v>
      </c>
      <c r="C21" t="s">
        <v>32</v>
      </c>
      <c r="D21">
        <v>1</v>
      </c>
      <c r="E21" t="s">
        <v>57</v>
      </c>
      <c r="F21">
        <v>1</v>
      </c>
      <c r="G21" t="s">
        <v>123</v>
      </c>
      <c r="H21" t="s">
        <v>185</v>
      </c>
      <c r="J21" t="s">
        <v>27</v>
      </c>
      <c r="K21" t="s">
        <v>42</v>
      </c>
      <c r="L21" t="s">
        <v>83</v>
      </c>
      <c r="M21" t="s">
        <v>30</v>
      </c>
      <c r="N21" t="s">
        <v>31</v>
      </c>
      <c r="T21" t="s">
        <v>36</v>
      </c>
      <c r="U21" t="s">
        <v>188</v>
      </c>
      <c r="V21" t="s">
        <v>182</v>
      </c>
      <c r="W21" t="s">
        <v>189</v>
      </c>
    </row>
    <row r="22" spans="1:23" x14ac:dyDescent="0.2">
      <c r="A22" t="s">
        <v>190</v>
      </c>
      <c r="B22" s="1">
        <f>VALUE(RIGHT(A22,LEN(A22)-3))</f>
        <v>21</v>
      </c>
      <c r="C22" t="s">
        <v>32</v>
      </c>
      <c r="D22">
        <v>1</v>
      </c>
      <c r="E22" t="s">
        <v>130</v>
      </c>
      <c r="F22">
        <v>0</v>
      </c>
      <c r="H22" t="s">
        <v>191</v>
      </c>
      <c r="J22" t="s">
        <v>27</v>
      </c>
      <c r="K22" t="s">
        <v>65</v>
      </c>
      <c r="L22" t="s">
        <v>54</v>
      </c>
      <c r="M22" t="s">
        <v>30</v>
      </c>
      <c r="N22" t="s">
        <v>31</v>
      </c>
      <c r="P22">
        <v>26</v>
      </c>
      <c r="R22">
        <v>6000</v>
      </c>
      <c r="T22" t="s">
        <v>36</v>
      </c>
      <c r="U22" t="s">
        <v>181</v>
      </c>
      <c r="V22" t="s">
        <v>194</v>
      </c>
      <c r="W22" t="s">
        <v>195</v>
      </c>
    </row>
    <row r="23" spans="1:23" hidden="1" x14ac:dyDescent="0.2">
      <c r="A23" t="s">
        <v>196</v>
      </c>
      <c r="B23" s="1">
        <f>VALUE(RIGHT(A23,LEN(A23)-3))</f>
        <v>22</v>
      </c>
      <c r="C23" t="s">
        <v>44</v>
      </c>
      <c r="D23">
        <v>0</v>
      </c>
      <c r="F23">
        <v>0</v>
      </c>
      <c r="H23" t="s">
        <v>197</v>
      </c>
      <c r="J23" t="s">
        <v>27</v>
      </c>
      <c r="K23" t="s">
        <v>198</v>
      </c>
      <c r="L23" t="s">
        <v>83</v>
      </c>
      <c r="M23" t="s">
        <v>30</v>
      </c>
      <c r="N23" t="s">
        <v>31</v>
      </c>
      <c r="T23" t="s">
        <v>200</v>
      </c>
      <c r="U23" t="s">
        <v>201</v>
      </c>
      <c r="V23" t="s">
        <v>48</v>
      </c>
      <c r="W23" t="s">
        <v>202</v>
      </c>
    </row>
    <row r="24" spans="1:23" x14ac:dyDescent="0.2">
      <c r="A24" t="s">
        <v>203</v>
      </c>
      <c r="B24" s="1">
        <f>VALUE(RIGHT(A24,LEN(A24)-3))</f>
        <v>23</v>
      </c>
      <c r="C24" t="s">
        <v>32</v>
      </c>
      <c r="D24">
        <v>1</v>
      </c>
      <c r="E24" t="s">
        <v>35</v>
      </c>
      <c r="F24">
        <v>1</v>
      </c>
      <c r="G24" t="s">
        <v>58</v>
      </c>
      <c r="H24" t="s">
        <v>204</v>
      </c>
      <c r="J24" t="s">
        <v>27</v>
      </c>
      <c r="K24" t="s">
        <v>205</v>
      </c>
      <c r="L24" t="s">
        <v>54</v>
      </c>
      <c r="M24" t="s">
        <v>30</v>
      </c>
      <c r="N24" t="s">
        <v>31</v>
      </c>
      <c r="T24" t="s">
        <v>138</v>
      </c>
      <c r="U24" t="s">
        <v>78</v>
      </c>
      <c r="V24" t="s">
        <v>61</v>
      </c>
      <c r="W24" t="s">
        <v>208</v>
      </c>
    </row>
    <row r="25" spans="1:23" x14ac:dyDescent="0.2">
      <c r="A25" t="s">
        <v>209</v>
      </c>
      <c r="B25" s="1">
        <f>VALUE(RIGHT(A25,LEN(A25)-3))</f>
        <v>24</v>
      </c>
      <c r="C25" t="s">
        <v>32</v>
      </c>
      <c r="D25">
        <v>1</v>
      </c>
      <c r="E25" t="s">
        <v>57</v>
      </c>
      <c r="F25">
        <v>3</v>
      </c>
      <c r="G25" t="s">
        <v>146</v>
      </c>
      <c r="H25" t="s">
        <v>210</v>
      </c>
      <c r="I25">
        <v>25</v>
      </c>
      <c r="J25" t="s">
        <v>52</v>
      </c>
      <c r="K25" t="s">
        <v>53</v>
      </c>
      <c r="L25" t="s">
        <v>54</v>
      </c>
      <c r="M25" t="s">
        <v>30</v>
      </c>
      <c r="N25" t="s">
        <v>31</v>
      </c>
      <c r="T25" t="s">
        <v>36</v>
      </c>
      <c r="U25" t="s">
        <v>213</v>
      </c>
      <c r="V25" t="s">
        <v>61</v>
      </c>
      <c r="W25" t="s">
        <v>214</v>
      </c>
    </row>
    <row r="26" spans="1:23" hidden="1" x14ac:dyDescent="0.2">
      <c r="A26" t="s">
        <v>215</v>
      </c>
      <c r="B26" s="1">
        <f>VALUE(RIGHT(A26,LEN(A26)-3))</f>
        <v>25</v>
      </c>
      <c r="C26" t="s">
        <v>44</v>
      </c>
      <c r="D26">
        <v>0</v>
      </c>
      <c r="F26">
        <v>0</v>
      </c>
      <c r="H26" t="s">
        <v>216</v>
      </c>
      <c r="J26" t="s">
        <v>217</v>
      </c>
      <c r="K26" t="s">
        <v>179</v>
      </c>
      <c r="L26" t="s">
        <v>43</v>
      </c>
      <c r="M26" t="s">
        <v>30</v>
      </c>
      <c r="N26" t="s">
        <v>31</v>
      </c>
      <c r="R26">
        <v>3000</v>
      </c>
      <c r="T26" t="s">
        <v>36</v>
      </c>
      <c r="U26" t="s">
        <v>219</v>
      </c>
      <c r="V26" t="s">
        <v>220</v>
      </c>
      <c r="W26" t="s">
        <v>221</v>
      </c>
    </row>
    <row r="27" spans="1:23" x14ac:dyDescent="0.2">
      <c r="A27" t="s">
        <v>222</v>
      </c>
      <c r="B27" s="1">
        <f>VALUE(RIGHT(A27,LEN(A27)-3))</f>
        <v>26</v>
      </c>
      <c r="C27" t="s">
        <v>32</v>
      </c>
      <c r="D27">
        <v>1</v>
      </c>
      <c r="E27" t="s">
        <v>57</v>
      </c>
      <c r="F27">
        <v>2</v>
      </c>
      <c r="G27" t="s">
        <v>58</v>
      </c>
      <c r="H27" t="s">
        <v>223</v>
      </c>
      <c r="I27">
        <v>45</v>
      </c>
      <c r="J27" t="s">
        <v>27</v>
      </c>
      <c r="K27" t="s">
        <v>42</v>
      </c>
      <c r="L27" t="s">
        <v>43</v>
      </c>
      <c r="M27" t="s">
        <v>30</v>
      </c>
      <c r="N27" t="s">
        <v>31</v>
      </c>
      <c r="T27" t="s">
        <v>226</v>
      </c>
      <c r="U27" t="s">
        <v>227</v>
      </c>
      <c r="V27" t="s">
        <v>48</v>
      </c>
      <c r="W27" t="s">
        <v>228</v>
      </c>
    </row>
    <row r="28" spans="1:23" x14ac:dyDescent="0.2">
      <c r="A28" t="s">
        <v>229</v>
      </c>
      <c r="B28" s="1">
        <f>VALUE(RIGHT(A28,LEN(A28)-3))</f>
        <v>27</v>
      </c>
      <c r="C28" t="s">
        <v>32</v>
      </c>
      <c r="D28">
        <v>2</v>
      </c>
      <c r="E28" t="s">
        <v>57</v>
      </c>
      <c r="F28">
        <v>2</v>
      </c>
      <c r="G28" t="s">
        <v>233</v>
      </c>
      <c r="H28" t="s">
        <v>230</v>
      </c>
      <c r="J28" t="s">
        <v>52</v>
      </c>
      <c r="K28" t="s">
        <v>113</v>
      </c>
      <c r="L28" t="s">
        <v>43</v>
      </c>
      <c r="M28" t="s">
        <v>30</v>
      </c>
      <c r="N28" t="s">
        <v>31</v>
      </c>
      <c r="T28" t="s">
        <v>36</v>
      </c>
      <c r="U28" t="s">
        <v>234</v>
      </c>
      <c r="V28" t="s">
        <v>235</v>
      </c>
      <c r="W28" t="s">
        <v>236</v>
      </c>
    </row>
    <row r="29" spans="1:23" x14ac:dyDescent="0.2">
      <c r="A29" t="s">
        <v>237</v>
      </c>
      <c r="B29" s="1">
        <f>VALUE(RIGHT(A29,LEN(A29)-3))</f>
        <v>28</v>
      </c>
      <c r="C29" t="s">
        <v>32</v>
      </c>
      <c r="D29">
        <v>1</v>
      </c>
      <c r="E29" t="s">
        <v>57</v>
      </c>
      <c r="F29">
        <v>3</v>
      </c>
      <c r="G29" t="s">
        <v>241</v>
      </c>
      <c r="H29" t="s">
        <v>238</v>
      </c>
      <c r="J29" t="s">
        <v>27</v>
      </c>
      <c r="K29" t="s">
        <v>65</v>
      </c>
      <c r="L29" t="s">
        <v>43</v>
      </c>
      <c r="M29" t="s">
        <v>30</v>
      </c>
      <c r="N29" t="s">
        <v>31</v>
      </c>
      <c r="T29" t="s">
        <v>242</v>
      </c>
      <c r="U29" t="s">
        <v>243</v>
      </c>
      <c r="V29" t="s">
        <v>61</v>
      </c>
      <c r="W29" t="s">
        <v>244</v>
      </c>
    </row>
    <row r="30" spans="1:23" hidden="1" x14ac:dyDescent="0.2">
      <c r="A30" t="s">
        <v>245</v>
      </c>
      <c r="B30" s="1">
        <f>VALUE(RIGHT(A30,LEN(A30)-3))</f>
        <v>29</v>
      </c>
      <c r="C30" t="s">
        <v>44</v>
      </c>
      <c r="D30">
        <v>0</v>
      </c>
      <c r="F30">
        <v>0</v>
      </c>
      <c r="H30" t="s">
        <v>246</v>
      </c>
      <c r="J30" t="s">
        <v>52</v>
      </c>
      <c r="K30" t="s">
        <v>113</v>
      </c>
      <c r="L30" t="s">
        <v>54</v>
      </c>
      <c r="M30" t="s">
        <v>30</v>
      </c>
      <c r="N30" t="s">
        <v>31</v>
      </c>
      <c r="T30" t="s">
        <v>59</v>
      </c>
      <c r="U30" t="s">
        <v>248</v>
      </c>
      <c r="V30" t="s">
        <v>61</v>
      </c>
      <c r="W30" t="s">
        <v>249</v>
      </c>
    </row>
    <row r="31" spans="1:23" x14ac:dyDescent="0.2">
      <c r="A31" t="s">
        <v>250</v>
      </c>
      <c r="B31" s="1">
        <f>VALUE(RIGHT(A31,LEN(A31)-3))</f>
        <v>30</v>
      </c>
      <c r="C31" t="s">
        <v>32</v>
      </c>
      <c r="D31">
        <v>2</v>
      </c>
      <c r="E31" t="s">
        <v>35</v>
      </c>
      <c r="F31">
        <v>2</v>
      </c>
      <c r="G31" t="s">
        <v>123</v>
      </c>
      <c r="H31" t="s">
        <v>251</v>
      </c>
      <c r="J31" t="s">
        <v>27</v>
      </c>
      <c r="K31" t="s">
        <v>252</v>
      </c>
      <c r="L31" t="s">
        <v>29</v>
      </c>
      <c r="M31" t="s">
        <v>30</v>
      </c>
      <c r="N31" t="s">
        <v>31</v>
      </c>
      <c r="T31" t="s">
        <v>138</v>
      </c>
      <c r="U31" t="s">
        <v>254</v>
      </c>
      <c r="V31" t="s">
        <v>61</v>
      </c>
      <c r="W31" t="s">
        <v>255</v>
      </c>
    </row>
    <row r="32" spans="1:23" hidden="1" x14ac:dyDescent="0.2">
      <c r="A32" t="s">
        <v>256</v>
      </c>
      <c r="B32" s="1">
        <f>VALUE(RIGHT(A32,LEN(A32)-3))</f>
        <v>31</v>
      </c>
      <c r="C32" t="s">
        <v>44</v>
      </c>
      <c r="D32">
        <v>0</v>
      </c>
      <c r="F32">
        <v>0</v>
      </c>
      <c r="H32" t="s">
        <v>257</v>
      </c>
      <c r="J32" t="s">
        <v>258</v>
      </c>
      <c r="K32" t="s">
        <v>259</v>
      </c>
      <c r="L32" t="s">
        <v>43</v>
      </c>
      <c r="M32" t="s">
        <v>30</v>
      </c>
      <c r="N32" t="s">
        <v>31</v>
      </c>
      <c r="T32" t="s">
        <v>36</v>
      </c>
      <c r="U32" t="s">
        <v>181</v>
      </c>
      <c r="V32" t="s">
        <v>48</v>
      </c>
      <c r="W32" t="s">
        <v>261</v>
      </c>
    </row>
    <row r="33" spans="1:23" x14ac:dyDescent="0.2">
      <c r="A33" t="s">
        <v>262</v>
      </c>
      <c r="B33" s="1">
        <f>VALUE(RIGHT(A33,LEN(A33)-3))</f>
        <v>32</v>
      </c>
      <c r="C33" t="s">
        <v>32</v>
      </c>
      <c r="D33">
        <v>1</v>
      </c>
      <c r="E33" t="s">
        <v>35</v>
      </c>
      <c r="F33">
        <v>2</v>
      </c>
      <c r="G33" t="s">
        <v>267</v>
      </c>
      <c r="H33" t="s">
        <v>263</v>
      </c>
      <c r="I33">
        <v>51</v>
      </c>
      <c r="J33" t="s">
        <v>27</v>
      </c>
      <c r="K33" t="s">
        <v>264</v>
      </c>
      <c r="L33" t="s">
        <v>43</v>
      </c>
      <c r="M33" t="s">
        <v>30</v>
      </c>
      <c r="N33" t="s">
        <v>31</v>
      </c>
      <c r="T33" t="s">
        <v>36</v>
      </c>
      <c r="U33" t="s">
        <v>181</v>
      </c>
      <c r="V33" t="s">
        <v>61</v>
      </c>
      <c r="W33" t="s">
        <v>268</v>
      </c>
    </row>
    <row r="34" spans="1:23" hidden="1" x14ac:dyDescent="0.2">
      <c r="A34" t="s">
        <v>269</v>
      </c>
      <c r="B34" s="1">
        <f>VALUE(RIGHT(A34,LEN(A34)-3))</f>
        <v>33</v>
      </c>
      <c r="C34" t="s">
        <v>44</v>
      </c>
      <c r="D34">
        <v>0</v>
      </c>
      <c r="F34">
        <v>0</v>
      </c>
      <c r="H34" t="s">
        <v>270</v>
      </c>
      <c r="J34" t="s">
        <v>27</v>
      </c>
      <c r="K34" t="s">
        <v>271</v>
      </c>
      <c r="L34" t="s">
        <v>43</v>
      </c>
      <c r="M34" t="s">
        <v>30</v>
      </c>
      <c r="N34" t="s">
        <v>31</v>
      </c>
      <c r="T34" t="s">
        <v>86</v>
      </c>
      <c r="U34" t="s">
        <v>78</v>
      </c>
      <c r="V34" t="s">
        <v>61</v>
      </c>
      <c r="W34" t="s">
        <v>273</v>
      </c>
    </row>
    <row r="35" spans="1:23" x14ac:dyDescent="0.2">
      <c r="A35" t="s">
        <v>274</v>
      </c>
      <c r="B35" s="1">
        <f>VALUE(RIGHT(A35,LEN(A35)-3))</f>
        <v>34</v>
      </c>
      <c r="C35" t="s">
        <v>32</v>
      </c>
      <c r="D35">
        <v>1</v>
      </c>
      <c r="E35" t="s">
        <v>35</v>
      </c>
      <c r="F35">
        <v>0</v>
      </c>
      <c r="H35" t="s">
        <v>275</v>
      </c>
      <c r="J35" t="s">
        <v>27</v>
      </c>
      <c r="K35" t="s">
        <v>65</v>
      </c>
      <c r="L35" t="s">
        <v>43</v>
      </c>
      <c r="M35" t="s">
        <v>30</v>
      </c>
      <c r="N35" t="s">
        <v>31</v>
      </c>
      <c r="T35" t="s">
        <v>59</v>
      </c>
      <c r="U35" t="s">
        <v>278</v>
      </c>
      <c r="V35" t="s">
        <v>61</v>
      </c>
      <c r="W35" t="s">
        <v>279</v>
      </c>
    </row>
    <row r="36" spans="1:23" x14ac:dyDescent="0.2">
      <c r="A36" t="s">
        <v>280</v>
      </c>
      <c r="B36" s="1">
        <f>VALUE(RIGHT(A36,LEN(A36)-3))</f>
        <v>35</v>
      </c>
      <c r="C36" t="s">
        <v>32</v>
      </c>
      <c r="D36">
        <v>1</v>
      </c>
      <c r="E36" t="s">
        <v>57</v>
      </c>
      <c r="F36">
        <v>2</v>
      </c>
      <c r="G36" t="s">
        <v>284</v>
      </c>
      <c r="H36" t="s">
        <v>281</v>
      </c>
      <c r="J36" t="s">
        <v>27</v>
      </c>
      <c r="K36" t="s">
        <v>42</v>
      </c>
      <c r="L36" t="s">
        <v>83</v>
      </c>
      <c r="M36" t="s">
        <v>30</v>
      </c>
      <c r="N36" t="s">
        <v>31</v>
      </c>
      <c r="R36">
        <v>30</v>
      </c>
      <c r="T36" t="s">
        <v>166</v>
      </c>
      <c r="U36" t="s">
        <v>47</v>
      </c>
      <c r="V36" t="s">
        <v>61</v>
      </c>
      <c r="W36" t="s">
        <v>285</v>
      </c>
    </row>
    <row r="37" spans="1:23" x14ac:dyDescent="0.2">
      <c r="A37" t="s">
        <v>286</v>
      </c>
      <c r="B37" s="1">
        <f>VALUE(RIGHT(A37,LEN(A37)-3))</f>
        <v>36</v>
      </c>
      <c r="C37" t="s">
        <v>32</v>
      </c>
      <c r="D37">
        <v>2</v>
      </c>
      <c r="E37" t="s">
        <v>57</v>
      </c>
      <c r="F37">
        <v>1</v>
      </c>
      <c r="G37" t="s">
        <v>291</v>
      </c>
      <c r="H37" t="s">
        <v>287</v>
      </c>
      <c r="I37">
        <v>22</v>
      </c>
      <c r="J37" t="s">
        <v>178</v>
      </c>
      <c r="K37" t="s">
        <v>288</v>
      </c>
      <c r="L37" t="s">
        <v>43</v>
      </c>
      <c r="M37" t="s">
        <v>30</v>
      </c>
      <c r="N37" t="s">
        <v>31</v>
      </c>
      <c r="P37">
        <v>30</v>
      </c>
      <c r="T37" t="s">
        <v>173</v>
      </c>
      <c r="U37" t="s">
        <v>292</v>
      </c>
      <c r="V37" t="s">
        <v>235</v>
      </c>
      <c r="W37" t="s">
        <v>293</v>
      </c>
    </row>
    <row r="38" spans="1:23" hidden="1" x14ac:dyDescent="0.2">
      <c r="A38" t="s">
        <v>294</v>
      </c>
      <c r="B38" s="1">
        <f>VALUE(RIGHT(A38,LEN(A38)-3))</f>
        <v>37</v>
      </c>
      <c r="C38" t="s">
        <v>44</v>
      </c>
      <c r="D38">
        <v>0</v>
      </c>
      <c r="F38">
        <v>0</v>
      </c>
      <c r="H38" t="s">
        <v>295</v>
      </c>
      <c r="J38" t="s">
        <v>27</v>
      </c>
      <c r="K38" t="s">
        <v>65</v>
      </c>
      <c r="L38" t="s">
        <v>43</v>
      </c>
      <c r="M38" t="s">
        <v>30</v>
      </c>
      <c r="N38" t="s">
        <v>31</v>
      </c>
      <c r="T38" t="s">
        <v>36</v>
      </c>
      <c r="U38" t="s">
        <v>116</v>
      </c>
      <c r="V38" t="s">
        <v>48</v>
      </c>
      <c r="W38" t="s">
        <v>297</v>
      </c>
    </row>
    <row r="39" spans="1:23" hidden="1" x14ac:dyDescent="0.2">
      <c r="A39" t="s">
        <v>298</v>
      </c>
      <c r="B39" s="1">
        <f>VALUE(RIGHT(A39,LEN(A39)-3))</f>
        <v>38</v>
      </c>
      <c r="C39" t="s">
        <v>44</v>
      </c>
      <c r="D39">
        <v>0</v>
      </c>
      <c r="F39">
        <v>0</v>
      </c>
      <c r="H39" t="s">
        <v>299</v>
      </c>
      <c r="J39" t="s">
        <v>217</v>
      </c>
      <c r="K39" t="s">
        <v>300</v>
      </c>
      <c r="L39" t="s">
        <v>43</v>
      </c>
      <c r="M39" t="s">
        <v>30</v>
      </c>
      <c r="N39" t="s">
        <v>31</v>
      </c>
      <c r="P39">
        <v>30</v>
      </c>
      <c r="T39" t="s">
        <v>36</v>
      </c>
      <c r="U39" t="s">
        <v>194</v>
      </c>
      <c r="V39" t="s">
        <v>302</v>
      </c>
      <c r="W39" t="s">
        <v>303</v>
      </c>
    </row>
    <row r="40" spans="1:23" hidden="1" x14ac:dyDescent="0.2">
      <c r="A40" t="s">
        <v>304</v>
      </c>
      <c r="B40" s="1">
        <f>VALUE(RIGHT(A40,LEN(A40)-3))</f>
        <v>39</v>
      </c>
      <c r="C40" t="s">
        <v>44</v>
      </c>
      <c r="D40">
        <v>0</v>
      </c>
      <c r="F40">
        <v>0</v>
      </c>
      <c r="H40" t="s">
        <v>305</v>
      </c>
      <c r="J40" t="s">
        <v>27</v>
      </c>
      <c r="K40" t="s">
        <v>306</v>
      </c>
      <c r="L40" t="s">
        <v>43</v>
      </c>
      <c r="M40" t="s">
        <v>30</v>
      </c>
      <c r="N40" t="s">
        <v>31</v>
      </c>
      <c r="T40" t="s">
        <v>36</v>
      </c>
      <c r="U40" t="s">
        <v>308</v>
      </c>
      <c r="V40" t="s">
        <v>48</v>
      </c>
      <c r="W40" t="s">
        <v>309</v>
      </c>
    </row>
    <row r="41" spans="1:23" x14ac:dyDescent="0.2">
      <c r="A41" t="s">
        <v>310</v>
      </c>
      <c r="B41" s="1">
        <f>VALUE(RIGHT(A41,LEN(A41)-3))</f>
        <v>40</v>
      </c>
      <c r="C41" t="s">
        <v>32</v>
      </c>
      <c r="D41">
        <v>1</v>
      </c>
      <c r="E41" t="s">
        <v>57</v>
      </c>
      <c r="F41">
        <v>2</v>
      </c>
      <c r="G41" t="s">
        <v>241</v>
      </c>
      <c r="H41" t="s">
        <v>311</v>
      </c>
      <c r="J41" t="s">
        <v>99</v>
      </c>
      <c r="K41" t="s">
        <v>288</v>
      </c>
      <c r="L41" t="s">
        <v>43</v>
      </c>
      <c r="M41" t="s">
        <v>30</v>
      </c>
      <c r="N41" t="s">
        <v>31</v>
      </c>
      <c r="T41" t="s">
        <v>173</v>
      </c>
      <c r="U41" t="s">
        <v>314</v>
      </c>
      <c r="V41" t="s">
        <v>48</v>
      </c>
      <c r="W41" t="s">
        <v>315</v>
      </c>
    </row>
    <row r="42" spans="1:23" x14ac:dyDescent="0.2">
      <c r="A42" t="s">
        <v>316</v>
      </c>
      <c r="B42" s="1">
        <f>VALUE(RIGHT(A42,LEN(A42)-3))</f>
        <v>41</v>
      </c>
      <c r="C42" t="s">
        <v>32</v>
      </c>
      <c r="D42">
        <v>2</v>
      </c>
      <c r="E42" t="s">
        <v>94</v>
      </c>
      <c r="F42">
        <v>2</v>
      </c>
      <c r="G42" t="s">
        <v>58</v>
      </c>
      <c r="H42" t="s">
        <v>317</v>
      </c>
      <c r="J42" t="s">
        <v>318</v>
      </c>
      <c r="K42" t="s">
        <v>113</v>
      </c>
      <c r="L42" t="s">
        <v>43</v>
      </c>
      <c r="M42" t="s">
        <v>30</v>
      </c>
      <c r="N42" t="s">
        <v>31</v>
      </c>
      <c r="T42" t="s">
        <v>36</v>
      </c>
      <c r="U42" t="s">
        <v>321</v>
      </c>
      <c r="V42" t="s">
        <v>235</v>
      </c>
      <c r="W42" t="s">
        <v>322</v>
      </c>
    </row>
    <row r="43" spans="1:23" x14ac:dyDescent="0.2">
      <c r="A43" t="s">
        <v>323</v>
      </c>
      <c r="B43" s="1">
        <f>VALUE(RIGHT(A43,LEN(A43)-3))</f>
        <v>42</v>
      </c>
      <c r="C43" t="s">
        <v>32</v>
      </c>
      <c r="D43">
        <v>1</v>
      </c>
      <c r="E43" t="s">
        <v>35</v>
      </c>
      <c r="F43">
        <v>2</v>
      </c>
      <c r="G43" t="s">
        <v>327</v>
      </c>
      <c r="H43" t="s">
        <v>324</v>
      </c>
      <c r="J43" t="s">
        <v>27</v>
      </c>
      <c r="K43" t="s">
        <v>264</v>
      </c>
      <c r="L43" t="s">
        <v>29</v>
      </c>
      <c r="M43" t="s">
        <v>30</v>
      </c>
      <c r="N43" t="s">
        <v>31</v>
      </c>
      <c r="T43" t="s">
        <v>138</v>
      </c>
      <c r="U43" t="s">
        <v>328</v>
      </c>
      <c r="V43" t="s">
        <v>329</v>
      </c>
      <c r="W43" t="s">
        <v>330</v>
      </c>
    </row>
    <row r="44" spans="1:23" x14ac:dyDescent="0.2">
      <c r="A44" t="s">
        <v>331</v>
      </c>
      <c r="B44" s="1">
        <f>VALUE(RIGHT(A44,LEN(A44)-3))</f>
        <v>43</v>
      </c>
      <c r="C44" t="s">
        <v>32</v>
      </c>
      <c r="D44">
        <v>1</v>
      </c>
      <c r="E44" t="s">
        <v>57</v>
      </c>
      <c r="F44">
        <v>0</v>
      </c>
      <c r="H44" t="s">
        <v>332</v>
      </c>
      <c r="J44" t="s">
        <v>27</v>
      </c>
      <c r="L44" t="s">
        <v>29</v>
      </c>
      <c r="M44" t="s">
        <v>30</v>
      </c>
      <c r="N44" t="s">
        <v>31</v>
      </c>
      <c r="T44" t="s">
        <v>173</v>
      </c>
      <c r="U44" t="s">
        <v>174</v>
      </c>
      <c r="V44" t="s">
        <v>48</v>
      </c>
      <c r="W44" t="s">
        <v>335</v>
      </c>
    </row>
    <row r="45" spans="1:23" x14ac:dyDescent="0.2">
      <c r="A45" t="s">
        <v>336</v>
      </c>
      <c r="B45" s="1">
        <f>VALUE(RIGHT(A45,LEN(A45)-3))</f>
        <v>44</v>
      </c>
      <c r="C45" t="s">
        <v>32</v>
      </c>
      <c r="D45">
        <v>1</v>
      </c>
      <c r="E45" t="s">
        <v>35</v>
      </c>
      <c r="F45">
        <v>1</v>
      </c>
      <c r="G45" t="s">
        <v>68</v>
      </c>
      <c r="H45" t="s">
        <v>337</v>
      </c>
      <c r="J45" t="s">
        <v>338</v>
      </c>
      <c r="K45" t="s">
        <v>288</v>
      </c>
      <c r="L45" t="s">
        <v>43</v>
      </c>
      <c r="M45" t="s">
        <v>30</v>
      </c>
      <c r="N45" t="s">
        <v>31</v>
      </c>
      <c r="T45" t="s">
        <v>36</v>
      </c>
      <c r="U45" t="s">
        <v>47</v>
      </c>
      <c r="V45" t="s">
        <v>341</v>
      </c>
      <c r="W45" t="s">
        <v>342</v>
      </c>
    </row>
    <row r="46" spans="1:23" x14ac:dyDescent="0.2">
      <c r="A46" t="s">
        <v>343</v>
      </c>
      <c r="B46" s="1">
        <f>VALUE(RIGHT(A46,LEN(A46)-3))</f>
        <v>45</v>
      </c>
      <c r="C46" t="s">
        <v>32</v>
      </c>
      <c r="D46">
        <v>1</v>
      </c>
      <c r="E46" t="s">
        <v>57</v>
      </c>
      <c r="F46">
        <v>0</v>
      </c>
      <c r="H46" t="s">
        <v>344</v>
      </c>
      <c r="J46" t="s">
        <v>120</v>
      </c>
      <c r="K46" t="s">
        <v>100</v>
      </c>
      <c r="L46" t="s">
        <v>43</v>
      </c>
      <c r="M46" t="s">
        <v>30</v>
      </c>
      <c r="N46" t="s">
        <v>31</v>
      </c>
      <c r="T46" t="s">
        <v>103</v>
      </c>
      <c r="U46" t="s">
        <v>347</v>
      </c>
      <c r="V46" t="s">
        <v>61</v>
      </c>
      <c r="W46" t="s">
        <v>348</v>
      </c>
    </row>
    <row r="47" spans="1:23" hidden="1" x14ac:dyDescent="0.2">
      <c r="A47" t="s">
        <v>349</v>
      </c>
      <c r="B47" s="1">
        <f>VALUE(RIGHT(A47,LEN(A47)-3))</f>
        <v>46</v>
      </c>
      <c r="C47" t="s">
        <v>44</v>
      </c>
      <c r="D47">
        <v>0</v>
      </c>
      <c r="F47">
        <v>0</v>
      </c>
      <c r="H47" t="s">
        <v>350</v>
      </c>
      <c r="J47" t="s">
        <v>27</v>
      </c>
      <c r="K47" t="s">
        <v>351</v>
      </c>
      <c r="L47" t="s">
        <v>43</v>
      </c>
      <c r="M47" t="s">
        <v>30</v>
      </c>
      <c r="N47" t="s">
        <v>31</v>
      </c>
      <c r="T47" t="s">
        <v>36</v>
      </c>
      <c r="U47" t="s">
        <v>353</v>
      </c>
      <c r="V47" t="s">
        <v>48</v>
      </c>
      <c r="W47" t="s">
        <v>354</v>
      </c>
    </row>
    <row r="48" spans="1:23" x14ac:dyDescent="0.2">
      <c r="A48" t="s">
        <v>355</v>
      </c>
      <c r="B48" s="1">
        <f>VALUE(RIGHT(A48,LEN(A48)-3))</f>
        <v>47</v>
      </c>
      <c r="C48" t="s">
        <v>32</v>
      </c>
      <c r="D48">
        <v>1</v>
      </c>
      <c r="E48" t="s">
        <v>57</v>
      </c>
      <c r="F48">
        <v>0</v>
      </c>
      <c r="H48" t="s">
        <v>356</v>
      </c>
      <c r="J48" t="s">
        <v>357</v>
      </c>
      <c r="K48" t="s">
        <v>288</v>
      </c>
      <c r="L48" t="s">
        <v>43</v>
      </c>
      <c r="M48" t="s">
        <v>30</v>
      </c>
      <c r="N48" t="s">
        <v>31</v>
      </c>
      <c r="T48" t="s">
        <v>242</v>
      </c>
      <c r="U48" t="s">
        <v>360</v>
      </c>
      <c r="V48" t="s">
        <v>48</v>
      </c>
      <c r="W48" t="s">
        <v>361</v>
      </c>
    </row>
    <row r="49" spans="1:23" x14ac:dyDescent="0.2">
      <c r="A49" t="s">
        <v>362</v>
      </c>
      <c r="B49" s="1">
        <f>VALUE(RIGHT(A49,LEN(A49)-3))</f>
        <v>48</v>
      </c>
      <c r="C49" t="s">
        <v>32</v>
      </c>
      <c r="D49">
        <v>1</v>
      </c>
      <c r="E49" t="s">
        <v>57</v>
      </c>
      <c r="F49">
        <v>2</v>
      </c>
      <c r="G49" t="s">
        <v>366</v>
      </c>
      <c r="H49" t="s">
        <v>363</v>
      </c>
      <c r="I49">
        <v>58</v>
      </c>
      <c r="J49" t="s">
        <v>27</v>
      </c>
      <c r="K49" t="s">
        <v>65</v>
      </c>
      <c r="L49" t="s">
        <v>43</v>
      </c>
      <c r="M49" t="s">
        <v>30</v>
      </c>
      <c r="N49" t="s">
        <v>31</v>
      </c>
      <c r="T49" t="s">
        <v>367</v>
      </c>
      <c r="U49" t="s">
        <v>368</v>
      </c>
      <c r="V49" t="s">
        <v>369</v>
      </c>
      <c r="W49" t="s">
        <v>370</v>
      </c>
    </row>
    <row r="50" spans="1:23" x14ac:dyDescent="0.2">
      <c r="A50" t="s">
        <v>371</v>
      </c>
      <c r="B50" s="1">
        <f>VALUE(RIGHT(A50,LEN(A50)-3))</f>
        <v>49</v>
      </c>
      <c r="C50" t="s">
        <v>32</v>
      </c>
      <c r="D50">
        <v>1</v>
      </c>
      <c r="E50" t="s">
        <v>35</v>
      </c>
      <c r="F50">
        <v>1</v>
      </c>
      <c r="G50" t="s">
        <v>58</v>
      </c>
      <c r="H50" t="s">
        <v>372</v>
      </c>
      <c r="I50">
        <v>29</v>
      </c>
      <c r="J50" t="s">
        <v>27</v>
      </c>
      <c r="K50" t="s">
        <v>373</v>
      </c>
      <c r="L50" t="s">
        <v>83</v>
      </c>
      <c r="M50" t="s">
        <v>30</v>
      </c>
      <c r="N50" t="s">
        <v>31</v>
      </c>
      <c r="O50">
        <v>4</v>
      </c>
      <c r="P50">
        <v>137</v>
      </c>
      <c r="T50" t="s">
        <v>86</v>
      </c>
      <c r="U50" t="s">
        <v>87</v>
      </c>
      <c r="V50" t="s">
        <v>376</v>
      </c>
      <c r="W50" t="s">
        <v>377</v>
      </c>
    </row>
    <row r="51" spans="1:23" x14ac:dyDescent="0.2">
      <c r="A51" t="s">
        <v>378</v>
      </c>
      <c r="B51" s="1">
        <f>VALUE(RIGHT(A51,LEN(A51)-3))</f>
        <v>50</v>
      </c>
      <c r="C51" t="s">
        <v>32</v>
      </c>
      <c r="D51">
        <v>1</v>
      </c>
      <c r="E51" t="s">
        <v>35</v>
      </c>
      <c r="F51">
        <v>1</v>
      </c>
      <c r="G51" t="s">
        <v>123</v>
      </c>
      <c r="H51" t="s">
        <v>379</v>
      </c>
      <c r="I51">
        <v>29</v>
      </c>
      <c r="J51" t="s">
        <v>120</v>
      </c>
      <c r="K51" t="s">
        <v>113</v>
      </c>
      <c r="L51" t="s">
        <v>43</v>
      </c>
      <c r="M51" t="s">
        <v>30</v>
      </c>
      <c r="N51" t="s">
        <v>31</v>
      </c>
      <c r="T51" t="s">
        <v>138</v>
      </c>
      <c r="U51" t="s">
        <v>159</v>
      </c>
      <c r="V51" t="s">
        <v>48</v>
      </c>
      <c r="W51" t="s">
        <v>382</v>
      </c>
    </row>
    <row r="52" spans="1:23" x14ac:dyDescent="0.2">
      <c r="A52" t="s">
        <v>383</v>
      </c>
      <c r="B52" s="1">
        <f>VALUE(RIGHT(A52,LEN(A52)-3))</f>
        <v>51</v>
      </c>
      <c r="C52" t="s">
        <v>32</v>
      </c>
      <c r="D52">
        <v>1</v>
      </c>
      <c r="E52" t="s">
        <v>57</v>
      </c>
      <c r="F52">
        <v>2</v>
      </c>
      <c r="G52" t="s">
        <v>291</v>
      </c>
      <c r="H52" t="s">
        <v>384</v>
      </c>
      <c r="J52" t="s">
        <v>150</v>
      </c>
      <c r="K52" t="s">
        <v>385</v>
      </c>
      <c r="L52" t="s">
        <v>43</v>
      </c>
      <c r="M52" t="s">
        <v>30</v>
      </c>
      <c r="N52" t="s">
        <v>31</v>
      </c>
      <c r="T52" t="s">
        <v>173</v>
      </c>
      <c r="U52" t="s">
        <v>388</v>
      </c>
      <c r="V52" t="s">
        <v>48</v>
      </c>
      <c r="W52" t="s">
        <v>389</v>
      </c>
    </row>
    <row r="53" spans="1:23" x14ac:dyDescent="0.2">
      <c r="A53" t="s">
        <v>390</v>
      </c>
      <c r="B53" s="1">
        <f>VALUE(RIGHT(A53,LEN(A53)-3))</f>
        <v>52</v>
      </c>
      <c r="C53" t="s">
        <v>32</v>
      </c>
      <c r="D53">
        <v>1</v>
      </c>
      <c r="E53" t="s">
        <v>57</v>
      </c>
      <c r="F53">
        <v>1</v>
      </c>
      <c r="G53" t="s">
        <v>123</v>
      </c>
      <c r="H53" t="s">
        <v>391</v>
      </c>
      <c r="I53">
        <v>52</v>
      </c>
      <c r="J53" t="s">
        <v>52</v>
      </c>
      <c r="K53" t="s">
        <v>288</v>
      </c>
      <c r="L53" t="s">
        <v>43</v>
      </c>
      <c r="M53" t="s">
        <v>30</v>
      </c>
      <c r="N53" t="s">
        <v>31</v>
      </c>
      <c r="P53">
        <v>8</v>
      </c>
      <c r="T53" t="s">
        <v>36</v>
      </c>
      <c r="U53" t="s">
        <v>308</v>
      </c>
      <c r="V53" t="s">
        <v>48</v>
      </c>
      <c r="W53" t="s">
        <v>394</v>
      </c>
    </row>
    <row r="54" spans="1:23" x14ac:dyDescent="0.2">
      <c r="A54" t="s">
        <v>395</v>
      </c>
      <c r="B54" s="1">
        <f>VALUE(RIGHT(A54,LEN(A54)-3))</f>
        <v>53</v>
      </c>
      <c r="C54" t="s">
        <v>32</v>
      </c>
      <c r="D54">
        <v>1</v>
      </c>
      <c r="E54" t="s">
        <v>57</v>
      </c>
      <c r="F54">
        <v>2</v>
      </c>
      <c r="G54" t="s">
        <v>284</v>
      </c>
      <c r="H54" t="s">
        <v>396</v>
      </c>
      <c r="J54" t="s">
        <v>150</v>
      </c>
      <c r="K54" t="s">
        <v>288</v>
      </c>
      <c r="L54" t="s">
        <v>43</v>
      </c>
      <c r="M54" t="s">
        <v>30</v>
      </c>
      <c r="N54" t="s">
        <v>31</v>
      </c>
      <c r="T54" t="s">
        <v>242</v>
      </c>
      <c r="U54" t="s">
        <v>104</v>
      </c>
      <c r="V54" t="s">
        <v>48</v>
      </c>
      <c r="W54" t="s">
        <v>399</v>
      </c>
    </row>
    <row r="55" spans="1:23" x14ac:dyDescent="0.2">
      <c r="A55" t="s">
        <v>400</v>
      </c>
      <c r="B55" s="1">
        <f>VALUE(RIGHT(A55,LEN(A55)-3))</f>
        <v>54</v>
      </c>
      <c r="C55" t="s">
        <v>32</v>
      </c>
      <c r="D55">
        <v>2</v>
      </c>
      <c r="E55" t="s">
        <v>35</v>
      </c>
      <c r="F55">
        <v>0</v>
      </c>
      <c r="H55" t="s">
        <v>401</v>
      </c>
      <c r="J55" t="s">
        <v>402</v>
      </c>
      <c r="K55" t="s">
        <v>385</v>
      </c>
      <c r="L55" t="s">
        <v>43</v>
      </c>
      <c r="M55" t="s">
        <v>30</v>
      </c>
      <c r="N55" t="s">
        <v>31</v>
      </c>
      <c r="T55" t="s">
        <v>36</v>
      </c>
      <c r="U55" t="s">
        <v>405</v>
      </c>
      <c r="V55" t="s">
        <v>406</v>
      </c>
      <c r="W55" t="s">
        <v>407</v>
      </c>
    </row>
    <row r="56" spans="1:23" x14ac:dyDescent="0.2">
      <c r="A56" t="s">
        <v>408</v>
      </c>
      <c r="B56" s="1">
        <f>VALUE(RIGHT(A56,LEN(A56)-3))</f>
        <v>55</v>
      </c>
      <c r="C56" t="s">
        <v>32</v>
      </c>
      <c r="D56">
        <v>2</v>
      </c>
      <c r="E56" t="s">
        <v>94</v>
      </c>
      <c r="F56">
        <v>2</v>
      </c>
      <c r="G56" t="s">
        <v>123</v>
      </c>
      <c r="H56" t="s">
        <v>409</v>
      </c>
      <c r="J56" t="s">
        <v>178</v>
      </c>
      <c r="K56" t="s">
        <v>410</v>
      </c>
      <c r="L56" t="s">
        <v>43</v>
      </c>
      <c r="M56" t="s">
        <v>30</v>
      </c>
      <c r="N56" t="s">
        <v>31</v>
      </c>
      <c r="T56" t="s">
        <v>103</v>
      </c>
      <c r="U56" t="s">
        <v>413</v>
      </c>
      <c r="V56" t="s">
        <v>61</v>
      </c>
      <c r="W56" t="s">
        <v>414</v>
      </c>
    </row>
    <row r="57" spans="1:23" x14ac:dyDescent="0.2">
      <c r="A57" t="s">
        <v>415</v>
      </c>
      <c r="B57" s="1">
        <f>VALUE(RIGHT(A57,LEN(A57)-3))</f>
        <v>56</v>
      </c>
      <c r="C57" t="s">
        <v>32</v>
      </c>
      <c r="D57">
        <v>1</v>
      </c>
      <c r="E57" t="s">
        <v>57</v>
      </c>
      <c r="F57">
        <v>1</v>
      </c>
      <c r="G57" t="s">
        <v>58</v>
      </c>
      <c r="H57" t="s">
        <v>416</v>
      </c>
      <c r="J57" t="s">
        <v>217</v>
      </c>
      <c r="K57" t="s">
        <v>264</v>
      </c>
      <c r="L57" t="s">
        <v>43</v>
      </c>
      <c r="M57" t="s">
        <v>30</v>
      </c>
      <c r="N57" t="s">
        <v>31</v>
      </c>
      <c r="T57" t="s">
        <v>59</v>
      </c>
      <c r="U57" t="s">
        <v>419</v>
      </c>
      <c r="V57" t="s">
        <v>182</v>
      </c>
      <c r="W57" t="s">
        <v>420</v>
      </c>
    </row>
    <row r="58" spans="1:23" x14ac:dyDescent="0.2">
      <c r="A58" t="s">
        <v>421</v>
      </c>
      <c r="B58" s="1">
        <f>VALUE(RIGHT(A58,LEN(A58)-3))</f>
        <v>57</v>
      </c>
      <c r="C58" t="s">
        <v>32</v>
      </c>
      <c r="D58">
        <v>2</v>
      </c>
      <c r="E58" t="s">
        <v>94</v>
      </c>
      <c r="F58">
        <v>2</v>
      </c>
      <c r="G58" t="s">
        <v>327</v>
      </c>
      <c r="H58" t="s">
        <v>422</v>
      </c>
      <c r="I58">
        <v>39</v>
      </c>
      <c r="J58" t="s">
        <v>423</v>
      </c>
      <c r="K58" t="s">
        <v>259</v>
      </c>
      <c r="L58" t="s">
        <v>43</v>
      </c>
      <c r="M58" t="s">
        <v>30</v>
      </c>
      <c r="N58" t="s">
        <v>31</v>
      </c>
      <c r="P58">
        <v>240</v>
      </c>
      <c r="R58">
        <v>100</v>
      </c>
      <c r="T58" t="s">
        <v>173</v>
      </c>
      <c r="U58" t="s">
        <v>426</v>
      </c>
      <c r="V58" t="s">
        <v>48</v>
      </c>
      <c r="W58" t="s">
        <v>427</v>
      </c>
    </row>
    <row r="59" spans="1:23" x14ac:dyDescent="0.2">
      <c r="A59" t="s">
        <v>428</v>
      </c>
      <c r="B59" s="1">
        <f>VALUE(RIGHT(A59,LEN(A59)-3))</f>
        <v>58</v>
      </c>
      <c r="C59" t="s">
        <v>32</v>
      </c>
      <c r="D59">
        <v>1</v>
      </c>
      <c r="E59" t="s">
        <v>57</v>
      </c>
      <c r="F59">
        <v>1</v>
      </c>
      <c r="G59" t="s">
        <v>123</v>
      </c>
      <c r="H59" t="s">
        <v>429</v>
      </c>
      <c r="I59">
        <v>28</v>
      </c>
      <c r="J59" t="s">
        <v>27</v>
      </c>
      <c r="K59" t="s">
        <v>385</v>
      </c>
      <c r="L59" t="s">
        <v>43</v>
      </c>
      <c r="M59" t="s">
        <v>30</v>
      </c>
      <c r="N59" t="s">
        <v>31</v>
      </c>
      <c r="P59">
        <v>3</v>
      </c>
      <c r="T59" t="s">
        <v>36</v>
      </c>
      <c r="U59" t="s">
        <v>432</v>
      </c>
      <c r="V59" t="s">
        <v>48</v>
      </c>
      <c r="W59" t="s">
        <v>433</v>
      </c>
    </row>
    <row r="60" spans="1:23" hidden="1" x14ac:dyDescent="0.2">
      <c r="A60" t="s">
        <v>434</v>
      </c>
      <c r="B60" s="1">
        <f>VALUE(RIGHT(A60,LEN(A60)-3))</f>
        <v>59</v>
      </c>
      <c r="C60" t="s">
        <v>44</v>
      </c>
      <c r="D60">
        <v>0</v>
      </c>
      <c r="F60">
        <v>0</v>
      </c>
      <c r="H60" t="s">
        <v>435</v>
      </c>
      <c r="I60">
        <v>25</v>
      </c>
      <c r="J60" t="s">
        <v>150</v>
      </c>
      <c r="K60" t="s">
        <v>385</v>
      </c>
      <c r="L60" t="s">
        <v>43</v>
      </c>
      <c r="M60" t="s">
        <v>30</v>
      </c>
      <c r="N60" t="s">
        <v>31</v>
      </c>
      <c r="T60" t="s">
        <v>242</v>
      </c>
      <c r="U60" t="s">
        <v>104</v>
      </c>
      <c r="V60" t="s">
        <v>48</v>
      </c>
      <c r="W60" t="s">
        <v>437</v>
      </c>
    </row>
    <row r="61" spans="1:23" x14ac:dyDescent="0.2">
      <c r="A61" t="s">
        <v>438</v>
      </c>
      <c r="B61" s="1">
        <f>VALUE(RIGHT(A61,LEN(A61)-3))</f>
        <v>60</v>
      </c>
      <c r="C61" t="s">
        <v>32</v>
      </c>
      <c r="D61">
        <v>1</v>
      </c>
      <c r="E61" t="s">
        <v>57</v>
      </c>
      <c r="F61">
        <v>2</v>
      </c>
      <c r="G61" t="s">
        <v>444</v>
      </c>
      <c r="H61" t="s">
        <v>439</v>
      </c>
      <c r="J61" t="s">
        <v>440</v>
      </c>
      <c r="K61" t="s">
        <v>441</v>
      </c>
      <c r="L61" t="s">
        <v>43</v>
      </c>
      <c r="M61" t="s">
        <v>30</v>
      </c>
      <c r="N61" t="s">
        <v>31</v>
      </c>
      <c r="P61">
        <v>16</v>
      </c>
      <c r="T61" t="s">
        <v>36</v>
      </c>
      <c r="U61" t="s">
        <v>104</v>
      </c>
      <c r="V61" t="s">
        <v>445</v>
      </c>
      <c r="W61" t="s">
        <v>446</v>
      </c>
    </row>
    <row r="62" spans="1:23" x14ac:dyDescent="0.2">
      <c r="A62" t="s">
        <v>447</v>
      </c>
      <c r="B62" s="1">
        <f>VALUE(RIGHT(A62,LEN(A62)-3))</f>
        <v>61</v>
      </c>
      <c r="C62" t="s">
        <v>32</v>
      </c>
      <c r="D62">
        <v>1</v>
      </c>
      <c r="E62" t="s">
        <v>35</v>
      </c>
      <c r="F62">
        <v>1</v>
      </c>
      <c r="G62" t="s">
        <v>123</v>
      </c>
      <c r="H62" t="s">
        <v>448</v>
      </c>
      <c r="J62" t="s">
        <v>357</v>
      </c>
      <c r="K62" t="s">
        <v>449</v>
      </c>
      <c r="L62" t="s">
        <v>54</v>
      </c>
      <c r="M62" t="s">
        <v>30</v>
      </c>
      <c r="N62" t="s">
        <v>31</v>
      </c>
      <c r="P62">
        <v>1</v>
      </c>
      <c r="T62" t="s">
        <v>138</v>
      </c>
      <c r="U62" t="s">
        <v>451</v>
      </c>
      <c r="V62" t="s">
        <v>48</v>
      </c>
      <c r="W62" t="s">
        <v>452</v>
      </c>
    </row>
    <row r="63" spans="1:23" x14ac:dyDescent="0.2">
      <c r="A63" t="s">
        <v>453</v>
      </c>
      <c r="B63" s="1">
        <f>VALUE(RIGHT(A63,LEN(A63)-3))</f>
        <v>62</v>
      </c>
      <c r="C63" t="s">
        <v>32</v>
      </c>
      <c r="D63">
        <v>1</v>
      </c>
      <c r="E63" t="s">
        <v>57</v>
      </c>
      <c r="F63">
        <v>1</v>
      </c>
      <c r="G63" t="s">
        <v>123</v>
      </c>
      <c r="H63" t="s">
        <v>454</v>
      </c>
      <c r="J63" t="s">
        <v>357</v>
      </c>
      <c r="K63" t="s">
        <v>455</v>
      </c>
      <c r="L63" t="s">
        <v>43</v>
      </c>
      <c r="M63" t="s">
        <v>30</v>
      </c>
      <c r="N63" t="s">
        <v>31</v>
      </c>
      <c r="P63">
        <v>2</v>
      </c>
      <c r="R63">
        <v>200</v>
      </c>
      <c r="T63" t="s">
        <v>103</v>
      </c>
      <c r="U63" t="s">
        <v>104</v>
      </c>
      <c r="V63" t="s">
        <v>48</v>
      </c>
      <c r="W63" t="s">
        <v>458</v>
      </c>
    </row>
    <row r="64" spans="1:23" x14ac:dyDescent="0.2">
      <c r="A64" t="s">
        <v>459</v>
      </c>
      <c r="B64" s="1">
        <f>VALUE(RIGHT(A64,LEN(A64)-3))</f>
        <v>63</v>
      </c>
      <c r="C64" t="s">
        <v>32</v>
      </c>
      <c r="D64">
        <v>1</v>
      </c>
      <c r="E64" t="s">
        <v>57</v>
      </c>
      <c r="F64">
        <v>2</v>
      </c>
      <c r="G64" t="s">
        <v>464</v>
      </c>
      <c r="H64" t="s">
        <v>460</v>
      </c>
      <c r="I64">
        <v>27</v>
      </c>
      <c r="J64" t="s">
        <v>27</v>
      </c>
      <c r="K64" t="s">
        <v>461</v>
      </c>
      <c r="L64" t="s">
        <v>29</v>
      </c>
      <c r="M64" t="s">
        <v>30</v>
      </c>
      <c r="N64" t="s">
        <v>31</v>
      </c>
      <c r="T64" t="s">
        <v>173</v>
      </c>
      <c r="U64" t="s">
        <v>388</v>
      </c>
      <c r="V64" t="s">
        <v>341</v>
      </c>
      <c r="W64" t="s">
        <v>465</v>
      </c>
    </row>
    <row r="65" spans="1:23" x14ac:dyDescent="0.2">
      <c r="A65" t="s">
        <v>466</v>
      </c>
      <c r="B65" s="1">
        <f>VALUE(RIGHT(A65,LEN(A65)-3))</f>
        <v>64</v>
      </c>
      <c r="C65" t="s">
        <v>32</v>
      </c>
      <c r="D65">
        <v>1</v>
      </c>
      <c r="E65" t="s">
        <v>57</v>
      </c>
      <c r="F65">
        <v>2</v>
      </c>
      <c r="G65" t="s">
        <v>267</v>
      </c>
      <c r="H65" t="s">
        <v>467</v>
      </c>
      <c r="I65">
        <v>24</v>
      </c>
      <c r="J65" t="s">
        <v>27</v>
      </c>
      <c r="K65" t="s">
        <v>373</v>
      </c>
      <c r="L65" t="s">
        <v>83</v>
      </c>
      <c r="M65" t="s">
        <v>30</v>
      </c>
      <c r="N65" t="s">
        <v>31</v>
      </c>
      <c r="P65">
        <v>12</v>
      </c>
      <c r="T65" t="s">
        <v>200</v>
      </c>
      <c r="U65" t="s">
        <v>201</v>
      </c>
      <c r="V65" t="s">
        <v>61</v>
      </c>
      <c r="W65" t="s">
        <v>470</v>
      </c>
    </row>
    <row r="66" spans="1:23" x14ac:dyDescent="0.2">
      <c r="A66" t="s">
        <v>471</v>
      </c>
      <c r="B66" s="1">
        <f>VALUE(RIGHT(A66,LEN(A66)-3))</f>
        <v>65</v>
      </c>
      <c r="C66" t="s">
        <v>32</v>
      </c>
      <c r="D66">
        <v>1</v>
      </c>
      <c r="E66" t="s">
        <v>57</v>
      </c>
      <c r="F66">
        <v>1</v>
      </c>
      <c r="G66" t="s">
        <v>123</v>
      </c>
      <c r="H66" t="s">
        <v>472</v>
      </c>
      <c r="I66">
        <v>37</v>
      </c>
      <c r="J66" t="s">
        <v>27</v>
      </c>
      <c r="K66" t="s">
        <v>288</v>
      </c>
      <c r="L66" t="s">
        <v>43</v>
      </c>
      <c r="M66" t="s">
        <v>30</v>
      </c>
      <c r="N66" t="s">
        <v>31</v>
      </c>
      <c r="T66" t="s">
        <v>242</v>
      </c>
      <c r="U66" t="s">
        <v>475</v>
      </c>
      <c r="V66" t="s">
        <v>61</v>
      </c>
      <c r="W66" t="s">
        <v>476</v>
      </c>
    </row>
    <row r="67" spans="1:23" x14ac:dyDescent="0.2">
      <c r="A67" t="s">
        <v>477</v>
      </c>
      <c r="B67" s="1">
        <f>VALUE(RIGHT(A67,LEN(A67)-3))</f>
        <v>66</v>
      </c>
      <c r="C67" t="s">
        <v>32</v>
      </c>
      <c r="D67">
        <v>2</v>
      </c>
      <c r="E67" t="s">
        <v>57</v>
      </c>
      <c r="F67">
        <v>1</v>
      </c>
      <c r="G67" t="s">
        <v>123</v>
      </c>
      <c r="H67" t="s">
        <v>478</v>
      </c>
      <c r="J67" t="s">
        <v>27</v>
      </c>
      <c r="L67" t="s">
        <v>43</v>
      </c>
      <c r="M67" t="s">
        <v>30</v>
      </c>
      <c r="N67" t="s">
        <v>31</v>
      </c>
      <c r="T67" t="s">
        <v>36</v>
      </c>
      <c r="U67" t="s">
        <v>481</v>
      </c>
      <c r="V67" t="s">
        <v>194</v>
      </c>
      <c r="W67" t="s">
        <v>482</v>
      </c>
    </row>
    <row r="68" spans="1:23" x14ac:dyDescent="0.2">
      <c r="A68" t="s">
        <v>483</v>
      </c>
      <c r="B68" s="1">
        <f>VALUE(RIGHT(A68,LEN(A68)-3))</f>
        <v>67</v>
      </c>
      <c r="C68" t="s">
        <v>32</v>
      </c>
      <c r="D68">
        <v>1</v>
      </c>
      <c r="E68" t="s">
        <v>57</v>
      </c>
      <c r="F68">
        <v>3</v>
      </c>
      <c r="G68" t="s">
        <v>366</v>
      </c>
      <c r="H68" t="s">
        <v>484</v>
      </c>
      <c r="J68" t="s">
        <v>217</v>
      </c>
      <c r="K68" t="s">
        <v>259</v>
      </c>
      <c r="L68" t="s">
        <v>43</v>
      </c>
      <c r="M68" t="s">
        <v>30</v>
      </c>
      <c r="N68" t="s">
        <v>31</v>
      </c>
      <c r="T68" t="s">
        <v>173</v>
      </c>
      <c r="U68" t="s">
        <v>388</v>
      </c>
      <c r="V68" t="s">
        <v>182</v>
      </c>
      <c r="W68" t="s">
        <v>487</v>
      </c>
    </row>
    <row r="69" spans="1:23" hidden="1" x14ac:dyDescent="0.2">
      <c r="A69" t="s">
        <v>488</v>
      </c>
      <c r="B69" s="1">
        <f>VALUE(RIGHT(A69,LEN(A69)-3))</f>
        <v>68</v>
      </c>
      <c r="C69" t="s">
        <v>44</v>
      </c>
      <c r="D69">
        <v>0</v>
      </c>
      <c r="F69">
        <v>0</v>
      </c>
      <c r="H69" t="s">
        <v>489</v>
      </c>
      <c r="J69" t="s">
        <v>178</v>
      </c>
      <c r="K69" t="s">
        <v>490</v>
      </c>
      <c r="L69" t="s">
        <v>43</v>
      </c>
      <c r="M69" t="s">
        <v>30</v>
      </c>
      <c r="N69" t="s">
        <v>31</v>
      </c>
      <c r="T69" t="s">
        <v>242</v>
      </c>
      <c r="U69" t="s">
        <v>492</v>
      </c>
      <c r="V69" t="s">
        <v>182</v>
      </c>
      <c r="W69" t="s">
        <v>493</v>
      </c>
    </row>
    <row r="70" spans="1:23" x14ac:dyDescent="0.2">
      <c r="A70" t="s">
        <v>494</v>
      </c>
      <c r="B70" s="1">
        <f>VALUE(RIGHT(A70,LEN(A70)-3))</f>
        <v>69</v>
      </c>
      <c r="C70" t="s">
        <v>32</v>
      </c>
      <c r="D70">
        <v>1</v>
      </c>
      <c r="E70" t="s">
        <v>57</v>
      </c>
      <c r="F70">
        <v>1</v>
      </c>
      <c r="G70" t="s">
        <v>123</v>
      </c>
      <c r="H70" t="s">
        <v>495</v>
      </c>
      <c r="J70" t="s">
        <v>338</v>
      </c>
      <c r="K70" t="s">
        <v>496</v>
      </c>
      <c r="L70" t="s">
        <v>43</v>
      </c>
      <c r="M70" t="s">
        <v>30</v>
      </c>
      <c r="N70" t="s">
        <v>31</v>
      </c>
      <c r="P70">
        <v>16</v>
      </c>
      <c r="R70">
        <v>2000</v>
      </c>
      <c r="T70" t="s">
        <v>103</v>
      </c>
      <c r="U70" t="s">
        <v>104</v>
      </c>
      <c r="V70" t="s">
        <v>48</v>
      </c>
      <c r="W70" t="s">
        <v>499</v>
      </c>
    </row>
    <row r="71" spans="1:23" hidden="1" x14ac:dyDescent="0.2">
      <c r="A71" t="s">
        <v>523</v>
      </c>
      <c r="B71" s="1">
        <f>VALUE(RIGHT(A71,LEN(A71)-3))</f>
        <v>73</v>
      </c>
      <c r="C71" t="s">
        <v>44</v>
      </c>
      <c r="D71">
        <v>0</v>
      </c>
      <c r="F71">
        <v>0</v>
      </c>
      <c r="H71" t="s">
        <v>524</v>
      </c>
      <c r="J71" t="s">
        <v>525</v>
      </c>
      <c r="K71" t="s">
        <v>519</v>
      </c>
      <c r="L71" t="s">
        <v>43</v>
      </c>
      <c r="M71" t="s">
        <v>30</v>
      </c>
      <c r="N71" t="s">
        <v>31</v>
      </c>
      <c r="T71" t="s">
        <v>36</v>
      </c>
      <c r="U71" t="s">
        <v>308</v>
      </c>
      <c r="V71" t="s">
        <v>61</v>
      </c>
      <c r="W71" t="s">
        <v>527</v>
      </c>
    </row>
    <row r="72" spans="1:23" x14ac:dyDescent="0.2">
      <c r="A72" t="s">
        <v>528</v>
      </c>
      <c r="B72" s="1">
        <f>VALUE(RIGHT(A72,LEN(A72)-3))</f>
        <v>74</v>
      </c>
      <c r="C72" t="s">
        <v>32</v>
      </c>
      <c r="D72">
        <v>1</v>
      </c>
      <c r="E72" t="s">
        <v>57</v>
      </c>
      <c r="F72">
        <v>2</v>
      </c>
      <c r="G72" t="s">
        <v>366</v>
      </c>
      <c r="H72" t="s">
        <v>529</v>
      </c>
      <c r="J72" t="s">
        <v>27</v>
      </c>
      <c r="K72" t="s">
        <v>530</v>
      </c>
      <c r="L72" t="s">
        <v>43</v>
      </c>
      <c r="M72" t="s">
        <v>30</v>
      </c>
      <c r="N72" t="s">
        <v>31</v>
      </c>
      <c r="T72" t="s">
        <v>59</v>
      </c>
      <c r="U72" t="s">
        <v>139</v>
      </c>
      <c r="V72" t="s">
        <v>61</v>
      </c>
      <c r="W72" t="s">
        <v>533</v>
      </c>
    </row>
    <row r="73" spans="1:23" x14ac:dyDescent="0.2">
      <c r="A73" t="s">
        <v>534</v>
      </c>
      <c r="B73" s="1">
        <f>VALUE(RIGHT(A73,LEN(A73)-3))</f>
        <v>75</v>
      </c>
      <c r="C73" t="s">
        <v>32</v>
      </c>
      <c r="D73">
        <v>1</v>
      </c>
      <c r="E73" t="s">
        <v>35</v>
      </c>
      <c r="F73">
        <v>1</v>
      </c>
      <c r="G73" t="s">
        <v>68</v>
      </c>
      <c r="H73" t="s">
        <v>535</v>
      </c>
      <c r="J73" t="s">
        <v>357</v>
      </c>
      <c r="K73" t="s">
        <v>385</v>
      </c>
      <c r="L73" t="s">
        <v>43</v>
      </c>
      <c r="M73" t="s">
        <v>30</v>
      </c>
      <c r="N73" t="s">
        <v>31</v>
      </c>
      <c r="T73" t="s">
        <v>36</v>
      </c>
      <c r="U73" t="s">
        <v>538</v>
      </c>
      <c r="V73" t="s">
        <v>38</v>
      </c>
      <c r="W73" t="s">
        <v>539</v>
      </c>
    </row>
    <row r="74" spans="1:23" hidden="1" x14ac:dyDescent="0.2">
      <c r="A74" t="s">
        <v>540</v>
      </c>
      <c r="B74" s="1">
        <f>VALUE(RIGHT(A74,LEN(A74)-3))</f>
        <v>76</v>
      </c>
      <c r="C74" t="s">
        <v>44</v>
      </c>
      <c r="D74">
        <v>0</v>
      </c>
      <c r="F74">
        <v>0</v>
      </c>
      <c r="H74" t="s">
        <v>541</v>
      </c>
      <c r="J74" t="s">
        <v>99</v>
      </c>
      <c r="K74" t="s">
        <v>100</v>
      </c>
      <c r="L74" t="s">
        <v>43</v>
      </c>
      <c r="M74" t="s">
        <v>30</v>
      </c>
      <c r="N74" t="s">
        <v>31</v>
      </c>
      <c r="T74" t="s">
        <v>173</v>
      </c>
      <c r="U74" t="s">
        <v>543</v>
      </c>
      <c r="V74" t="s">
        <v>182</v>
      </c>
      <c r="W74" t="s">
        <v>544</v>
      </c>
    </row>
    <row r="75" spans="1:23" hidden="1" x14ac:dyDescent="0.2">
      <c r="A75" t="s">
        <v>545</v>
      </c>
      <c r="B75" s="1">
        <f>VALUE(RIGHT(A75,LEN(A75)-3))</f>
        <v>77</v>
      </c>
      <c r="C75" t="s">
        <v>44</v>
      </c>
      <c r="D75">
        <v>0</v>
      </c>
      <c r="F75">
        <v>0</v>
      </c>
      <c r="H75" t="s">
        <v>546</v>
      </c>
      <c r="J75" t="s">
        <v>178</v>
      </c>
      <c r="L75" t="s">
        <v>43</v>
      </c>
      <c r="M75" t="s">
        <v>30</v>
      </c>
      <c r="N75" t="s">
        <v>31</v>
      </c>
      <c r="P75">
        <v>53</v>
      </c>
      <c r="R75">
        <v>500</v>
      </c>
      <c r="T75" t="s">
        <v>36</v>
      </c>
      <c r="U75" t="s">
        <v>181</v>
      </c>
      <c r="V75" t="s">
        <v>48</v>
      </c>
      <c r="W75" t="s">
        <v>548</v>
      </c>
    </row>
    <row r="76" spans="1:23" x14ac:dyDescent="0.2">
      <c r="A76" t="s">
        <v>557</v>
      </c>
      <c r="B76" s="1">
        <f>VALUE(RIGHT(A76,LEN(A76)-3))</f>
        <v>79</v>
      </c>
      <c r="C76" t="s">
        <v>32</v>
      </c>
      <c r="D76">
        <v>1</v>
      </c>
      <c r="E76" t="s">
        <v>130</v>
      </c>
      <c r="F76">
        <v>0</v>
      </c>
      <c r="H76" t="s">
        <v>558</v>
      </c>
      <c r="I76">
        <v>30</v>
      </c>
      <c r="J76" t="s">
        <v>27</v>
      </c>
      <c r="K76" t="s">
        <v>373</v>
      </c>
      <c r="L76" t="s">
        <v>83</v>
      </c>
      <c r="M76" t="s">
        <v>30</v>
      </c>
      <c r="N76" t="s">
        <v>31</v>
      </c>
      <c r="P76">
        <v>100</v>
      </c>
      <c r="R76">
        <v>2000</v>
      </c>
      <c r="T76" t="s">
        <v>173</v>
      </c>
      <c r="U76" t="s">
        <v>561</v>
      </c>
      <c r="V76" t="s">
        <v>48</v>
      </c>
      <c r="W76" t="s">
        <v>562</v>
      </c>
    </row>
    <row r="77" spans="1:23" x14ac:dyDescent="0.2">
      <c r="A77" t="s">
        <v>563</v>
      </c>
      <c r="B77" s="1">
        <f>VALUE(RIGHT(A77,LEN(A77)-3))</f>
        <v>80</v>
      </c>
      <c r="C77" t="s">
        <v>32</v>
      </c>
      <c r="D77">
        <v>2</v>
      </c>
      <c r="E77" t="s">
        <v>94</v>
      </c>
      <c r="F77">
        <v>3</v>
      </c>
      <c r="G77" t="s">
        <v>568</v>
      </c>
      <c r="H77" t="s">
        <v>564</v>
      </c>
      <c r="J77" t="s">
        <v>178</v>
      </c>
      <c r="K77" t="s">
        <v>565</v>
      </c>
      <c r="L77" t="s">
        <v>83</v>
      </c>
      <c r="M77" t="s">
        <v>30</v>
      </c>
      <c r="N77" t="s">
        <v>31</v>
      </c>
      <c r="T77" t="s">
        <v>200</v>
      </c>
      <c r="U77" t="s">
        <v>201</v>
      </c>
      <c r="V77" t="s">
        <v>569</v>
      </c>
      <c r="W77" t="s">
        <v>570</v>
      </c>
    </row>
    <row r="78" spans="1:23" x14ac:dyDescent="0.2">
      <c r="A78" t="s">
        <v>571</v>
      </c>
      <c r="B78" s="1">
        <f>VALUE(RIGHT(A78,LEN(A78)-3))</f>
        <v>81</v>
      </c>
      <c r="C78" t="s">
        <v>32</v>
      </c>
      <c r="D78">
        <v>1</v>
      </c>
      <c r="E78" t="s">
        <v>130</v>
      </c>
      <c r="F78">
        <v>0</v>
      </c>
      <c r="H78" t="s">
        <v>572</v>
      </c>
      <c r="J78" t="s">
        <v>357</v>
      </c>
      <c r="K78" t="s">
        <v>573</v>
      </c>
      <c r="L78" t="s">
        <v>29</v>
      </c>
      <c r="M78" t="s">
        <v>30</v>
      </c>
      <c r="N78" t="s">
        <v>31</v>
      </c>
      <c r="P78">
        <v>3</v>
      </c>
      <c r="R78">
        <v>129</v>
      </c>
      <c r="T78" t="s">
        <v>173</v>
      </c>
      <c r="U78" t="s">
        <v>174</v>
      </c>
      <c r="V78" t="s">
        <v>61</v>
      </c>
      <c r="W78" t="s">
        <v>576</v>
      </c>
    </row>
    <row r="79" spans="1:23" x14ac:dyDescent="0.2">
      <c r="A79" t="s">
        <v>577</v>
      </c>
      <c r="B79" s="1">
        <f>VALUE(RIGHT(A79,LEN(A79)-3))</f>
        <v>82</v>
      </c>
      <c r="C79" t="s">
        <v>32</v>
      </c>
      <c r="D79">
        <v>1</v>
      </c>
      <c r="E79" t="s">
        <v>57</v>
      </c>
      <c r="F79">
        <v>2</v>
      </c>
      <c r="G79" t="s">
        <v>284</v>
      </c>
      <c r="H79" t="s">
        <v>578</v>
      </c>
      <c r="J79" t="s">
        <v>551</v>
      </c>
      <c r="K79" t="s">
        <v>259</v>
      </c>
      <c r="L79" t="s">
        <v>43</v>
      </c>
      <c r="M79" t="s">
        <v>30</v>
      </c>
      <c r="N79" t="s">
        <v>31</v>
      </c>
      <c r="P79">
        <v>30</v>
      </c>
      <c r="R79">
        <v>300</v>
      </c>
      <c r="T79" t="s">
        <v>36</v>
      </c>
      <c r="U79" t="s">
        <v>308</v>
      </c>
      <c r="V79" t="s">
        <v>182</v>
      </c>
      <c r="W79" t="s">
        <v>581</v>
      </c>
    </row>
    <row r="80" spans="1:23" x14ac:dyDescent="0.2">
      <c r="A80" t="s">
        <v>608</v>
      </c>
      <c r="B80" s="1">
        <f>VALUE(RIGHT(A80,LEN(A80)-3))</f>
        <v>87</v>
      </c>
      <c r="C80" t="s">
        <v>32</v>
      </c>
      <c r="D80">
        <v>1</v>
      </c>
      <c r="E80" t="s">
        <v>57</v>
      </c>
      <c r="F80">
        <v>1</v>
      </c>
      <c r="G80" t="s">
        <v>68</v>
      </c>
      <c r="H80" t="s">
        <v>609</v>
      </c>
      <c r="J80" t="s">
        <v>27</v>
      </c>
      <c r="K80" t="s">
        <v>610</v>
      </c>
      <c r="L80" t="s">
        <v>29</v>
      </c>
      <c r="M80" t="s">
        <v>30</v>
      </c>
      <c r="N80" t="s">
        <v>31</v>
      </c>
      <c r="T80" t="s">
        <v>173</v>
      </c>
      <c r="U80" t="s">
        <v>174</v>
      </c>
      <c r="V80" t="s">
        <v>613</v>
      </c>
      <c r="W80" t="s">
        <v>614</v>
      </c>
    </row>
    <row r="81" spans="1:23" x14ac:dyDescent="0.2">
      <c r="A81" t="s">
        <v>615</v>
      </c>
      <c r="B81" s="1">
        <f>VALUE(RIGHT(A81,LEN(A81)-3))</f>
        <v>88</v>
      </c>
      <c r="C81" t="s">
        <v>32</v>
      </c>
      <c r="D81">
        <v>1</v>
      </c>
      <c r="E81" t="s">
        <v>57</v>
      </c>
      <c r="F81">
        <v>1</v>
      </c>
      <c r="G81" t="s">
        <v>68</v>
      </c>
      <c r="H81" t="s">
        <v>616</v>
      </c>
      <c r="I81">
        <v>31</v>
      </c>
      <c r="J81" t="s">
        <v>338</v>
      </c>
      <c r="K81" t="s">
        <v>385</v>
      </c>
      <c r="L81" t="s">
        <v>43</v>
      </c>
      <c r="M81" t="s">
        <v>30</v>
      </c>
      <c r="N81" t="s">
        <v>31</v>
      </c>
      <c r="T81" t="s">
        <v>36</v>
      </c>
      <c r="U81" t="s">
        <v>619</v>
      </c>
      <c r="V81" t="s">
        <v>598</v>
      </c>
      <c r="W81" t="s">
        <v>620</v>
      </c>
    </row>
    <row r="82" spans="1:23" x14ac:dyDescent="0.2">
      <c r="A82" t="s">
        <v>621</v>
      </c>
      <c r="B82" s="1">
        <f>VALUE(RIGHT(A82,LEN(A82)-3))</f>
        <v>89</v>
      </c>
      <c r="C82" t="s">
        <v>32</v>
      </c>
      <c r="D82">
        <v>1</v>
      </c>
      <c r="E82" t="s">
        <v>35</v>
      </c>
      <c r="F82">
        <v>0</v>
      </c>
      <c r="H82" t="s">
        <v>622</v>
      </c>
      <c r="J82" t="s">
        <v>338</v>
      </c>
      <c r="K82" t="s">
        <v>623</v>
      </c>
      <c r="L82" t="s">
        <v>29</v>
      </c>
      <c r="M82" t="s">
        <v>30</v>
      </c>
      <c r="N82" t="s">
        <v>31</v>
      </c>
      <c r="T82" t="s">
        <v>103</v>
      </c>
      <c r="U82" t="s">
        <v>492</v>
      </c>
      <c r="V82" t="s">
        <v>48</v>
      </c>
      <c r="W82" t="s">
        <v>626</v>
      </c>
    </row>
    <row r="83" spans="1:23" hidden="1" x14ac:dyDescent="0.2">
      <c r="A83" t="s">
        <v>637</v>
      </c>
      <c r="B83" s="1">
        <f>VALUE(RIGHT(A83,LEN(A83)-3))</f>
        <v>91</v>
      </c>
      <c r="C83" t="s">
        <v>44</v>
      </c>
      <c r="D83">
        <v>0</v>
      </c>
      <c r="F83">
        <v>0</v>
      </c>
      <c r="H83" t="s">
        <v>638</v>
      </c>
      <c r="J83" t="s">
        <v>357</v>
      </c>
      <c r="K83" t="s">
        <v>639</v>
      </c>
      <c r="L83" t="s">
        <v>43</v>
      </c>
      <c r="M83" t="s">
        <v>30</v>
      </c>
      <c r="N83" t="s">
        <v>31</v>
      </c>
      <c r="T83" t="s">
        <v>36</v>
      </c>
      <c r="U83" t="s">
        <v>641</v>
      </c>
      <c r="V83" t="s">
        <v>48</v>
      </c>
      <c r="W83" t="s">
        <v>642</v>
      </c>
    </row>
    <row r="84" spans="1:23" hidden="1" x14ac:dyDescent="0.2">
      <c r="A84" t="s">
        <v>649</v>
      </c>
      <c r="B84" s="1">
        <f>VALUE(RIGHT(A84,LEN(A84)-3))</f>
        <v>93</v>
      </c>
      <c r="C84" t="s">
        <v>44</v>
      </c>
      <c r="D84">
        <v>0</v>
      </c>
      <c r="F84">
        <v>0</v>
      </c>
      <c r="H84" t="s">
        <v>650</v>
      </c>
      <c r="J84" t="s">
        <v>357</v>
      </c>
      <c r="K84" t="s">
        <v>651</v>
      </c>
      <c r="L84" t="s">
        <v>29</v>
      </c>
      <c r="M84" t="s">
        <v>30</v>
      </c>
      <c r="N84" t="s">
        <v>31</v>
      </c>
      <c r="P84">
        <v>31</v>
      </c>
      <c r="T84" t="s">
        <v>36</v>
      </c>
      <c r="U84" t="s">
        <v>104</v>
      </c>
      <c r="V84" t="s">
        <v>48</v>
      </c>
    </row>
    <row r="85" spans="1:23" x14ac:dyDescent="0.2">
      <c r="A85" t="s">
        <v>658</v>
      </c>
      <c r="B85" s="1">
        <f>VALUE(RIGHT(A85,LEN(A85)-3))</f>
        <v>95</v>
      </c>
      <c r="C85" t="s">
        <v>32</v>
      </c>
      <c r="D85">
        <v>1</v>
      </c>
      <c r="E85" t="s">
        <v>57</v>
      </c>
      <c r="F85">
        <v>1</v>
      </c>
      <c r="G85" t="s">
        <v>58</v>
      </c>
      <c r="H85" t="s">
        <v>659</v>
      </c>
      <c r="J85" t="s">
        <v>52</v>
      </c>
      <c r="K85" t="s">
        <v>660</v>
      </c>
      <c r="L85" t="s">
        <v>29</v>
      </c>
      <c r="M85" t="s">
        <v>30</v>
      </c>
      <c r="N85" t="s">
        <v>31</v>
      </c>
      <c r="T85" t="s">
        <v>59</v>
      </c>
      <c r="U85" t="s">
        <v>201</v>
      </c>
      <c r="V85" t="s">
        <v>61</v>
      </c>
      <c r="W85" t="s">
        <v>663</v>
      </c>
    </row>
    <row r="86" spans="1:23" hidden="1" x14ac:dyDescent="0.2">
      <c r="A86" t="s">
        <v>664</v>
      </c>
      <c r="B86" s="1">
        <f>VALUE(RIGHT(A86,LEN(A86)-3))</f>
        <v>96</v>
      </c>
      <c r="C86" t="s">
        <v>44</v>
      </c>
      <c r="D86">
        <v>0</v>
      </c>
      <c r="F86">
        <v>0</v>
      </c>
      <c r="H86" t="s">
        <v>665</v>
      </c>
      <c r="J86" t="s">
        <v>258</v>
      </c>
      <c r="K86" t="s">
        <v>259</v>
      </c>
      <c r="L86" t="s">
        <v>43</v>
      </c>
      <c r="M86" t="s">
        <v>30</v>
      </c>
      <c r="N86" t="s">
        <v>31</v>
      </c>
      <c r="P86">
        <v>41</v>
      </c>
      <c r="T86" t="s">
        <v>36</v>
      </c>
      <c r="U86" t="s">
        <v>181</v>
      </c>
      <c r="V86" t="s">
        <v>48</v>
      </c>
      <c r="W86" t="s">
        <v>667</v>
      </c>
    </row>
    <row r="87" spans="1:23" x14ac:dyDescent="0.2">
      <c r="A87" t="s">
        <v>668</v>
      </c>
      <c r="B87" s="1">
        <f>VALUE(RIGHT(A87,LEN(A87)-3))</f>
        <v>97</v>
      </c>
      <c r="C87" t="s">
        <v>32</v>
      </c>
      <c r="D87">
        <v>1</v>
      </c>
      <c r="E87" t="s">
        <v>57</v>
      </c>
      <c r="F87">
        <v>1</v>
      </c>
      <c r="G87" t="s">
        <v>123</v>
      </c>
      <c r="H87" t="s">
        <v>669</v>
      </c>
      <c r="J87" t="s">
        <v>178</v>
      </c>
      <c r="L87" t="s">
        <v>43</v>
      </c>
      <c r="M87" t="s">
        <v>30</v>
      </c>
      <c r="N87" t="s">
        <v>31</v>
      </c>
      <c r="P87">
        <v>2</v>
      </c>
      <c r="T87" t="s">
        <v>36</v>
      </c>
      <c r="U87" t="s">
        <v>308</v>
      </c>
      <c r="V87" t="s">
        <v>61</v>
      </c>
      <c r="W87" t="s">
        <v>672</v>
      </c>
    </row>
    <row r="88" spans="1:23" hidden="1" x14ac:dyDescent="0.2">
      <c r="A88" t="s">
        <v>673</v>
      </c>
      <c r="B88" s="1">
        <f>VALUE(RIGHT(A88,LEN(A88)-3))</f>
        <v>98</v>
      </c>
      <c r="C88" t="s">
        <v>44</v>
      </c>
      <c r="D88">
        <v>0</v>
      </c>
      <c r="F88">
        <v>0</v>
      </c>
      <c r="H88" t="s">
        <v>674</v>
      </c>
      <c r="J88" t="s">
        <v>357</v>
      </c>
      <c r="K88" t="s">
        <v>455</v>
      </c>
      <c r="L88" t="s">
        <v>43</v>
      </c>
      <c r="M88" t="s">
        <v>30</v>
      </c>
      <c r="N88" t="s">
        <v>31</v>
      </c>
      <c r="T88" t="s">
        <v>36</v>
      </c>
      <c r="U88" t="s">
        <v>308</v>
      </c>
      <c r="V88" t="s">
        <v>61</v>
      </c>
      <c r="W88" t="s">
        <v>676</v>
      </c>
    </row>
    <row r="89" spans="1:23" x14ac:dyDescent="0.2">
      <c r="A89" t="s">
        <v>683</v>
      </c>
      <c r="B89" s="1">
        <f>VALUE(RIGHT(A89,LEN(A89)-3))</f>
        <v>100</v>
      </c>
      <c r="C89" t="s">
        <v>32</v>
      </c>
      <c r="D89">
        <v>1</v>
      </c>
      <c r="E89" t="s">
        <v>57</v>
      </c>
      <c r="F89">
        <v>0</v>
      </c>
      <c r="H89" t="s">
        <v>684</v>
      </c>
      <c r="I89">
        <v>34</v>
      </c>
      <c r="J89" t="s">
        <v>27</v>
      </c>
      <c r="K89" t="s">
        <v>373</v>
      </c>
      <c r="L89" t="s">
        <v>83</v>
      </c>
      <c r="M89" t="s">
        <v>30</v>
      </c>
      <c r="N89" t="s">
        <v>31</v>
      </c>
      <c r="T89" t="s">
        <v>173</v>
      </c>
      <c r="U89" t="s">
        <v>201</v>
      </c>
      <c r="V89" t="s">
        <v>598</v>
      </c>
      <c r="W89" t="s">
        <v>687</v>
      </c>
    </row>
    <row r="90" spans="1:23" x14ac:dyDescent="0.2">
      <c r="A90" t="s">
        <v>688</v>
      </c>
      <c r="B90" s="1">
        <f>VALUE(RIGHT(A90,LEN(A90)-3))</f>
        <v>101</v>
      </c>
      <c r="C90" t="s">
        <v>32</v>
      </c>
      <c r="D90">
        <v>1</v>
      </c>
      <c r="E90" t="s">
        <v>57</v>
      </c>
      <c r="F90">
        <v>1</v>
      </c>
      <c r="G90" t="s">
        <v>58</v>
      </c>
      <c r="H90" t="s">
        <v>689</v>
      </c>
      <c r="J90" t="s">
        <v>690</v>
      </c>
      <c r="K90" t="s">
        <v>691</v>
      </c>
      <c r="L90" t="s">
        <v>29</v>
      </c>
      <c r="M90" t="s">
        <v>30</v>
      </c>
      <c r="N90" t="s">
        <v>31</v>
      </c>
      <c r="T90" t="s">
        <v>59</v>
      </c>
      <c r="U90" t="s">
        <v>201</v>
      </c>
      <c r="V90" t="s">
        <v>61</v>
      </c>
      <c r="W90" t="s">
        <v>694</v>
      </c>
    </row>
    <row r="91" spans="1:23" x14ac:dyDescent="0.2">
      <c r="A91" t="s">
        <v>702</v>
      </c>
      <c r="B91" s="1">
        <f>VALUE(RIGHT(A91,LEN(A91)-3))</f>
        <v>103</v>
      </c>
      <c r="C91" t="s">
        <v>32</v>
      </c>
      <c r="D91">
        <v>1</v>
      </c>
      <c r="E91" t="s">
        <v>57</v>
      </c>
      <c r="F91">
        <v>2</v>
      </c>
      <c r="G91" t="s">
        <v>706</v>
      </c>
      <c r="H91" t="s">
        <v>703</v>
      </c>
      <c r="J91" t="s">
        <v>120</v>
      </c>
      <c r="K91" t="s">
        <v>704</v>
      </c>
      <c r="L91" t="s">
        <v>43</v>
      </c>
      <c r="M91" t="s">
        <v>30</v>
      </c>
      <c r="N91" t="s">
        <v>31</v>
      </c>
      <c r="T91" t="s">
        <v>173</v>
      </c>
      <c r="U91" t="s">
        <v>707</v>
      </c>
      <c r="V91" t="s">
        <v>182</v>
      </c>
      <c r="W91" t="s">
        <v>708</v>
      </c>
    </row>
    <row r="92" spans="1:23" x14ac:dyDescent="0.2">
      <c r="A92" t="s">
        <v>709</v>
      </c>
      <c r="B92" s="1">
        <f>VALUE(RIGHT(A92,LEN(A92)-3))</f>
        <v>104</v>
      </c>
      <c r="C92" t="s">
        <v>32</v>
      </c>
      <c r="D92">
        <v>1</v>
      </c>
      <c r="E92" t="s">
        <v>57</v>
      </c>
      <c r="F92">
        <v>2</v>
      </c>
      <c r="G92" t="s">
        <v>241</v>
      </c>
      <c r="H92" t="s">
        <v>710</v>
      </c>
      <c r="J92" t="s">
        <v>27</v>
      </c>
      <c r="K92" t="s">
        <v>82</v>
      </c>
      <c r="L92" t="s">
        <v>83</v>
      </c>
      <c r="M92" t="s">
        <v>30</v>
      </c>
      <c r="N92" t="s">
        <v>31</v>
      </c>
      <c r="T92" t="s">
        <v>200</v>
      </c>
      <c r="U92" t="s">
        <v>713</v>
      </c>
      <c r="V92" t="s">
        <v>598</v>
      </c>
      <c r="W92" t="s">
        <v>714</v>
      </c>
    </row>
    <row r="93" spans="1:23" x14ac:dyDescent="0.2">
      <c r="A93" t="s">
        <v>715</v>
      </c>
      <c r="B93" s="1">
        <f>VALUE(RIGHT(A93,LEN(A93)-3))</f>
        <v>105</v>
      </c>
      <c r="C93" t="s">
        <v>32</v>
      </c>
      <c r="D93">
        <v>1</v>
      </c>
      <c r="E93" t="s">
        <v>130</v>
      </c>
      <c r="F93">
        <v>0</v>
      </c>
      <c r="H93" t="s">
        <v>716</v>
      </c>
      <c r="I93">
        <v>42</v>
      </c>
      <c r="J93" t="s">
        <v>27</v>
      </c>
      <c r="K93" t="s">
        <v>373</v>
      </c>
      <c r="L93" t="s">
        <v>83</v>
      </c>
      <c r="M93" t="s">
        <v>30</v>
      </c>
      <c r="N93" t="s">
        <v>31</v>
      </c>
      <c r="T93" t="s">
        <v>59</v>
      </c>
      <c r="U93" t="s">
        <v>201</v>
      </c>
      <c r="V93" t="s">
        <v>61</v>
      </c>
      <c r="W93" t="s">
        <v>719</v>
      </c>
    </row>
    <row r="94" spans="1:23" x14ac:dyDescent="0.2">
      <c r="A94" t="s">
        <v>720</v>
      </c>
      <c r="B94" s="1">
        <f>VALUE(RIGHT(A94,LEN(A94)-3))</f>
        <v>106</v>
      </c>
      <c r="C94" t="s">
        <v>32</v>
      </c>
      <c r="D94">
        <v>1</v>
      </c>
      <c r="E94" t="s">
        <v>57</v>
      </c>
      <c r="F94">
        <v>0</v>
      </c>
      <c r="H94" t="s">
        <v>721</v>
      </c>
      <c r="J94" t="s">
        <v>722</v>
      </c>
      <c r="K94" t="s">
        <v>259</v>
      </c>
      <c r="L94" t="s">
        <v>43</v>
      </c>
      <c r="M94" t="s">
        <v>30</v>
      </c>
      <c r="N94" t="s">
        <v>31</v>
      </c>
      <c r="P94">
        <v>500</v>
      </c>
      <c r="T94" t="s">
        <v>173</v>
      </c>
      <c r="U94" t="s">
        <v>353</v>
      </c>
      <c r="V94" t="s">
        <v>48</v>
      </c>
      <c r="W94" t="s">
        <v>725</v>
      </c>
    </row>
    <row r="95" spans="1:23" x14ac:dyDescent="0.2">
      <c r="A95" t="s">
        <v>726</v>
      </c>
      <c r="B95" s="1">
        <f>VALUE(RIGHT(A95,LEN(A95)-3))</f>
        <v>107</v>
      </c>
      <c r="C95" t="s">
        <v>32</v>
      </c>
      <c r="D95">
        <v>2</v>
      </c>
      <c r="E95" t="s">
        <v>94</v>
      </c>
      <c r="F95">
        <v>3</v>
      </c>
      <c r="G95" t="s">
        <v>730</v>
      </c>
      <c r="H95" t="s">
        <v>727</v>
      </c>
      <c r="J95" t="s">
        <v>217</v>
      </c>
      <c r="K95" t="s">
        <v>385</v>
      </c>
      <c r="L95" t="s">
        <v>43</v>
      </c>
      <c r="M95" t="s">
        <v>30</v>
      </c>
      <c r="N95" t="s">
        <v>31</v>
      </c>
      <c r="T95" t="s">
        <v>36</v>
      </c>
      <c r="U95" t="s">
        <v>388</v>
      </c>
      <c r="V95" t="s">
        <v>61</v>
      </c>
      <c r="W95" t="s">
        <v>731</v>
      </c>
    </row>
    <row r="96" spans="1:23" hidden="1" x14ac:dyDescent="0.2">
      <c r="A96" t="s">
        <v>732</v>
      </c>
      <c r="B96" s="1">
        <f>VALUE(RIGHT(A96,LEN(A96)-3))</f>
        <v>108</v>
      </c>
      <c r="C96" t="s">
        <v>44</v>
      </c>
      <c r="D96">
        <v>0</v>
      </c>
      <c r="F96">
        <v>0</v>
      </c>
      <c r="H96" t="s">
        <v>733</v>
      </c>
      <c r="I96">
        <v>59</v>
      </c>
      <c r="J96" t="s">
        <v>178</v>
      </c>
      <c r="K96" t="s">
        <v>734</v>
      </c>
      <c r="L96" t="s">
        <v>43</v>
      </c>
      <c r="M96" t="s">
        <v>30</v>
      </c>
      <c r="N96" t="s">
        <v>31</v>
      </c>
      <c r="T96" t="s">
        <v>36</v>
      </c>
      <c r="U96" t="s">
        <v>736</v>
      </c>
      <c r="V96" t="s">
        <v>48</v>
      </c>
      <c r="W96" t="s">
        <v>737</v>
      </c>
    </row>
    <row r="97" spans="1:23" x14ac:dyDescent="0.2">
      <c r="A97" t="s">
        <v>738</v>
      </c>
      <c r="B97" s="1">
        <f>VALUE(RIGHT(A97,LEN(A97)-3))</f>
        <v>109</v>
      </c>
      <c r="C97" t="s">
        <v>32</v>
      </c>
      <c r="D97">
        <v>1</v>
      </c>
      <c r="E97" t="s">
        <v>57</v>
      </c>
      <c r="F97">
        <v>0</v>
      </c>
      <c r="H97" t="s">
        <v>739</v>
      </c>
      <c r="J97" t="s">
        <v>357</v>
      </c>
      <c r="K97" t="s">
        <v>740</v>
      </c>
      <c r="L97" t="s">
        <v>29</v>
      </c>
      <c r="M97" t="s">
        <v>30</v>
      </c>
      <c r="N97" t="s">
        <v>31</v>
      </c>
      <c r="T97" t="s">
        <v>173</v>
      </c>
      <c r="U97" t="s">
        <v>174</v>
      </c>
      <c r="V97" t="s">
        <v>61</v>
      </c>
      <c r="W97" t="s">
        <v>742</v>
      </c>
    </row>
    <row r="98" spans="1:23" hidden="1" x14ac:dyDescent="0.2">
      <c r="A98" t="s">
        <v>743</v>
      </c>
      <c r="B98" s="1">
        <f>VALUE(RIGHT(A98,LEN(A98)-3))</f>
        <v>110</v>
      </c>
      <c r="C98" t="s">
        <v>44</v>
      </c>
      <c r="D98">
        <v>0</v>
      </c>
      <c r="F98">
        <v>0</v>
      </c>
      <c r="H98" t="s">
        <v>744</v>
      </c>
      <c r="J98" t="s">
        <v>52</v>
      </c>
      <c r="K98" t="s">
        <v>745</v>
      </c>
      <c r="L98" t="s">
        <v>746</v>
      </c>
      <c r="M98" t="s">
        <v>30</v>
      </c>
      <c r="N98" t="s">
        <v>31</v>
      </c>
      <c r="T98" t="s">
        <v>36</v>
      </c>
      <c r="U98" t="s">
        <v>308</v>
      </c>
      <c r="V98" t="s">
        <v>61</v>
      </c>
      <c r="W98" t="s">
        <v>748</v>
      </c>
    </row>
    <row r="99" spans="1:23" x14ac:dyDescent="0.2">
      <c r="A99" t="s">
        <v>749</v>
      </c>
      <c r="B99" s="1">
        <f>VALUE(RIGHT(A99,LEN(A99)-3))</f>
        <v>111</v>
      </c>
      <c r="C99" t="s">
        <v>32</v>
      </c>
      <c r="D99">
        <v>1</v>
      </c>
      <c r="E99" t="s">
        <v>130</v>
      </c>
      <c r="F99">
        <v>0</v>
      </c>
      <c r="H99" t="s">
        <v>750</v>
      </c>
      <c r="J99" t="s">
        <v>357</v>
      </c>
      <c r="L99" t="s">
        <v>29</v>
      </c>
      <c r="M99" t="s">
        <v>30</v>
      </c>
      <c r="N99" t="s">
        <v>31</v>
      </c>
      <c r="P99">
        <v>20</v>
      </c>
      <c r="T99" t="s">
        <v>86</v>
      </c>
      <c r="U99" t="s">
        <v>87</v>
      </c>
      <c r="V99" t="s">
        <v>753</v>
      </c>
      <c r="W99" t="s">
        <v>754</v>
      </c>
    </row>
    <row r="100" spans="1:23" x14ac:dyDescent="0.2">
      <c r="A100" t="s">
        <v>755</v>
      </c>
      <c r="B100" s="1">
        <f>VALUE(RIGHT(A100,LEN(A100)-3))</f>
        <v>112</v>
      </c>
      <c r="C100" t="s">
        <v>32</v>
      </c>
      <c r="D100">
        <v>2</v>
      </c>
      <c r="E100" t="s">
        <v>94</v>
      </c>
      <c r="F100">
        <v>1</v>
      </c>
      <c r="G100" t="s">
        <v>68</v>
      </c>
      <c r="H100" t="s">
        <v>756</v>
      </c>
      <c r="I100">
        <v>29</v>
      </c>
      <c r="J100" t="s">
        <v>357</v>
      </c>
      <c r="K100" t="s">
        <v>373</v>
      </c>
      <c r="L100" t="s">
        <v>83</v>
      </c>
      <c r="M100" t="s">
        <v>30</v>
      </c>
      <c r="N100" t="s">
        <v>31</v>
      </c>
      <c r="T100" t="s">
        <v>200</v>
      </c>
      <c r="U100" t="s">
        <v>759</v>
      </c>
      <c r="V100" t="s">
        <v>760</v>
      </c>
      <c r="W100" t="s">
        <v>761</v>
      </c>
    </row>
    <row r="101" spans="1:23" hidden="1" x14ac:dyDescent="0.2">
      <c r="A101" t="s">
        <v>769</v>
      </c>
      <c r="B101" s="1">
        <f>VALUE(RIGHT(A101,LEN(A101)-3))</f>
        <v>114</v>
      </c>
      <c r="C101" t="s">
        <v>44</v>
      </c>
      <c r="D101">
        <v>0</v>
      </c>
      <c r="F101">
        <v>0</v>
      </c>
      <c r="H101" t="s">
        <v>770</v>
      </c>
      <c r="I101">
        <v>57</v>
      </c>
      <c r="J101" t="s">
        <v>178</v>
      </c>
      <c r="K101" t="s">
        <v>410</v>
      </c>
      <c r="L101" t="s">
        <v>43</v>
      </c>
      <c r="M101" t="s">
        <v>30</v>
      </c>
      <c r="N101" t="s">
        <v>31</v>
      </c>
      <c r="T101" t="s">
        <v>86</v>
      </c>
      <c r="U101" t="s">
        <v>87</v>
      </c>
      <c r="V101" t="s">
        <v>182</v>
      </c>
      <c r="W101" t="s">
        <v>772</v>
      </c>
    </row>
    <row r="102" spans="1:23" x14ac:dyDescent="0.2">
      <c r="A102" t="s">
        <v>773</v>
      </c>
      <c r="B102" s="1">
        <f>VALUE(RIGHT(A102,LEN(A102)-3))</f>
        <v>115</v>
      </c>
      <c r="C102" t="s">
        <v>32</v>
      </c>
      <c r="D102">
        <v>2</v>
      </c>
      <c r="E102" t="s">
        <v>94</v>
      </c>
      <c r="F102">
        <v>2</v>
      </c>
      <c r="G102" t="s">
        <v>284</v>
      </c>
      <c r="H102" t="s">
        <v>774</v>
      </c>
      <c r="J102" t="s">
        <v>357</v>
      </c>
      <c r="K102" t="s">
        <v>775</v>
      </c>
      <c r="L102" t="s">
        <v>43</v>
      </c>
      <c r="M102" t="s">
        <v>30</v>
      </c>
      <c r="N102" t="s">
        <v>31</v>
      </c>
      <c r="P102">
        <v>65</v>
      </c>
      <c r="T102" t="s">
        <v>36</v>
      </c>
      <c r="U102" t="s">
        <v>778</v>
      </c>
      <c r="V102" t="s">
        <v>779</v>
      </c>
      <c r="W102" t="s">
        <v>780</v>
      </c>
    </row>
    <row r="103" spans="1:23" x14ac:dyDescent="0.2">
      <c r="A103" t="s">
        <v>788</v>
      </c>
      <c r="B103" s="1">
        <f>VALUE(RIGHT(A103,LEN(A103)-3))</f>
        <v>117</v>
      </c>
      <c r="C103" t="s">
        <v>32</v>
      </c>
      <c r="D103">
        <v>2</v>
      </c>
      <c r="E103" t="s">
        <v>57</v>
      </c>
      <c r="F103">
        <v>1</v>
      </c>
      <c r="G103" t="s">
        <v>58</v>
      </c>
      <c r="H103" t="s">
        <v>789</v>
      </c>
      <c r="J103" t="s">
        <v>27</v>
      </c>
      <c r="L103" t="s">
        <v>43</v>
      </c>
      <c r="M103" t="s">
        <v>30</v>
      </c>
      <c r="N103" t="s">
        <v>31</v>
      </c>
      <c r="T103" t="s">
        <v>36</v>
      </c>
      <c r="U103" t="s">
        <v>234</v>
      </c>
      <c r="V103" t="s">
        <v>61</v>
      </c>
      <c r="W103" t="s">
        <v>792</v>
      </c>
    </row>
    <row r="104" spans="1:23" x14ac:dyDescent="0.2">
      <c r="A104" t="s">
        <v>793</v>
      </c>
      <c r="B104" s="1">
        <f>VALUE(RIGHT(A104,LEN(A104)-3))</f>
        <v>118</v>
      </c>
      <c r="C104" t="s">
        <v>32</v>
      </c>
      <c r="D104">
        <v>1</v>
      </c>
      <c r="E104" t="s">
        <v>57</v>
      </c>
      <c r="F104">
        <v>2</v>
      </c>
      <c r="G104" t="s">
        <v>58</v>
      </c>
      <c r="H104" t="s">
        <v>794</v>
      </c>
      <c r="J104" t="s">
        <v>690</v>
      </c>
      <c r="K104" t="s">
        <v>795</v>
      </c>
      <c r="L104" t="s">
        <v>29</v>
      </c>
      <c r="M104" t="s">
        <v>30</v>
      </c>
      <c r="N104" t="s">
        <v>31</v>
      </c>
      <c r="P104">
        <v>30</v>
      </c>
      <c r="T104" t="s">
        <v>59</v>
      </c>
      <c r="U104" t="s">
        <v>78</v>
      </c>
      <c r="V104" t="s">
        <v>48</v>
      </c>
      <c r="W104" t="s">
        <v>797</v>
      </c>
    </row>
    <row r="105" spans="1:23" x14ac:dyDescent="0.2">
      <c r="A105" t="s">
        <v>798</v>
      </c>
      <c r="B105" s="1">
        <f>VALUE(RIGHT(A105,LEN(A105)-3))</f>
        <v>119</v>
      </c>
      <c r="C105" t="s">
        <v>32</v>
      </c>
      <c r="D105">
        <v>1</v>
      </c>
      <c r="E105" t="s">
        <v>57</v>
      </c>
      <c r="F105">
        <v>0</v>
      </c>
      <c r="H105" t="s">
        <v>799</v>
      </c>
      <c r="J105" t="s">
        <v>800</v>
      </c>
      <c r="K105" t="s">
        <v>259</v>
      </c>
      <c r="L105" t="s">
        <v>43</v>
      </c>
      <c r="M105" t="s">
        <v>30</v>
      </c>
      <c r="N105" t="s">
        <v>31</v>
      </c>
      <c r="P105">
        <v>64</v>
      </c>
      <c r="T105" t="s">
        <v>200</v>
      </c>
      <c r="U105" t="s">
        <v>201</v>
      </c>
      <c r="V105" t="s">
        <v>61</v>
      </c>
      <c r="W105" t="s">
        <v>803</v>
      </c>
    </row>
    <row r="106" spans="1:23" x14ac:dyDescent="0.2">
      <c r="A106" t="s">
        <v>809</v>
      </c>
      <c r="B106" s="1">
        <f>VALUE(RIGHT(A106,LEN(A106)-3))</f>
        <v>121</v>
      </c>
      <c r="C106" t="s">
        <v>32</v>
      </c>
      <c r="D106">
        <v>1</v>
      </c>
      <c r="E106" t="s">
        <v>35</v>
      </c>
      <c r="F106">
        <v>0</v>
      </c>
      <c r="H106" t="s">
        <v>810</v>
      </c>
      <c r="J106" t="s">
        <v>690</v>
      </c>
      <c r="K106" t="s">
        <v>811</v>
      </c>
      <c r="L106" t="s">
        <v>54</v>
      </c>
      <c r="M106" t="s">
        <v>30</v>
      </c>
      <c r="N106" t="s">
        <v>31</v>
      </c>
      <c r="P106">
        <v>240</v>
      </c>
      <c r="T106" t="s">
        <v>166</v>
      </c>
      <c r="U106" t="s">
        <v>194</v>
      </c>
      <c r="V106" t="s">
        <v>61</v>
      </c>
      <c r="W106" t="s">
        <v>814</v>
      </c>
    </row>
    <row r="107" spans="1:23" x14ac:dyDescent="0.2">
      <c r="A107" t="s">
        <v>815</v>
      </c>
      <c r="B107" s="1">
        <f>VALUE(RIGHT(A107,LEN(A107)-3))</f>
        <v>122</v>
      </c>
      <c r="C107" t="s">
        <v>32</v>
      </c>
      <c r="D107">
        <v>1</v>
      </c>
      <c r="E107" t="s">
        <v>130</v>
      </c>
      <c r="F107">
        <v>0</v>
      </c>
      <c r="H107" t="s">
        <v>816</v>
      </c>
      <c r="J107" t="s">
        <v>150</v>
      </c>
      <c r="K107" t="s">
        <v>151</v>
      </c>
      <c r="L107" t="s">
        <v>43</v>
      </c>
      <c r="M107" t="s">
        <v>30</v>
      </c>
      <c r="N107" t="s">
        <v>31</v>
      </c>
      <c r="T107" t="s">
        <v>200</v>
      </c>
      <c r="U107" t="s">
        <v>819</v>
      </c>
      <c r="V107" t="s">
        <v>48</v>
      </c>
      <c r="W107" t="s">
        <v>820</v>
      </c>
    </row>
    <row r="108" spans="1:23" hidden="1" x14ac:dyDescent="0.2">
      <c r="A108" t="s">
        <v>853</v>
      </c>
      <c r="B108" s="1">
        <f>VALUE(RIGHT(A108,LEN(A108)-3))</f>
        <v>129</v>
      </c>
      <c r="C108" t="s">
        <v>44</v>
      </c>
      <c r="D108">
        <v>0</v>
      </c>
      <c r="F108">
        <v>0</v>
      </c>
      <c r="H108" t="s">
        <v>854</v>
      </c>
      <c r="J108" t="s">
        <v>423</v>
      </c>
      <c r="K108" t="s">
        <v>855</v>
      </c>
      <c r="L108" t="s">
        <v>83</v>
      </c>
      <c r="M108" t="s">
        <v>30</v>
      </c>
      <c r="N108" t="s">
        <v>31</v>
      </c>
      <c r="T108" t="s">
        <v>173</v>
      </c>
      <c r="U108" t="s">
        <v>857</v>
      </c>
      <c r="V108" t="s">
        <v>753</v>
      </c>
      <c r="W108" t="s">
        <v>858</v>
      </c>
    </row>
    <row r="109" spans="1:23" hidden="1" x14ac:dyDescent="0.2">
      <c r="A109" t="s">
        <v>859</v>
      </c>
      <c r="B109" s="1">
        <f>VALUE(RIGHT(A109,LEN(A109)-3))</f>
        <v>130</v>
      </c>
      <c r="C109" t="s">
        <v>44</v>
      </c>
      <c r="D109">
        <v>0</v>
      </c>
      <c r="F109">
        <v>0</v>
      </c>
      <c r="H109" t="s">
        <v>860</v>
      </c>
      <c r="J109" t="s">
        <v>27</v>
      </c>
      <c r="K109" t="s">
        <v>264</v>
      </c>
      <c r="L109" t="s">
        <v>43</v>
      </c>
      <c r="M109" t="s">
        <v>30</v>
      </c>
      <c r="N109" t="s">
        <v>31</v>
      </c>
      <c r="T109" t="s">
        <v>173</v>
      </c>
      <c r="U109" t="s">
        <v>308</v>
      </c>
      <c r="V109" t="s">
        <v>61</v>
      </c>
      <c r="W109" t="s">
        <v>862</v>
      </c>
    </row>
    <row r="110" spans="1:23" x14ac:dyDescent="0.2">
      <c r="A110" t="s">
        <v>863</v>
      </c>
      <c r="B110" s="1">
        <f>VALUE(RIGHT(A110,LEN(A110)-3))</f>
        <v>131</v>
      </c>
      <c r="C110" t="s">
        <v>32</v>
      </c>
      <c r="D110">
        <v>2</v>
      </c>
      <c r="E110" t="s">
        <v>94</v>
      </c>
      <c r="F110">
        <v>1</v>
      </c>
      <c r="G110" t="s">
        <v>68</v>
      </c>
      <c r="H110" t="s">
        <v>864</v>
      </c>
      <c r="J110" t="s">
        <v>357</v>
      </c>
      <c r="L110" t="s">
        <v>29</v>
      </c>
      <c r="M110" t="s">
        <v>30</v>
      </c>
      <c r="N110" t="s">
        <v>31</v>
      </c>
      <c r="T110" t="s">
        <v>200</v>
      </c>
      <c r="U110" t="s">
        <v>867</v>
      </c>
      <c r="V110" t="s">
        <v>38</v>
      </c>
      <c r="W110" t="s">
        <v>868</v>
      </c>
    </row>
    <row r="111" spans="1:23" x14ac:dyDescent="0.2">
      <c r="A111" t="s">
        <v>885</v>
      </c>
      <c r="B111" s="1">
        <f>VALUE(RIGHT(A111,LEN(A111)-3))</f>
        <v>135</v>
      </c>
      <c r="C111" t="s">
        <v>32</v>
      </c>
      <c r="D111">
        <v>1</v>
      </c>
      <c r="E111" t="s">
        <v>57</v>
      </c>
      <c r="F111">
        <v>0</v>
      </c>
      <c r="H111" t="s">
        <v>886</v>
      </c>
      <c r="J111" t="s">
        <v>423</v>
      </c>
      <c r="K111" t="s">
        <v>259</v>
      </c>
      <c r="L111" t="s">
        <v>43</v>
      </c>
      <c r="M111" t="s">
        <v>30</v>
      </c>
      <c r="N111" t="s">
        <v>31</v>
      </c>
      <c r="T111" t="s">
        <v>889</v>
      </c>
      <c r="U111" t="s">
        <v>851</v>
      </c>
      <c r="V111" t="s">
        <v>61</v>
      </c>
      <c r="W111" t="s">
        <v>890</v>
      </c>
    </row>
    <row r="112" spans="1:23" x14ac:dyDescent="0.2">
      <c r="A112" t="s">
        <v>918</v>
      </c>
      <c r="B112" s="1">
        <f>VALUE(RIGHT(A112,LEN(A112)-3))</f>
        <v>140</v>
      </c>
      <c r="C112" t="s">
        <v>32</v>
      </c>
      <c r="D112">
        <v>1</v>
      </c>
      <c r="E112" t="s">
        <v>35</v>
      </c>
      <c r="F112">
        <v>0</v>
      </c>
      <c r="H112" t="s">
        <v>919</v>
      </c>
      <c r="J112" t="s">
        <v>258</v>
      </c>
      <c r="K112" t="s">
        <v>920</v>
      </c>
      <c r="L112" t="s">
        <v>54</v>
      </c>
      <c r="M112" t="s">
        <v>30</v>
      </c>
      <c r="N112" t="s">
        <v>31</v>
      </c>
      <c r="T112" t="s">
        <v>36</v>
      </c>
      <c r="U112" t="s">
        <v>47</v>
      </c>
      <c r="V112" t="s">
        <v>61</v>
      </c>
      <c r="W112" t="s">
        <v>923</v>
      </c>
    </row>
    <row r="113" spans="1:23" x14ac:dyDescent="0.2">
      <c r="A113" t="s">
        <v>924</v>
      </c>
      <c r="B113" s="1">
        <f>VALUE(RIGHT(A113,LEN(A113)-3))</f>
        <v>141</v>
      </c>
      <c r="C113" t="s">
        <v>32</v>
      </c>
      <c r="D113">
        <v>2</v>
      </c>
      <c r="E113" t="s">
        <v>57</v>
      </c>
      <c r="F113">
        <v>2</v>
      </c>
      <c r="G113" t="s">
        <v>233</v>
      </c>
      <c r="H113" t="s">
        <v>925</v>
      </c>
      <c r="J113" t="s">
        <v>27</v>
      </c>
      <c r="K113" t="s">
        <v>926</v>
      </c>
      <c r="L113" t="s">
        <v>43</v>
      </c>
      <c r="M113" t="s">
        <v>30</v>
      </c>
      <c r="N113" t="s">
        <v>31</v>
      </c>
      <c r="T113" t="s">
        <v>36</v>
      </c>
      <c r="U113" t="s">
        <v>308</v>
      </c>
      <c r="V113" t="s">
        <v>61</v>
      </c>
      <c r="W113" t="s">
        <v>929</v>
      </c>
    </row>
    <row r="114" spans="1:23" x14ac:dyDescent="0.2">
      <c r="A114" t="s">
        <v>936</v>
      </c>
      <c r="B114" s="1">
        <f>VALUE(RIGHT(A114,LEN(A114)-3))</f>
        <v>143</v>
      </c>
      <c r="C114" t="s">
        <v>32</v>
      </c>
      <c r="D114">
        <v>1</v>
      </c>
      <c r="E114" t="s">
        <v>130</v>
      </c>
      <c r="F114">
        <v>0</v>
      </c>
      <c r="H114" t="s">
        <v>937</v>
      </c>
      <c r="J114" t="s">
        <v>27</v>
      </c>
      <c r="K114" t="s">
        <v>264</v>
      </c>
      <c r="L114" t="s">
        <v>29</v>
      </c>
      <c r="M114" t="s">
        <v>30</v>
      </c>
      <c r="N114" t="s">
        <v>31</v>
      </c>
      <c r="T114" t="s">
        <v>940</v>
      </c>
      <c r="U114" t="s">
        <v>941</v>
      </c>
      <c r="V114" t="s">
        <v>48</v>
      </c>
      <c r="W114" t="s">
        <v>942</v>
      </c>
    </row>
    <row r="115" spans="1:23" x14ac:dyDescent="0.2">
      <c r="A115" t="s">
        <v>946</v>
      </c>
      <c r="B115" s="1">
        <f>VALUE(RIGHT(A115,LEN(A115)-3))</f>
        <v>145</v>
      </c>
      <c r="C115" t="s">
        <v>32</v>
      </c>
      <c r="D115">
        <v>1</v>
      </c>
      <c r="E115" t="s">
        <v>57</v>
      </c>
      <c r="F115">
        <v>0</v>
      </c>
      <c r="H115" t="s">
        <v>947</v>
      </c>
      <c r="J115" t="s">
        <v>27</v>
      </c>
      <c r="K115" t="s">
        <v>948</v>
      </c>
      <c r="L115" t="s">
        <v>746</v>
      </c>
      <c r="M115" t="s">
        <v>30</v>
      </c>
      <c r="N115" t="s">
        <v>31</v>
      </c>
      <c r="T115" t="s">
        <v>59</v>
      </c>
      <c r="U115" t="s">
        <v>951</v>
      </c>
      <c r="V115" t="s">
        <v>194</v>
      </c>
      <c r="W115" t="s">
        <v>952</v>
      </c>
    </row>
    <row r="116" spans="1:23" x14ac:dyDescent="0.2">
      <c r="A116" t="s">
        <v>970</v>
      </c>
      <c r="B116" s="1">
        <f>VALUE(RIGHT(A116,LEN(A116)-3))</f>
        <v>149</v>
      </c>
      <c r="C116" t="s">
        <v>32</v>
      </c>
      <c r="D116">
        <v>1</v>
      </c>
      <c r="E116" t="s">
        <v>57</v>
      </c>
      <c r="F116">
        <v>2</v>
      </c>
      <c r="G116" t="s">
        <v>975</v>
      </c>
      <c r="H116" t="s">
        <v>971</v>
      </c>
      <c r="J116" t="s">
        <v>120</v>
      </c>
      <c r="K116" t="s">
        <v>972</v>
      </c>
      <c r="L116" t="s">
        <v>43</v>
      </c>
      <c r="M116" t="s">
        <v>30</v>
      </c>
      <c r="N116" t="s">
        <v>31</v>
      </c>
      <c r="P116">
        <v>6</v>
      </c>
      <c r="R116">
        <v>6000</v>
      </c>
      <c r="T116" t="s">
        <v>367</v>
      </c>
      <c r="U116" t="s">
        <v>368</v>
      </c>
      <c r="V116" t="s">
        <v>61</v>
      </c>
      <c r="W116" t="s">
        <v>976</v>
      </c>
    </row>
    <row r="117" spans="1:23" x14ac:dyDescent="0.2">
      <c r="A117" t="s">
        <v>982</v>
      </c>
      <c r="B117" s="1">
        <f>VALUE(RIGHT(A117,LEN(A117)-3))</f>
        <v>151</v>
      </c>
      <c r="C117" t="s">
        <v>32</v>
      </c>
      <c r="D117">
        <v>1</v>
      </c>
      <c r="E117" t="s">
        <v>57</v>
      </c>
      <c r="F117">
        <v>1</v>
      </c>
      <c r="G117" t="s">
        <v>58</v>
      </c>
      <c r="H117" t="s">
        <v>983</v>
      </c>
      <c r="J117" t="s">
        <v>27</v>
      </c>
      <c r="K117" t="s">
        <v>984</v>
      </c>
      <c r="L117" t="s">
        <v>29</v>
      </c>
      <c r="M117" t="s">
        <v>30</v>
      </c>
      <c r="N117" t="s">
        <v>31</v>
      </c>
      <c r="T117" t="s">
        <v>59</v>
      </c>
      <c r="U117" t="s">
        <v>201</v>
      </c>
      <c r="V117" t="s">
        <v>61</v>
      </c>
      <c r="W117" t="s">
        <v>987</v>
      </c>
    </row>
    <row r="118" spans="1:23" x14ac:dyDescent="0.2">
      <c r="A118" t="s">
        <v>988</v>
      </c>
      <c r="B118" s="1">
        <f>VALUE(RIGHT(A118,LEN(A118)-3))</f>
        <v>152</v>
      </c>
      <c r="C118" t="s">
        <v>32</v>
      </c>
      <c r="D118">
        <v>1</v>
      </c>
      <c r="E118" t="s">
        <v>57</v>
      </c>
      <c r="F118">
        <v>0</v>
      </c>
      <c r="H118" t="s">
        <v>989</v>
      </c>
      <c r="J118" t="s">
        <v>27</v>
      </c>
      <c r="K118" t="s">
        <v>385</v>
      </c>
      <c r="L118" t="s">
        <v>43</v>
      </c>
      <c r="M118" t="s">
        <v>30</v>
      </c>
      <c r="N118" t="s">
        <v>31</v>
      </c>
      <c r="T118" t="s">
        <v>36</v>
      </c>
      <c r="U118" t="s">
        <v>992</v>
      </c>
      <c r="V118" t="s">
        <v>61</v>
      </c>
      <c r="W118" t="s">
        <v>993</v>
      </c>
    </row>
    <row r="119" spans="1:23" x14ac:dyDescent="0.2">
      <c r="A119" t="s">
        <v>994</v>
      </c>
      <c r="B119" s="1">
        <f>VALUE(RIGHT(A119,LEN(A119)-3))</f>
        <v>153</v>
      </c>
      <c r="C119" t="s">
        <v>32</v>
      </c>
      <c r="D119">
        <v>1</v>
      </c>
      <c r="E119" t="s">
        <v>57</v>
      </c>
      <c r="F119">
        <v>0</v>
      </c>
      <c r="H119" t="s">
        <v>995</v>
      </c>
      <c r="J119" t="s">
        <v>357</v>
      </c>
      <c r="K119" t="s">
        <v>288</v>
      </c>
      <c r="L119" t="s">
        <v>43</v>
      </c>
      <c r="M119" t="s">
        <v>30</v>
      </c>
      <c r="N119" t="s">
        <v>31</v>
      </c>
      <c r="T119" t="s">
        <v>36</v>
      </c>
      <c r="U119" t="s">
        <v>998</v>
      </c>
      <c r="V119" t="s">
        <v>61</v>
      </c>
      <c r="W119" t="s">
        <v>999</v>
      </c>
    </row>
    <row r="120" spans="1:23" x14ac:dyDescent="0.2">
      <c r="A120" t="s">
        <v>1000</v>
      </c>
      <c r="B120" s="1">
        <f>VALUE(RIGHT(A120,LEN(A120)-3))</f>
        <v>154</v>
      </c>
      <c r="C120" t="s">
        <v>32</v>
      </c>
      <c r="D120">
        <v>1</v>
      </c>
      <c r="E120" t="s">
        <v>130</v>
      </c>
      <c r="F120">
        <v>0</v>
      </c>
      <c r="H120" t="s">
        <v>1001</v>
      </c>
      <c r="I120">
        <v>32</v>
      </c>
      <c r="J120" t="s">
        <v>178</v>
      </c>
      <c r="K120" t="s">
        <v>584</v>
      </c>
      <c r="L120" t="s">
        <v>43</v>
      </c>
      <c r="M120" t="s">
        <v>30</v>
      </c>
      <c r="N120" t="s">
        <v>31</v>
      </c>
      <c r="T120" t="s">
        <v>36</v>
      </c>
      <c r="U120" t="s">
        <v>234</v>
      </c>
      <c r="V120" t="s">
        <v>61</v>
      </c>
      <c r="W120" t="s">
        <v>1003</v>
      </c>
    </row>
    <row r="121" spans="1:23" x14ac:dyDescent="0.2">
      <c r="A121" t="s">
        <v>1004</v>
      </c>
      <c r="B121" s="1">
        <f>VALUE(RIGHT(A121,LEN(A121)-3))</f>
        <v>155</v>
      </c>
      <c r="C121" t="s">
        <v>32</v>
      </c>
      <c r="D121">
        <v>1</v>
      </c>
      <c r="E121" t="s">
        <v>57</v>
      </c>
      <c r="F121">
        <v>1</v>
      </c>
      <c r="G121" t="s">
        <v>68</v>
      </c>
      <c r="H121" t="s">
        <v>1005</v>
      </c>
      <c r="J121" t="s">
        <v>178</v>
      </c>
      <c r="K121" t="s">
        <v>1006</v>
      </c>
      <c r="L121" t="s">
        <v>43</v>
      </c>
      <c r="M121" t="s">
        <v>30</v>
      </c>
      <c r="N121" t="s">
        <v>31</v>
      </c>
      <c r="T121" t="s">
        <v>103</v>
      </c>
      <c r="U121" t="s">
        <v>845</v>
      </c>
      <c r="V121" t="s">
        <v>61</v>
      </c>
      <c r="W121" t="s">
        <v>1009</v>
      </c>
    </row>
    <row r="122" spans="1:23" x14ac:dyDescent="0.2">
      <c r="A122" t="s">
        <v>1010</v>
      </c>
      <c r="B122" s="1">
        <f>VALUE(RIGHT(A122,LEN(A122)-3))</f>
        <v>156</v>
      </c>
      <c r="C122" t="s">
        <v>32</v>
      </c>
      <c r="D122">
        <v>1</v>
      </c>
      <c r="E122" t="s">
        <v>57</v>
      </c>
      <c r="F122">
        <v>2</v>
      </c>
      <c r="G122" t="s">
        <v>267</v>
      </c>
      <c r="H122" t="s">
        <v>1005</v>
      </c>
      <c r="J122" t="s">
        <v>217</v>
      </c>
      <c r="K122" t="s">
        <v>259</v>
      </c>
      <c r="L122" t="s">
        <v>43</v>
      </c>
      <c r="M122" t="s">
        <v>30</v>
      </c>
      <c r="N122" t="s">
        <v>31</v>
      </c>
      <c r="O122">
        <v>1</v>
      </c>
      <c r="P122">
        <v>19</v>
      </c>
      <c r="R122">
        <v>1000</v>
      </c>
      <c r="T122" t="s">
        <v>36</v>
      </c>
      <c r="U122" t="s">
        <v>1012</v>
      </c>
      <c r="V122" t="s">
        <v>61</v>
      </c>
      <c r="W122" t="s">
        <v>1013</v>
      </c>
    </row>
    <row r="123" spans="1:23" x14ac:dyDescent="0.2">
      <c r="A123" t="s">
        <v>1020</v>
      </c>
      <c r="B123" s="1">
        <f>VALUE(RIGHT(A123,LEN(A123)-3))</f>
        <v>158</v>
      </c>
      <c r="C123" t="s">
        <v>32</v>
      </c>
      <c r="D123">
        <v>1</v>
      </c>
      <c r="E123" t="s">
        <v>57</v>
      </c>
      <c r="F123">
        <v>2</v>
      </c>
      <c r="G123" t="s">
        <v>58</v>
      </c>
      <c r="H123" t="s">
        <v>1021</v>
      </c>
      <c r="J123" t="s">
        <v>120</v>
      </c>
      <c r="K123" t="s">
        <v>1022</v>
      </c>
      <c r="L123" t="s">
        <v>54</v>
      </c>
      <c r="M123" t="s">
        <v>30</v>
      </c>
      <c r="N123" t="s">
        <v>31</v>
      </c>
      <c r="T123" t="s">
        <v>200</v>
      </c>
      <c r="U123" t="s">
        <v>1025</v>
      </c>
      <c r="V123" t="s">
        <v>61</v>
      </c>
      <c r="W123" t="s">
        <v>1026</v>
      </c>
    </row>
    <row r="124" spans="1:23" x14ac:dyDescent="0.2">
      <c r="A124" t="s">
        <v>1041</v>
      </c>
      <c r="B124" s="1">
        <f>VALUE(RIGHT(A124,LEN(A124)-3))</f>
        <v>162</v>
      </c>
      <c r="C124" t="s">
        <v>32</v>
      </c>
      <c r="D124">
        <v>1</v>
      </c>
      <c r="E124" t="s">
        <v>57</v>
      </c>
      <c r="F124">
        <v>0</v>
      </c>
      <c r="H124" t="s">
        <v>1042</v>
      </c>
      <c r="J124" t="s">
        <v>120</v>
      </c>
      <c r="K124" t="s">
        <v>1043</v>
      </c>
      <c r="L124" t="s">
        <v>29</v>
      </c>
      <c r="M124" t="s">
        <v>30</v>
      </c>
      <c r="N124" t="s">
        <v>31</v>
      </c>
      <c r="P124">
        <v>85</v>
      </c>
      <c r="R124">
        <v>370</v>
      </c>
      <c r="T124" t="s">
        <v>200</v>
      </c>
      <c r="U124" t="s">
        <v>1046</v>
      </c>
      <c r="V124" t="s">
        <v>598</v>
      </c>
      <c r="W124" t="s">
        <v>1047</v>
      </c>
    </row>
    <row r="125" spans="1:23" x14ac:dyDescent="0.2">
      <c r="A125" t="s">
        <v>1055</v>
      </c>
      <c r="B125" s="1">
        <f>VALUE(RIGHT(A125,LEN(A125)-3))</f>
        <v>164</v>
      </c>
      <c r="C125" t="s">
        <v>32</v>
      </c>
      <c r="D125">
        <v>1</v>
      </c>
      <c r="E125" t="s">
        <v>57</v>
      </c>
      <c r="F125">
        <v>1</v>
      </c>
      <c r="G125" t="s">
        <v>123</v>
      </c>
      <c r="H125" t="s">
        <v>1056</v>
      </c>
      <c r="J125" t="s">
        <v>357</v>
      </c>
      <c r="K125" t="s">
        <v>385</v>
      </c>
      <c r="L125" t="s">
        <v>43</v>
      </c>
      <c r="M125" t="s">
        <v>30</v>
      </c>
      <c r="N125" t="s">
        <v>31</v>
      </c>
      <c r="T125" t="s">
        <v>36</v>
      </c>
      <c r="U125" t="s">
        <v>1058</v>
      </c>
      <c r="V125" t="s">
        <v>61</v>
      </c>
      <c r="W125" t="s">
        <v>1059</v>
      </c>
    </row>
    <row r="126" spans="1:23" x14ac:dyDescent="0.2">
      <c r="A126" t="s">
        <v>1066</v>
      </c>
      <c r="B126" s="1">
        <f>VALUE(RIGHT(A126,LEN(A126)-3))</f>
        <v>166</v>
      </c>
      <c r="C126" t="s">
        <v>32</v>
      </c>
      <c r="D126">
        <v>1</v>
      </c>
      <c r="E126" t="s">
        <v>57</v>
      </c>
      <c r="F126">
        <v>0</v>
      </c>
      <c r="H126" t="s">
        <v>1067</v>
      </c>
      <c r="J126" t="s">
        <v>178</v>
      </c>
      <c r="K126" t="s">
        <v>385</v>
      </c>
      <c r="L126" t="s">
        <v>43</v>
      </c>
      <c r="M126" t="s">
        <v>30</v>
      </c>
      <c r="N126" t="s">
        <v>31</v>
      </c>
      <c r="T126" t="s">
        <v>36</v>
      </c>
      <c r="U126" t="s">
        <v>1070</v>
      </c>
      <c r="V126" t="s">
        <v>61</v>
      </c>
      <c r="W126" t="s">
        <v>1071</v>
      </c>
    </row>
    <row r="127" spans="1:23" x14ac:dyDescent="0.2">
      <c r="A127" t="s">
        <v>1114</v>
      </c>
      <c r="B127" s="1">
        <f>VALUE(RIGHT(A127,LEN(A127)-3))</f>
        <v>174</v>
      </c>
      <c r="C127" t="s">
        <v>32</v>
      </c>
      <c r="D127">
        <v>1</v>
      </c>
      <c r="E127" t="s">
        <v>57</v>
      </c>
      <c r="F127">
        <v>0</v>
      </c>
      <c r="H127" t="s">
        <v>1115</v>
      </c>
      <c r="J127" t="s">
        <v>27</v>
      </c>
      <c r="K127" t="s">
        <v>373</v>
      </c>
      <c r="L127" t="s">
        <v>83</v>
      </c>
      <c r="M127" t="s">
        <v>30</v>
      </c>
      <c r="N127" t="s">
        <v>31</v>
      </c>
      <c r="T127" t="s">
        <v>173</v>
      </c>
      <c r="U127" t="s">
        <v>561</v>
      </c>
      <c r="V127" t="s">
        <v>48</v>
      </c>
      <c r="W127" t="s">
        <v>1117</v>
      </c>
    </row>
    <row r="128" spans="1:23" x14ac:dyDescent="0.2">
      <c r="A128" t="s">
        <v>1148</v>
      </c>
      <c r="B128" s="1">
        <f>VALUE(RIGHT(A128,LEN(A128)-3))</f>
        <v>180</v>
      </c>
      <c r="C128" t="s">
        <v>32</v>
      </c>
      <c r="D128">
        <v>1</v>
      </c>
      <c r="E128" t="s">
        <v>57</v>
      </c>
      <c r="F128">
        <v>0</v>
      </c>
      <c r="H128" t="s">
        <v>1149</v>
      </c>
      <c r="J128" t="s">
        <v>27</v>
      </c>
      <c r="K128" t="s">
        <v>530</v>
      </c>
      <c r="L128" t="s">
        <v>43</v>
      </c>
      <c r="M128" t="s">
        <v>30</v>
      </c>
      <c r="N128" t="s">
        <v>31</v>
      </c>
      <c r="T128" t="s">
        <v>173</v>
      </c>
      <c r="U128" t="s">
        <v>174</v>
      </c>
      <c r="V128" t="s">
        <v>61</v>
      </c>
      <c r="W128" t="s">
        <v>1151</v>
      </c>
    </row>
    <row r="129" spans="1:23" x14ac:dyDescent="0.2">
      <c r="A129" t="s">
        <v>1152</v>
      </c>
      <c r="B129" s="1">
        <f>VALUE(RIGHT(A129,LEN(A129)-3))</f>
        <v>181</v>
      </c>
      <c r="C129" t="s">
        <v>32</v>
      </c>
      <c r="D129">
        <v>1</v>
      </c>
      <c r="E129" t="s">
        <v>57</v>
      </c>
      <c r="F129">
        <v>3</v>
      </c>
      <c r="G129" t="s">
        <v>1157</v>
      </c>
      <c r="H129" t="s">
        <v>1153</v>
      </c>
      <c r="J129" t="s">
        <v>357</v>
      </c>
      <c r="K129" t="s">
        <v>1154</v>
      </c>
      <c r="L129" t="s">
        <v>29</v>
      </c>
      <c r="M129" t="s">
        <v>30</v>
      </c>
      <c r="N129" t="s">
        <v>31</v>
      </c>
      <c r="T129" t="s">
        <v>367</v>
      </c>
      <c r="U129" t="s">
        <v>368</v>
      </c>
      <c r="V129" t="s">
        <v>48</v>
      </c>
      <c r="W129" t="s">
        <v>1158</v>
      </c>
    </row>
    <row r="130" spans="1:23" x14ac:dyDescent="0.2">
      <c r="A130" t="s">
        <v>1162</v>
      </c>
      <c r="B130" s="1">
        <f>VALUE(RIGHT(A130,LEN(A130)-3))</f>
        <v>183</v>
      </c>
      <c r="C130" t="s">
        <v>32</v>
      </c>
      <c r="D130">
        <v>2</v>
      </c>
      <c r="E130" t="s">
        <v>94</v>
      </c>
      <c r="F130">
        <v>1</v>
      </c>
      <c r="G130" t="s">
        <v>123</v>
      </c>
      <c r="H130" t="s">
        <v>1163</v>
      </c>
      <c r="J130" t="s">
        <v>402</v>
      </c>
      <c r="K130" t="s">
        <v>259</v>
      </c>
      <c r="L130" t="s">
        <v>43</v>
      </c>
      <c r="M130" t="s">
        <v>30</v>
      </c>
      <c r="N130" t="s">
        <v>31</v>
      </c>
      <c r="T130" t="s">
        <v>36</v>
      </c>
      <c r="U130" t="s">
        <v>234</v>
      </c>
      <c r="V130" t="s">
        <v>182</v>
      </c>
      <c r="W130" t="s">
        <v>1166</v>
      </c>
    </row>
    <row r="131" spans="1:23" x14ac:dyDescent="0.2">
      <c r="A131" t="s">
        <v>1173</v>
      </c>
      <c r="B131" s="1">
        <f>VALUE(RIGHT(A131,LEN(A131)-3))</f>
        <v>185</v>
      </c>
      <c r="C131" t="s">
        <v>32</v>
      </c>
      <c r="D131">
        <v>1</v>
      </c>
      <c r="E131" t="s">
        <v>57</v>
      </c>
      <c r="F131">
        <v>1</v>
      </c>
      <c r="G131" t="s">
        <v>123</v>
      </c>
      <c r="H131" t="s">
        <v>1174</v>
      </c>
      <c r="I131">
        <v>42</v>
      </c>
      <c r="J131" t="s">
        <v>52</v>
      </c>
      <c r="K131" t="s">
        <v>1175</v>
      </c>
      <c r="L131" t="s">
        <v>43</v>
      </c>
      <c r="M131" t="s">
        <v>30</v>
      </c>
      <c r="N131" t="s">
        <v>31</v>
      </c>
      <c r="T131" t="s">
        <v>36</v>
      </c>
      <c r="U131" t="s">
        <v>234</v>
      </c>
      <c r="V131" t="s">
        <v>61</v>
      </c>
      <c r="W131" t="s">
        <v>1178</v>
      </c>
    </row>
    <row r="132" spans="1:23" x14ac:dyDescent="0.2">
      <c r="A132" t="s">
        <v>1253</v>
      </c>
      <c r="B132" s="1">
        <f>VALUE(RIGHT(A132,LEN(A132)-3))</f>
        <v>199</v>
      </c>
      <c r="C132" t="s">
        <v>32</v>
      </c>
      <c r="D132">
        <v>1</v>
      </c>
      <c r="E132" t="s">
        <v>57</v>
      </c>
      <c r="F132">
        <v>0</v>
      </c>
      <c r="H132" t="s">
        <v>1254</v>
      </c>
      <c r="I132">
        <v>50</v>
      </c>
      <c r="J132" t="s">
        <v>27</v>
      </c>
      <c r="K132" t="s">
        <v>948</v>
      </c>
      <c r="L132" t="s">
        <v>29</v>
      </c>
      <c r="M132" t="s">
        <v>30</v>
      </c>
      <c r="N132" t="s">
        <v>31</v>
      </c>
      <c r="T132" t="s">
        <v>173</v>
      </c>
      <c r="U132" t="s">
        <v>174</v>
      </c>
      <c r="V132" t="s">
        <v>48</v>
      </c>
      <c r="W132" t="s">
        <v>1256</v>
      </c>
    </row>
    <row r="133" spans="1:23" x14ac:dyDescent="0.2">
      <c r="A133" t="s">
        <v>1294</v>
      </c>
      <c r="B133" s="1">
        <f>VALUE(RIGHT(A133,LEN(A133)-3))</f>
        <v>206</v>
      </c>
      <c r="C133" t="s">
        <v>32</v>
      </c>
      <c r="D133">
        <v>1</v>
      </c>
      <c r="E133" t="s">
        <v>57</v>
      </c>
      <c r="F133">
        <v>1</v>
      </c>
      <c r="G133" t="s">
        <v>58</v>
      </c>
      <c r="H133" t="s">
        <v>1295</v>
      </c>
      <c r="J133" t="s">
        <v>120</v>
      </c>
      <c r="K133" t="s">
        <v>1296</v>
      </c>
      <c r="L133" t="s">
        <v>43</v>
      </c>
      <c r="M133" t="s">
        <v>30</v>
      </c>
      <c r="N133" t="s">
        <v>31</v>
      </c>
      <c r="T133" t="s">
        <v>200</v>
      </c>
      <c r="U133" t="s">
        <v>1046</v>
      </c>
      <c r="V133" t="s">
        <v>61</v>
      </c>
      <c r="W133" t="s">
        <v>1298</v>
      </c>
    </row>
    <row r="134" spans="1:23" x14ac:dyDescent="0.2">
      <c r="A134" t="s">
        <v>1299</v>
      </c>
      <c r="B134" s="1">
        <f>VALUE(RIGHT(A134,LEN(A134)-3))</f>
        <v>207</v>
      </c>
      <c r="C134" t="s">
        <v>32</v>
      </c>
      <c r="D134">
        <v>1</v>
      </c>
      <c r="E134" t="s">
        <v>57</v>
      </c>
      <c r="F134">
        <v>1</v>
      </c>
      <c r="G134" t="s">
        <v>58</v>
      </c>
      <c r="H134" t="s">
        <v>1300</v>
      </c>
      <c r="J134" t="s">
        <v>99</v>
      </c>
      <c r="K134" t="s">
        <v>1301</v>
      </c>
      <c r="L134" t="s">
        <v>43</v>
      </c>
      <c r="M134" t="s">
        <v>30</v>
      </c>
      <c r="N134" t="s">
        <v>31</v>
      </c>
      <c r="T134" t="s">
        <v>200</v>
      </c>
      <c r="U134" t="s">
        <v>1304</v>
      </c>
      <c r="V134" t="s">
        <v>61</v>
      </c>
      <c r="W134" t="s">
        <v>1305</v>
      </c>
    </row>
    <row r="135" spans="1:23" x14ac:dyDescent="0.2">
      <c r="A135" t="s">
        <v>1384</v>
      </c>
      <c r="B135" s="1">
        <f>VALUE(RIGHT(A135,LEN(A135)-3))</f>
        <v>223</v>
      </c>
      <c r="C135" t="s">
        <v>32</v>
      </c>
      <c r="D135">
        <v>1</v>
      </c>
      <c r="E135" t="s">
        <v>57</v>
      </c>
      <c r="F135">
        <v>0</v>
      </c>
      <c r="H135" t="s">
        <v>1385</v>
      </c>
      <c r="J135" t="s">
        <v>27</v>
      </c>
      <c r="K135" t="s">
        <v>530</v>
      </c>
      <c r="L135" t="s">
        <v>43</v>
      </c>
      <c r="M135" t="s">
        <v>30</v>
      </c>
      <c r="N135" t="s">
        <v>31</v>
      </c>
      <c r="T135" t="s">
        <v>367</v>
      </c>
      <c r="U135" t="s">
        <v>857</v>
      </c>
      <c r="V135" t="s">
        <v>61</v>
      </c>
      <c r="W135" t="s">
        <v>1388</v>
      </c>
    </row>
    <row r="136" spans="1:23" x14ac:dyDescent="0.2">
      <c r="A136" t="s">
        <v>1395</v>
      </c>
      <c r="B136" s="1">
        <f>VALUE(RIGHT(A136,LEN(A136)-3))</f>
        <v>225</v>
      </c>
      <c r="C136" t="s">
        <v>32</v>
      </c>
      <c r="D136">
        <v>1</v>
      </c>
      <c r="E136" t="s">
        <v>57</v>
      </c>
      <c r="F136">
        <v>2</v>
      </c>
      <c r="G136" t="s">
        <v>1400</v>
      </c>
      <c r="H136" t="s">
        <v>1396</v>
      </c>
      <c r="J136" t="s">
        <v>120</v>
      </c>
      <c r="K136" t="s">
        <v>1397</v>
      </c>
      <c r="L136" t="s">
        <v>29</v>
      </c>
      <c r="M136" t="s">
        <v>30</v>
      </c>
      <c r="N136" t="s">
        <v>31</v>
      </c>
      <c r="T136" t="s">
        <v>173</v>
      </c>
      <c r="U136" t="s">
        <v>174</v>
      </c>
      <c r="V136" t="s">
        <v>61</v>
      </c>
      <c r="W136" t="s">
        <v>1401</v>
      </c>
    </row>
    <row r="137" spans="1:23" x14ac:dyDescent="0.2">
      <c r="A137" t="s">
        <v>1413</v>
      </c>
      <c r="B137" s="1">
        <f>VALUE(RIGHT(A137,LEN(A137)-3))</f>
        <v>228</v>
      </c>
      <c r="C137" t="s">
        <v>32</v>
      </c>
      <c r="D137">
        <v>1</v>
      </c>
      <c r="E137" t="s">
        <v>57</v>
      </c>
      <c r="F137">
        <v>3</v>
      </c>
      <c r="G137" t="s">
        <v>1417</v>
      </c>
      <c r="H137" t="s">
        <v>1414</v>
      </c>
      <c r="I137">
        <v>35</v>
      </c>
      <c r="J137" t="s">
        <v>27</v>
      </c>
      <c r="K137" t="s">
        <v>530</v>
      </c>
      <c r="L137" t="s">
        <v>43</v>
      </c>
      <c r="M137" t="s">
        <v>30</v>
      </c>
      <c r="N137" t="s">
        <v>31</v>
      </c>
      <c r="T137" t="s">
        <v>173</v>
      </c>
      <c r="U137" t="s">
        <v>174</v>
      </c>
      <c r="V137" t="s">
        <v>598</v>
      </c>
      <c r="W137" t="s">
        <v>1418</v>
      </c>
    </row>
    <row r="138" spans="1:23" x14ac:dyDescent="0.2">
      <c r="A138" t="s">
        <v>1419</v>
      </c>
      <c r="B138" s="1">
        <f>VALUE(RIGHT(A138,LEN(A138)-3))</f>
        <v>229</v>
      </c>
      <c r="C138" t="s">
        <v>32</v>
      </c>
      <c r="D138">
        <v>1</v>
      </c>
      <c r="E138" t="s">
        <v>57</v>
      </c>
      <c r="F138">
        <v>0</v>
      </c>
      <c r="H138" t="s">
        <v>1420</v>
      </c>
      <c r="J138" t="s">
        <v>127</v>
      </c>
      <c r="K138" t="s">
        <v>259</v>
      </c>
      <c r="L138" t="s">
        <v>43</v>
      </c>
      <c r="M138" t="s">
        <v>30</v>
      </c>
      <c r="N138" t="s">
        <v>31</v>
      </c>
      <c r="T138" t="s">
        <v>36</v>
      </c>
      <c r="U138" t="s">
        <v>194</v>
      </c>
      <c r="V138" t="s">
        <v>48</v>
      </c>
      <c r="W138" t="s">
        <v>1423</v>
      </c>
    </row>
    <row r="139" spans="1:23" x14ac:dyDescent="0.2">
      <c r="A139" t="s">
        <v>1428</v>
      </c>
      <c r="B139" s="1">
        <f>VALUE(RIGHT(A139,LEN(A139)-3))</f>
        <v>231</v>
      </c>
      <c r="C139" t="s">
        <v>32</v>
      </c>
      <c r="D139">
        <v>1</v>
      </c>
      <c r="E139" t="s">
        <v>57</v>
      </c>
      <c r="F139">
        <v>1</v>
      </c>
      <c r="G139" t="s">
        <v>123</v>
      </c>
      <c r="H139" t="s">
        <v>1429</v>
      </c>
      <c r="I139">
        <v>53</v>
      </c>
      <c r="J139" t="s">
        <v>178</v>
      </c>
      <c r="K139" t="s">
        <v>1050</v>
      </c>
      <c r="L139" t="s">
        <v>43</v>
      </c>
      <c r="M139" t="s">
        <v>30</v>
      </c>
      <c r="N139" t="s">
        <v>31</v>
      </c>
      <c r="O139">
        <v>1</v>
      </c>
      <c r="P139">
        <v>30</v>
      </c>
      <c r="T139" t="s">
        <v>36</v>
      </c>
      <c r="U139" t="s">
        <v>1431</v>
      </c>
      <c r="V139" t="s">
        <v>194</v>
      </c>
      <c r="W139" t="s">
        <v>1432</v>
      </c>
    </row>
    <row r="140" spans="1:23" x14ac:dyDescent="0.2">
      <c r="A140" t="s">
        <v>1433</v>
      </c>
      <c r="B140" s="1">
        <f>VALUE(RIGHT(A140,LEN(A140)-3))</f>
        <v>232</v>
      </c>
      <c r="C140" t="s">
        <v>32</v>
      </c>
      <c r="D140">
        <v>1</v>
      </c>
      <c r="E140" t="s">
        <v>57</v>
      </c>
      <c r="F140">
        <v>3</v>
      </c>
      <c r="G140" t="s">
        <v>1437</v>
      </c>
      <c r="H140" t="s">
        <v>1434</v>
      </c>
      <c r="I140">
        <v>38</v>
      </c>
      <c r="J140" t="s">
        <v>27</v>
      </c>
      <c r="K140" t="s">
        <v>351</v>
      </c>
      <c r="L140" t="s">
        <v>29</v>
      </c>
      <c r="M140" t="s">
        <v>30</v>
      </c>
      <c r="N140" t="s">
        <v>31</v>
      </c>
      <c r="T140" t="s">
        <v>173</v>
      </c>
      <c r="U140" t="s">
        <v>561</v>
      </c>
      <c r="V140" t="s">
        <v>569</v>
      </c>
      <c r="W140" t="s">
        <v>1438</v>
      </c>
    </row>
    <row r="141" spans="1:23" x14ac:dyDescent="0.2">
      <c r="A141" t="s">
        <v>1439</v>
      </c>
      <c r="B141" s="1">
        <f>VALUE(RIGHT(A141,LEN(A141)-3))</f>
        <v>233</v>
      </c>
      <c r="C141" t="s">
        <v>32</v>
      </c>
      <c r="D141">
        <v>1</v>
      </c>
      <c r="E141" t="s">
        <v>57</v>
      </c>
      <c r="F141">
        <v>0</v>
      </c>
      <c r="H141" t="s">
        <v>1440</v>
      </c>
      <c r="J141" t="s">
        <v>27</v>
      </c>
      <c r="K141" t="s">
        <v>373</v>
      </c>
      <c r="L141" t="s">
        <v>43</v>
      </c>
      <c r="M141" t="s">
        <v>30</v>
      </c>
      <c r="N141" t="s">
        <v>31</v>
      </c>
      <c r="T141" t="s">
        <v>36</v>
      </c>
      <c r="U141" t="s">
        <v>308</v>
      </c>
      <c r="V141" t="s">
        <v>48</v>
      </c>
      <c r="W141" t="s">
        <v>1443</v>
      </c>
    </row>
    <row r="142" spans="1:23" x14ac:dyDescent="0.2">
      <c r="A142" t="s">
        <v>1466</v>
      </c>
      <c r="B142" s="1">
        <f>VALUE(RIGHT(A142,LEN(A142)-3))</f>
        <v>238</v>
      </c>
      <c r="C142" t="s">
        <v>32</v>
      </c>
      <c r="D142">
        <v>1</v>
      </c>
      <c r="E142" t="s">
        <v>57</v>
      </c>
      <c r="F142">
        <v>0</v>
      </c>
      <c r="H142" t="s">
        <v>1467</v>
      </c>
      <c r="J142" t="s">
        <v>178</v>
      </c>
      <c r="K142" t="s">
        <v>1468</v>
      </c>
      <c r="L142" t="s">
        <v>43</v>
      </c>
      <c r="M142" t="s">
        <v>30</v>
      </c>
      <c r="N142" t="s">
        <v>31</v>
      </c>
      <c r="T142" t="s">
        <v>242</v>
      </c>
      <c r="U142" t="s">
        <v>360</v>
      </c>
      <c r="V142" t="s">
        <v>61</v>
      </c>
      <c r="W142" t="s">
        <v>1470</v>
      </c>
    </row>
    <row r="143" spans="1:23" hidden="1" x14ac:dyDescent="0.2">
      <c r="A143" t="s">
        <v>1480</v>
      </c>
      <c r="B143" s="1">
        <f>VALUE(RIGHT(A143,LEN(A143)-3))</f>
        <v>241</v>
      </c>
      <c r="C143" t="s">
        <v>44</v>
      </c>
      <c r="D143">
        <v>0</v>
      </c>
      <c r="F143">
        <v>0</v>
      </c>
      <c r="H143" t="s">
        <v>1481</v>
      </c>
      <c r="J143" t="s">
        <v>338</v>
      </c>
      <c r="K143" t="s">
        <v>1482</v>
      </c>
      <c r="L143" t="s">
        <v>54</v>
      </c>
      <c r="M143" t="s">
        <v>30</v>
      </c>
      <c r="N143" t="s">
        <v>31</v>
      </c>
      <c r="T143" t="s">
        <v>200</v>
      </c>
      <c r="U143" t="s">
        <v>201</v>
      </c>
      <c r="V143" t="s">
        <v>48</v>
      </c>
      <c r="W143" t="s">
        <v>1484</v>
      </c>
    </row>
    <row r="144" spans="1:23" x14ac:dyDescent="0.2">
      <c r="A144" t="s">
        <v>1535</v>
      </c>
      <c r="B144" s="1">
        <f>VALUE(RIGHT(A144,LEN(A144)-3))</f>
        <v>251</v>
      </c>
      <c r="C144" t="s">
        <v>32</v>
      </c>
      <c r="D144">
        <v>2</v>
      </c>
      <c r="E144" t="s">
        <v>35</v>
      </c>
      <c r="F144">
        <v>1</v>
      </c>
      <c r="G144" t="s">
        <v>58</v>
      </c>
      <c r="H144" t="s">
        <v>1536</v>
      </c>
      <c r="J144" t="s">
        <v>27</v>
      </c>
      <c r="K144" t="s">
        <v>65</v>
      </c>
      <c r="L144" t="s">
        <v>43</v>
      </c>
      <c r="M144" t="s">
        <v>30</v>
      </c>
      <c r="N144" t="s">
        <v>31</v>
      </c>
      <c r="T144" t="s">
        <v>59</v>
      </c>
      <c r="U144" t="s">
        <v>78</v>
      </c>
      <c r="V144" t="s">
        <v>61</v>
      </c>
      <c r="W144" t="s">
        <v>1539</v>
      </c>
    </row>
    <row r="145" spans="1:23" x14ac:dyDescent="0.2">
      <c r="A145" t="s">
        <v>1540</v>
      </c>
      <c r="B145" s="1">
        <f>VALUE(RIGHT(A145,LEN(A145)-3))</f>
        <v>252</v>
      </c>
      <c r="C145" t="s">
        <v>32</v>
      </c>
      <c r="D145">
        <v>1</v>
      </c>
      <c r="E145" t="s">
        <v>57</v>
      </c>
      <c r="F145">
        <v>2</v>
      </c>
      <c r="G145" t="s">
        <v>1544</v>
      </c>
      <c r="H145" t="s">
        <v>1541</v>
      </c>
      <c r="I145">
        <v>32</v>
      </c>
      <c r="J145" t="s">
        <v>127</v>
      </c>
      <c r="K145" t="s">
        <v>373</v>
      </c>
      <c r="L145" t="s">
        <v>83</v>
      </c>
      <c r="M145" t="s">
        <v>30</v>
      </c>
      <c r="N145" t="s">
        <v>31</v>
      </c>
      <c r="T145" t="s">
        <v>59</v>
      </c>
      <c r="U145" t="s">
        <v>1046</v>
      </c>
      <c r="V145" t="s">
        <v>61</v>
      </c>
      <c r="W145" t="s">
        <v>1545</v>
      </c>
    </row>
    <row r="146" spans="1:23" x14ac:dyDescent="0.2">
      <c r="A146" t="s">
        <v>1550</v>
      </c>
      <c r="B146" s="1">
        <f>VALUE(RIGHT(A146,LEN(A146)-3))</f>
        <v>254</v>
      </c>
      <c r="C146" t="s">
        <v>32</v>
      </c>
      <c r="D146">
        <v>1</v>
      </c>
      <c r="E146" t="s">
        <v>57</v>
      </c>
      <c r="F146">
        <v>0</v>
      </c>
      <c r="H146" t="s">
        <v>1551</v>
      </c>
      <c r="I146">
        <v>73</v>
      </c>
      <c r="J146" t="s">
        <v>27</v>
      </c>
      <c r="K146" t="s">
        <v>373</v>
      </c>
      <c r="L146" t="s">
        <v>83</v>
      </c>
      <c r="M146" t="s">
        <v>30</v>
      </c>
      <c r="N146" t="s">
        <v>31</v>
      </c>
      <c r="T146" t="s">
        <v>173</v>
      </c>
      <c r="U146" t="s">
        <v>174</v>
      </c>
      <c r="V146" t="s">
        <v>61</v>
      </c>
      <c r="W146" t="s">
        <v>1554</v>
      </c>
    </row>
    <row r="147" spans="1:23" x14ac:dyDescent="0.2">
      <c r="A147" t="s">
        <v>1605</v>
      </c>
      <c r="B147" s="1">
        <f>VALUE(RIGHT(A147,LEN(A147)-3))</f>
        <v>265</v>
      </c>
      <c r="C147" t="s">
        <v>32</v>
      </c>
      <c r="D147">
        <v>1</v>
      </c>
      <c r="E147" t="s">
        <v>57</v>
      </c>
      <c r="F147">
        <v>1</v>
      </c>
      <c r="G147" t="s">
        <v>58</v>
      </c>
      <c r="H147" t="s">
        <v>1600</v>
      </c>
      <c r="I147">
        <v>28</v>
      </c>
      <c r="J147" t="s">
        <v>27</v>
      </c>
      <c r="K147" t="s">
        <v>1606</v>
      </c>
      <c r="L147" t="s">
        <v>746</v>
      </c>
      <c r="M147" t="s">
        <v>30</v>
      </c>
      <c r="N147" t="s">
        <v>31</v>
      </c>
      <c r="T147" t="s">
        <v>200</v>
      </c>
      <c r="U147" t="s">
        <v>78</v>
      </c>
      <c r="V147" t="s">
        <v>61</v>
      </c>
      <c r="W147" t="s">
        <v>1609</v>
      </c>
    </row>
    <row r="148" spans="1:23" x14ac:dyDescent="0.2">
      <c r="A148" t="s">
        <v>1672</v>
      </c>
      <c r="B148" s="1">
        <f>VALUE(RIGHT(A148,LEN(A148)-3))</f>
        <v>278</v>
      </c>
      <c r="C148" t="s">
        <v>32</v>
      </c>
      <c r="D148">
        <v>1</v>
      </c>
      <c r="E148" t="s">
        <v>35</v>
      </c>
      <c r="F148">
        <v>1</v>
      </c>
      <c r="G148" t="s">
        <v>123</v>
      </c>
      <c r="H148" t="s">
        <v>1673</v>
      </c>
      <c r="I148">
        <v>30</v>
      </c>
      <c r="J148" t="s">
        <v>27</v>
      </c>
      <c r="K148" t="s">
        <v>65</v>
      </c>
      <c r="L148" t="s">
        <v>83</v>
      </c>
      <c r="M148" t="s">
        <v>30</v>
      </c>
      <c r="N148" t="s">
        <v>31</v>
      </c>
      <c r="O148">
        <v>1</v>
      </c>
      <c r="T148" t="s">
        <v>86</v>
      </c>
      <c r="U148" t="s">
        <v>194</v>
      </c>
      <c r="V148" t="s">
        <v>598</v>
      </c>
      <c r="W148" t="s">
        <v>1676</v>
      </c>
    </row>
    <row r="149" spans="1:23" x14ac:dyDescent="0.2">
      <c r="A149" t="s">
        <v>1688</v>
      </c>
      <c r="B149" s="1">
        <f>VALUE(RIGHT(A149,LEN(A149)-3))</f>
        <v>281</v>
      </c>
      <c r="C149" t="s">
        <v>32</v>
      </c>
      <c r="D149">
        <v>1</v>
      </c>
      <c r="E149" t="s">
        <v>35</v>
      </c>
      <c r="F149">
        <v>0</v>
      </c>
      <c r="H149" t="s">
        <v>1689</v>
      </c>
      <c r="I149">
        <v>38</v>
      </c>
      <c r="J149" t="s">
        <v>27</v>
      </c>
      <c r="K149" t="s">
        <v>1690</v>
      </c>
      <c r="L149" t="s">
        <v>29</v>
      </c>
      <c r="M149" t="s">
        <v>30</v>
      </c>
      <c r="N149" t="s">
        <v>31</v>
      </c>
      <c r="P149">
        <v>254</v>
      </c>
      <c r="R149">
        <v>2000</v>
      </c>
      <c r="T149" t="s">
        <v>36</v>
      </c>
      <c r="U149" t="s">
        <v>941</v>
      </c>
      <c r="V149" t="s">
        <v>1692</v>
      </c>
      <c r="W149" t="s">
        <v>1693</v>
      </c>
    </row>
    <row r="150" spans="1:23" x14ac:dyDescent="0.2">
      <c r="A150" t="s">
        <v>1706</v>
      </c>
      <c r="B150" s="1">
        <f>VALUE(RIGHT(A150,LEN(A150)-3))</f>
        <v>284</v>
      </c>
      <c r="C150" t="s">
        <v>32</v>
      </c>
      <c r="D150">
        <v>1</v>
      </c>
      <c r="E150" t="s">
        <v>130</v>
      </c>
      <c r="F150">
        <v>0</v>
      </c>
      <c r="H150" t="s">
        <v>1707</v>
      </c>
      <c r="I150">
        <v>34</v>
      </c>
      <c r="J150" t="s">
        <v>127</v>
      </c>
      <c r="K150" t="s">
        <v>373</v>
      </c>
      <c r="L150" t="s">
        <v>83</v>
      </c>
      <c r="M150" t="s">
        <v>30</v>
      </c>
      <c r="N150" t="s">
        <v>31</v>
      </c>
      <c r="O150">
        <v>1</v>
      </c>
      <c r="P150">
        <v>40</v>
      </c>
      <c r="T150" t="s">
        <v>59</v>
      </c>
      <c r="U150" t="s">
        <v>201</v>
      </c>
      <c r="V150" t="s">
        <v>182</v>
      </c>
      <c r="W150" t="s">
        <v>1710</v>
      </c>
    </row>
    <row r="151" spans="1:23" x14ac:dyDescent="0.2">
      <c r="A151" t="s">
        <v>1751</v>
      </c>
      <c r="B151" s="1">
        <f>VALUE(RIGHT(A151,LEN(A151)-3))</f>
        <v>292</v>
      </c>
      <c r="C151" t="s">
        <v>32</v>
      </c>
      <c r="D151">
        <v>1</v>
      </c>
      <c r="E151" t="s">
        <v>57</v>
      </c>
      <c r="F151">
        <v>2</v>
      </c>
      <c r="G151" t="s">
        <v>366</v>
      </c>
      <c r="H151" t="s">
        <v>1752</v>
      </c>
      <c r="I151">
        <v>28</v>
      </c>
      <c r="J151" t="s">
        <v>1753</v>
      </c>
      <c r="K151" t="s">
        <v>1754</v>
      </c>
      <c r="L151" t="s">
        <v>746</v>
      </c>
      <c r="M151" t="s">
        <v>30</v>
      </c>
      <c r="N151" t="s">
        <v>31</v>
      </c>
      <c r="P151">
        <v>100</v>
      </c>
      <c r="R151">
        <v>1700</v>
      </c>
      <c r="T151" t="s">
        <v>59</v>
      </c>
      <c r="U151" t="s">
        <v>1757</v>
      </c>
      <c r="V151" t="s">
        <v>61</v>
      </c>
      <c r="W151" t="s">
        <v>1758</v>
      </c>
    </row>
    <row r="152" spans="1:23" x14ac:dyDescent="0.2">
      <c r="A152" t="s">
        <v>1819</v>
      </c>
      <c r="B152" s="1">
        <f>VALUE(RIGHT(A152,LEN(A152)-3))</f>
        <v>305</v>
      </c>
      <c r="C152" t="s">
        <v>32</v>
      </c>
      <c r="D152">
        <v>1</v>
      </c>
      <c r="E152" t="s">
        <v>57</v>
      </c>
      <c r="F152">
        <v>0</v>
      </c>
      <c r="H152" t="s">
        <v>1820</v>
      </c>
      <c r="I152">
        <v>49</v>
      </c>
      <c r="J152" t="s">
        <v>800</v>
      </c>
      <c r="K152" t="s">
        <v>1811</v>
      </c>
      <c r="L152" t="s">
        <v>43</v>
      </c>
      <c r="M152" t="s">
        <v>30</v>
      </c>
      <c r="N152" t="s">
        <v>31</v>
      </c>
      <c r="P152">
        <v>100</v>
      </c>
      <c r="T152" t="s">
        <v>103</v>
      </c>
      <c r="U152" t="s">
        <v>1823</v>
      </c>
      <c r="V152" t="s">
        <v>61</v>
      </c>
      <c r="W152" t="s">
        <v>1824</v>
      </c>
    </row>
    <row r="153" spans="1:23" hidden="1" x14ac:dyDescent="0.2">
      <c r="A153" t="s">
        <v>1842</v>
      </c>
      <c r="B153" s="1">
        <f>VALUE(RIGHT(A153,LEN(A153)-3))</f>
        <v>309</v>
      </c>
      <c r="C153" t="s">
        <v>44</v>
      </c>
      <c r="D153">
        <v>0</v>
      </c>
      <c r="F153">
        <v>0</v>
      </c>
      <c r="H153" t="s">
        <v>1843</v>
      </c>
      <c r="I153">
        <v>32</v>
      </c>
      <c r="J153" t="s">
        <v>1586</v>
      </c>
      <c r="K153" t="s">
        <v>1844</v>
      </c>
      <c r="L153" t="s">
        <v>43</v>
      </c>
      <c r="M153" t="s">
        <v>30</v>
      </c>
      <c r="N153" t="s">
        <v>31</v>
      </c>
      <c r="P153">
        <v>450</v>
      </c>
      <c r="T153" t="s">
        <v>36</v>
      </c>
      <c r="U153" t="s">
        <v>308</v>
      </c>
      <c r="V153" t="s">
        <v>635</v>
      </c>
      <c r="W153" t="s">
        <v>1846</v>
      </c>
    </row>
    <row r="154" spans="1:23" hidden="1" x14ac:dyDescent="0.2">
      <c r="A154" t="s">
        <v>1882</v>
      </c>
      <c r="B154" s="1">
        <f>VALUE(RIGHT(A154,LEN(A154)-3))</f>
        <v>317</v>
      </c>
      <c r="C154" t="s">
        <v>44</v>
      </c>
      <c r="D154">
        <v>0</v>
      </c>
      <c r="F154">
        <v>0</v>
      </c>
      <c r="H154" t="s">
        <v>1883</v>
      </c>
      <c r="I154">
        <v>45</v>
      </c>
      <c r="J154" t="s">
        <v>1884</v>
      </c>
      <c r="K154" t="s">
        <v>1885</v>
      </c>
      <c r="L154" t="s">
        <v>43</v>
      </c>
      <c r="M154" t="s">
        <v>30</v>
      </c>
      <c r="N154" t="s">
        <v>31</v>
      </c>
      <c r="O154">
        <v>3</v>
      </c>
      <c r="P154">
        <v>65</v>
      </c>
      <c r="T154" t="s">
        <v>36</v>
      </c>
      <c r="U154" t="s">
        <v>308</v>
      </c>
      <c r="V154" t="s">
        <v>48</v>
      </c>
      <c r="W154" t="s">
        <v>1887</v>
      </c>
    </row>
    <row r="155" spans="1:23" x14ac:dyDescent="0.2">
      <c r="A155" t="s">
        <v>1894</v>
      </c>
      <c r="B155" s="1">
        <f>VALUE(RIGHT(A155,LEN(A155)-3))</f>
        <v>319</v>
      </c>
      <c r="C155" t="s">
        <v>32</v>
      </c>
      <c r="D155">
        <v>1</v>
      </c>
      <c r="E155" t="s">
        <v>57</v>
      </c>
      <c r="F155">
        <v>0</v>
      </c>
      <c r="H155" t="s">
        <v>1895</v>
      </c>
      <c r="I155">
        <v>34</v>
      </c>
      <c r="J155" t="s">
        <v>27</v>
      </c>
      <c r="K155" t="s">
        <v>530</v>
      </c>
      <c r="L155" t="s">
        <v>43</v>
      </c>
      <c r="M155" t="s">
        <v>30</v>
      </c>
      <c r="N155" t="s">
        <v>31</v>
      </c>
      <c r="O155">
        <v>5</v>
      </c>
      <c r="P155">
        <v>300</v>
      </c>
      <c r="T155" t="s">
        <v>36</v>
      </c>
      <c r="U155" t="s">
        <v>308</v>
      </c>
      <c r="V155" t="s">
        <v>635</v>
      </c>
      <c r="W155" t="s">
        <v>1898</v>
      </c>
    </row>
    <row r="156" spans="1:23" x14ac:dyDescent="0.2">
      <c r="A156" t="s">
        <v>1926</v>
      </c>
      <c r="B156" s="1">
        <f>VALUE(RIGHT(A156,LEN(A156)-3))</f>
        <v>325</v>
      </c>
      <c r="C156" t="s">
        <v>32</v>
      </c>
      <c r="D156">
        <v>1</v>
      </c>
      <c r="E156" t="s">
        <v>57</v>
      </c>
      <c r="F156">
        <v>0</v>
      </c>
      <c r="H156" t="s">
        <v>1927</v>
      </c>
      <c r="I156">
        <v>55</v>
      </c>
      <c r="J156" t="s">
        <v>402</v>
      </c>
      <c r="K156" t="s">
        <v>1928</v>
      </c>
      <c r="L156" t="s">
        <v>43</v>
      </c>
      <c r="M156" t="s">
        <v>30</v>
      </c>
      <c r="N156" t="s">
        <v>31</v>
      </c>
      <c r="O156">
        <v>4</v>
      </c>
      <c r="P156">
        <v>200</v>
      </c>
      <c r="T156" t="s">
        <v>36</v>
      </c>
      <c r="U156" t="s">
        <v>308</v>
      </c>
      <c r="V156" t="s">
        <v>182</v>
      </c>
      <c r="W156" t="s">
        <v>1931</v>
      </c>
    </row>
    <row r="157" spans="1:23" x14ac:dyDescent="0.2">
      <c r="A157" t="s">
        <v>1980</v>
      </c>
      <c r="B157" s="1">
        <f>VALUE(RIGHT(A157,LEN(A157)-3))</f>
        <v>335</v>
      </c>
      <c r="C157" t="s">
        <v>32</v>
      </c>
      <c r="D157">
        <v>1</v>
      </c>
      <c r="E157" t="s">
        <v>57</v>
      </c>
      <c r="F157">
        <v>1</v>
      </c>
      <c r="G157" t="s">
        <v>58</v>
      </c>
      <c r="H157" t="s">
        <v>1981</v>
      </c>
      <c r="I157">
        <v>45</v>
      </c>
      <c r="J157" t="s">
        <v>27</v>
      </c>
      <c r="K157" t="s">
        <v>1982</v>
      </c>
      <c r="L157" t="s">
        <v>29</v>
      </c>
      <c r="M157" t="s">
        <v>30</v>
      </c>
      <c r="N157" t="s">
        <v>31</v>
      </c>
      <c r="O157">
        <v>5</v>
      </c>
      <c r="P157">
        <v>230</v>
      </c>
      <c r="R157">
        <v>150</v>
      </c>
      <c r="T157" t="s">
        <v>59</v>
      </c>
      <c r="U157" t="s">
        <v>78</v>
      </c>
      <c r="V157" t="s">
        <v>182</v>
      </c>
      <c r="W157" t="s">
        <v>1985</v>
      </c>
    </row>
    <row r="158" spans="1:23" x14ac:dyDescent="0.2">
      <c r="A158" t="s">
        <v>1986</v>
      </c>
      <c r="B158" s="1">
        <f>VALUE(RIGHT(A158,LEN(A158)-3))</f>
        <v>336</v>
      </c>
      <c r="C158" t="s">
        <v>32</v>
      </c>
      <c r="D158">
        <v>2</v>
      </c>
      <c r="E158" t="s">
        <v>94</v>
      </c>
      <c r="F158">
        <v>2</v>
      </c>
      <c r="G158" t="s">
        <v>1991</v>
      </c>
      <c r="H158" t="s">
        <v>1987</v>
      </c>
      <c r="I158">
        <v>23</v>
      </c>
      <c r="J158" t="s">
        <v>357</v>
      </c>
      <c r="K158" t="s">
        <v>1988</v>
      </c>
      <c r="L158" t="s">
        <v>29</v>
      </c>
      <c r="M158" t="s">
        <v>30</v>
      </c>
      <c r="N158" t="s">
        <v>31</v>
      </c>
      <c r="O158">
        <v>1</v>
      </c>
      <c r="P158">
        <v>50</v>
      </c>
      <c r="T158" t="s">
        <v>173</v>
      </c>
      <c r="U158" t="s">
        <v>707</v>
      </c>
      <c r="V158" t="s">
        <v>182</v>
      </c>
      <c r="W158" t="s">
        <v>1992</v>
      </c>
    </row>
    <row r="159" spans="1:23" x14ac:dyDescent="0.2">
      <c r="A159" t="s">
        <v>2038</v>
      </c>
      <c r="B159" s="1">
        <f>VALUE(RIGHT(A159,LEN(A159)-3))</f>
        <v>345</v>
      </c>
      <c r="C159" t="s">
        <v>32</v>
      </c>
      <c r="D159">
        <v>1</v>
      </c>
      <c r="E159" t="s">
        <v>57</v>
      </c>
      <c r="F159">
        <v>1</v>
      </c>
      <c r="G159" t="s">
        <v>291</v>
      </c>
      <c r="H159" t="s">
        <v>2030</v>
      </c>
      <c r="I159">
        <v>39</v>
      </c>
      <c r="J159" t="s">
        <v>178</v>
      </c>
      <c r="K159" t="s">
        <v>410</v>
      </c>
      <c r="L159" t="s">
        <v>43</v>
      </c>
      <c r="M159" t="s">
        <v>30</v>
      </c>
      <c r="N159" t="s">
        <v>31</v>
      </c>
      <c r="O159">
        <v>18</v>
      </c>
      <c r="P159">
        <v>1200</v>
      </c>
      <c r="T159" t="s">
        <v>173</v>
      </c>
      <c r="U159" t="s">
        <v>707</v>
      </c>
      <c r="V159" t="s">
        <v>48</v>
      </c>
      <c r="W159" t="s">
        <v>2041</v>
      </c>
    </row>
    <row r="160" spans="1:23" x14ac:dyDescent="0.2">
      <c r="A160" t="s">
        <v>2042</v>
      </c>
      <c r="B160" s="1">
        <f>VALUE(RIGHT(A160,LEN(A160)-3))</f>
        <v>346</v>
      </c>
      <c r="C160" t="s">
        <v>32</v>
      </c>
      <c r="D160">
        <v>1</v>
      </c>
      <c r="E160" t="s">
        <v>57</v>
      </c>
      <c r="F160">
        <v>0</v>
      </c>
      <c r="H160" t="s">
        <v>2043</v>
      </c>
      <c r="I160">
        <v>42</v>
      </c>
      <c r="J160" t="s">
        <v>150</v>
      </c>
      <c r="K160" t="s">
        <v>2044</v>
      </c>
      <c r="L160" t="s">
        <v>43</v>
      </c>
      <c r="M160" t="s">
        <v>30</v>
      </c>
      <c r="N160" t="s">
        <v>31</v>
      </c>
      <c r="O160">
        <v>10</v>
      </c>
      <c r="T160" t="s">
        <v>200</v>
      </c>
      <c r="U160" t="s">
        <v>1046</v>
      </c>
      <c r="V160" t="s">
        <v>182</v>
      </c>
      <c r="W160" t="s">
        <v>2047</v>
      </c>
    </row>
    <row r="161" spans="1:23" hidden="1" x14ac:dyDescent="0.2">
      <c r="A161" t="s">
        <v>2114</v>
      </c>
      <c r="B161" s="1">
        <f>VALUE(RIGHT(A161,LEN(A161)-3))</f>
        <v>359</v>
      </c>
      <c r="C161" t="s">
        <v>44</v>
      </c>
      <c r="D161">
        <v>0</v>
      </c>
      <c r="F161">
        <v>0</v>
      </c>
      <c r="H161" t="s">
        <v>2115</v>
      </c>
      <c r="I161">
        <v>40</v>
      </c>
      <c r="J161" t="s">
        <v>2116</v>
      </c>
      <c r="K161" t="s">
        <v>385</v>
      </c>
      <c r="L161" t="s">
        <v>43</v>
      </c>
      <c r="M161" t="s">
        <v>30</v>
      </c>
      <c r="N161" t="s">
        <v>31</v>
      </c>
      <c r="T161" t="s">
        <v>242</v>
      </c>
      <c r="U161" t="s">
        <v>2118</v>
      </c>
      <c r="V161" t="s">
        <v>48</v>
      </c>
      <c r="W161" t="s">
        <v>2119</v>
      </c>
    </row>
    <row r="162" spans="1:23" x14ac:dyDescent="0.2">
      <c r="A162" t="s">
        <v>2120</v>
      </c>
      <c r="B162" s="1">
        <f>VALUE(RIGHT(A162,LEN(A162)-3))</f>
        <v>360</v>
      </c>
      <c r="C162" t="s">
        <v>32</v>
      </c>
      <c r="D162">
        <v>1</v>
      </c>
      <c r="E162" t="s">
        <v>57</v>
      </c>
      <c r="F162">
        <v>0</v>
      </c>
      <c r="H162" t="s">
        <v>2121</v>
      </c>
      <c r="I162">
        <v>50</v>
      </c>
      <c r="J162" t="s">
        <v>217</v>
      </c>
      <c r="K162" t="s">
        <v>1301</v>
      </c>
      <c r="L162" t="s">
        <v>43</v>
      </c>
      <c r="M162" t="s">
        <v>30</v>
      </c>
      <c r="N162" t="s">
        <v>31</v>
      </c>
      <c r="O162">
        <v>20</v>
      </c>
      <c r="T162" t="s">
        <v>200</v>
      </c>
      <c r="U162" t="s">
        <v>1046</v>
      </c>
      <c r="V162" t="s">
        <v>61</v>
      </c>
      <c r="W162" t="s">
        <v>2124</v>
      </c>
    </row>
    <row r="163" spans="1:23" x14ac:dyDescent="0.2">
      <c r="A163" t="s">
        <v>2130</v>
      </c>
      <c r="B163" s="1">
        <f>VALUE(RIGHT(A163,LEN(A163)-3))</f>
        <v>362</v>
      </c>
      <c r="C163" t="s">
        <v>32</v>
      </c>
      <c r="D163">
        <v>1</v>
      </c>
      <c r="E163" t="s">
        <v>35</v>
      </c>
      <c r="F163">
        <v>1</v>
      </c>
      <c r="G163" t="s">
        <v>123</v>
      </c>
      <c r="H163" t="s">
        <v>2131</v>
      </c>
      <c r="I163">
        <v>15</v>
      </c>
      <c r="J163" t="s">
        <v>800</v>
      </c>
      <c r="K163" t="s">
        <v>2132</v>
      </c>
      <c r="L163" t="s">
        <v>54</v>
      </c>
      <c r="M163" t="s">
        <v>30</v>
      </c>
      <c r="N163" t="s">
        <v>31</v>
      </c>
      <c r="T163" t="s">
        <v>138</v>
      </c>
      <c r="U163" t="s">
        <v>254</v>
      </c>
      <c r="V163" t="s">
        <v>48</v>
      </c>
      <c r="W163" t="s">
        <v>2135</v>
      </c>
    </row>
    <row r="164" spans="1:23" x14ac:dyDescent="0.2">
      <c r="A164" t="s">
        <v>2190</v>
      </c>
      <c r="B164" s="1">
        <f>VALUE(RIGHT(A164,LEN(A164)-3))</f>
        <v>373</v>
      </c>
      <c r="C164" t="s">
        <v>32</v>
      </c>
      <c r="D164">
        <v>1</v>
      </c>
      <c r="E164" t="s">
        <v>57</v>
      </c>
      <c r="F164">
        <v>2</v>
      </c>
      <c r="G164" t="s">
        <v>146</v>
      </c>
      <c r="H164" t="s">
        <v>2191</v>
      </c>
      <c r="I164">
        <v>29</v>
      </c>
      <c r="J164" t="s">
        <v>402</v>
      </c>
      <c r="K164" t="s">
        <v>2192</v>
      </c>
      <c r="L164" t="s">
        <v>54</v>
      </c>
      <c r="M164" t="s">
        <v>30</v>
      </c>
      <c r="N164" t="s">
        <v>31</v>
      </c>
      <c r="O164">
        <v>2</v>
      </c>
      <c r="P164">
        <v>50</v>
      </c>
      <c r="R164">
        <v>100</v>
      </c>
      <c r="T164" t="s">
        <v>59</v>
      </c>
      <c r="U164" t="s">
        <v>278</v>
      </c>
      <c r="V164" t="s">
        <v>569</v>
      </c>
      <c r="W164" t="s">
        <v>2194</v>
      </c>
    </row>
    <row r="165" spans="1:23" x14ac:dyDescent="0.2">
      <c r="A165" t="s">
        <v>2195</v>
      </c>
      <c r="B165" s="1">
        <f>VALUE(RIGHT(A165,LEN(A165)-3))</f>
        <v>374</v>
      </c>
      <c r="C165" t="s">
        <v>32</v>
      </c>
      <c r="D165">
        <v>1</v>
      </c>
      <c r="E165" t="s">
        <v>57</v>
      </c>
      <c r="F165">
        <v>0</v>
      </c>
      <c r="H165" t="s">
        <v>2196</v>
      </c>
      <c r="I165">
        <v>29</v>
      </c>
      <c r="J165" t="s">
        <v>99</v>
      </c>
      <c r="K165" t="s">
        <v>385</v>
      </c>
      <c r="L165" t="s">
        <v>43</v>
      </c>
      <c r="M165" t="s">
        <v>30</v>
      </c>
      <c r="N165" t="s">
        <v>31</v>
      </c>
      <c r="O165">
        <v>3</v>
      </c>
      <c r="P165">
        <v>30</v>
      </c>
      <c r="T165" t="s">
        <v>36</v>
      </c>
      <c r="U165" t="s">
        <v>2199</v>
      </c>
      <c r="V165" t="s">
        <v>61</v>
      </c>
      <c r="W165" t="s">
        <v>2200</v>
      </c>
    </row>
    <row r="166" spans="1:23" x14ac:dyDescent="0.2">
      <c r="A166" t="s">
        <v>2201</v>
      </c>
      <c r="B166" s="1">
        <f>VALUE(RIGHT(A166,LEN(A166)-3))</f>
        <v>375</v>
      </c>
      <c r="C166" t="s">
        <v>32</v>
      </c>
      <c r="D166">
        <v>1</v>
      </c>
      <c r="E166" t="s">
        <v>57</v>
      </c>
      <c r="F166">
        <v>0</v>
      </c>
      <c r="H166" t="s">
        <v>2202</v>
      </c>
      <c r="I166">
        <v>41</v>
      </c>
      <c r="J166" t="s">
        <v>2203</v>
      </c>
      <c r="K166" t="s">
        <v>2204</v>
      </c>
      <c r="L166" t="s">
        <v>54</v>
      </c>
      <c r="M166" t="s">
        <v>30</v>
      </c>
      <c r="N166" t="s">
        <v>31</v>
      </c>
      <c r="O166">
        <v>2</v>
      </c>
      <c r="P166">
        <v>100</v>
      </c>
      <c r="T166" t="s">
        <v>36</v>
      </c>
      <c r="U166" t="s">
        <v>1012</v>
      </c>
      <c r="V166" t="s">
        <v>61</v>
      </c>
      <c r="W166" t="s">
        <v>2207</v>
      </c>
    </row>
    <row r="167" spans="1:23" x14ac:dyDescent="0.2">
      <c r="A167" t="s">
        <v>2213</v>
      </c>
      <c r="B167" s="1">
        <f>VALUE(RIGHT(A167,LEN(A167)-3))</f>
        <v>377</v>
      </c>
      <c r="C167" t="s">
        <v>32</v>
      </c>
      <c r="D167">
        <v>2</v>
      </c>
      <c r="E167" t="s">
        <v>94</v>
      </c>
      <c r="F167">
        <v>0</v>
      </c>
      <c r="H167" t="s">
        <v>2214</v>
      </c>
      <c r="I167">
        <v>38</v>
      </c>
      <c r="J167" t="s">
        <v>27</v>
      </c>
      <c r="K167" t="s">
        <v>373</v>
      </c>
      <c r="L167" t="s">
        <v>83</v>
      </c>
      <c r="M167" t="s">
        <v>30</v>
      </c>
      <c r="N167" t="s">
        <v>31</v>
      </c>
      <c r="O167">
        <v>14</v>
      </c>
      <c r="P167">
        <v>700</v>
      </c>
      <c r="R167">
        <v>17000</v>
      </c>
      <c r="T167" t="s">
        <v>367</v>
      </c>
      <c r="U167" t="s">
        <v>857</v>
      </c>
      <c r="V167" t="s">
        <v>61</v>
      </c>
      <c r="W167" t="s">
        <v>2217</v>
      </c>
    </row>
    <row r="168" spans="1:23" x14ac:dyDescent="0.2">
      <c r="A168" t="s">
        <v>2229</v>
      </c>
      <c r="B168" s="1">
        <f>VALUE(RIGHT(A168,LEN(A168)-3))</f>
        <v>380</v>
      </c>
      <c r="C168" t="s">
        <v>32</v>
      </c>
      <c r="D168">
        <v>2</v>
      </c>
      <c r="E168" t="s">
        <v>94</v>
      </c>
      <c r="F168">
        <v>2</v>
      </c>
      <c r="G168" t="s">
        <v>123</v>
      </c>
      <c r="H168" t="s">
        <v>2230</v>
      </c>
      <c r="I168">
        <v>35</v>
      </c>
      <c r="J168" t="s">
        <v>402</v>
      </c>
      <c r="K168" t="s">
        <v>2231</v>
      </c>
      <c r="L168" t="s">
        <v>746</v>
      </c>
      <c r="M168" t="s">
        <v>30</v>
      </c>
      <c r="N168" t="s">
        <v>31</v>
      </c>
      <c r="O168">
        <v>1</v>
      </c>
      <c r="P168">
        <v>10</v>
      </c>
      <c r="R168">
        <v>250</v>
      </c>
      <c r="T168" t="s">
        <v>86</v>
      </c>
      <c r="U168" t="s">
        <v>2234</v>
      </c>
      <c r="V168" t="s">
        <v>61</v>
      </c>
      <c r="W168" t="s">
        <v>2235</v>
      </c>
    </row>
    <row r="169" spans="1:23" x14ac:dyDescent="0.2">
      <c r="A169" t="s">
        <v>2236</v>
      </c>
      <c r="B169" s="1">
        <f>VALUE(RIGHT(A169,LEN(A169)-3))</f>
        <v>381</v>
      </c>
      <c r="C169" t="s">
        <v>32</v>
      </c>
      <c r="D169">
        <v>1</v>
      </c>
      <c r="E169" t="s">
        <v>57</v>
      </c>
      <c r="F169">
        <v>0</v>
      </c>
      <c r="H169" t="s">
        <v>2237</v>
      </c>
      <c r="J169" t="s">
        <v>2238</v>
      </c>
      <c r="K169" t="s">
        <v>65</v>
      </c>
      <c r="L169" t="s">
        <v>43</v>
      </c>
      <c r="M169" t="s">
        <v>30</v>
      </c>
      <c r="N169" t="s">
        <v>31</v>
      </c>
      <c r="O169">
        <v>5</v>
      </c>
      <c r="P169">
        <v>400</v>
      </c>
      <c r="T169" t="s">
        <v>2241</v>
      </c>
      <c r="U169" t="s">
        <v>2242</v>
      </c>
      <c r="V169" t="s">
        <v>235</v>
      </c>
      <c r="W169" t="s">
        <v>2243</v>
      </c>
    </row>
    <row r="170" spans="1:23" x14ac:dyDescent="0.2">
      <c r="A170" t="s">
        <v>2250</v>
      </c>
      <c r="B170" s="1">
        <f>VALUE(RIGHT(A170,LEN(A170)-3))</f>
        <v>383</v>
      </c>
      <c r="C170" t="s">
        <v>32</v>
      </c>
      <c r="D170">
        <v>2</v>
      </c>
      <c r="E170" t="s">
        <v>57</v>
      </c>
      <c r="F170">
        <v>2</v>
      </c>
      <c r="G170" t="s">
        <v>366</v>
      </c>
      <c r="H170" t="s">
        <v>2251</v>
      </c>
      <c r="I170">
        <v>25</v>
      </c>
      <c r="J170" t="s">
        <v>150</v>
      </c>
      <c r="K170" t="s">
        <v>2252</v>
      </c>
      <c r="L170" t="s">
        <v>83</v>
      </c>
      <c r="M170" t="s">
        <v>30</v>
      </c>
      <c r="N170" t="s">
        <v>31</v>
      </c>
      <c r="O170">
        <v>3</v>
      </c>
      <c r="P170">
        <v>800</v>
      </c>
      <c r="R170">
        <v>1300</v>
      </c>
      <c r="T170" t="s">
        <v>200</v>
      </c>
      <c r="U170" t="s">
        <v>1304</v>
      </c>
      <c r="V170" t="s">
        <v>61</v>
      </c>
      <c r="W170" t="s">
        <v>2255</v>
      </c>
    </row>
    <row r="171" spans="1:23" x14ac:dyDescent="0.2">
      <c r="A171" t="s">
        <v>2275</v>
      </c>
      <c r="B171" s="1">
        <f>VALUE(RIGHT(A171,LEN(A171)-3))</f>
        <v>387</v>
      </c>
      <c r="C171" t="s">
        <v>32</v>
      </c>
      <c r="D171">
        <v>1</v>
      </c>
      <c r="E171" t="s">
        <v>130</v>
      </c>
      <c r="F171">
        <v>0</v>
      </c>
      <c r="H171" t="s">
        <v>2276</v>
      </c>
      <c r="I171">
        <v>31</v>
      </c>
      <c r="J171" t="s">
        <v>150</v>
      </c>
      <c r="K171" t="s">
        <v>2277</v>
      </c>
      <c r="L171" t="s">
        <v>29</v>
      </c>
      <c r="M171" t="s">
        <v>30</v>
      </c>
      <c r="N171" t="s">
        <v>31</v>
      </c>
      <c r="O171">
        <v>1</v>
      </c>
      <c r="P171">
        <v>40</v>
      </c>
      <c r="R171">
        <v>300</v>
      </c>
      <c r="T171" t="s">
        <v>200</v>
      </c>
      <c r="U171" t="s">
        <v>1304</v>
      </c>
      <c r="V171" t="s">
        <v>302</v>
      </c>
      <c r="W171" t="s">
        <v>2280</v>
      </c>
    </row>
    <row r="172" spans="1:23" x14ac:dyDescent="0.2">
      <c r="A172" t="s">
        <v>2324</v>
      </c>
      <c r="B172" s="1">
        <f>VALUE(RIGHT(A172,LEN(A172)-3))</f>
        <v>395</v>
      </c>
      <c r="C172" t="s">
        <v>32</v>
      </c>
      <c r="D172">
        <v>1</v>
      </c>
      <c r="E172" t="s">
        <v>57</v>
      </c>
      <c r="F172">
        <v>1</v>
      </c>
      <c r="G172" t="s">
        <v>68</v>
      </c>
      <c r="H172" t="s">
        <v>2325</v>
      </c>
      <c r="I172">
        <v>57</v>
      </c>
      <c r="J172" t="s">
        <v>120</v>
      </c>
      <c r="K172" t="s">
        <v>972</v>
      </c>
      <c r="L172" t="s">
        <v>43</v>
      </c>
      <c r="M172" t="s">
        <v>30</v>
      </c>
      <c r="N172" t="s">
        <v>31</v>
      </c>
      <c r="O172">
        <v>1</v>
      </c>
      <c r="P172">
        <v>1</v>
      </c>
      <c r="R172">
        <v>10000</v>
      </c>
      <c r="T172" t="s">
        <v>103</v>
      </c>
      <c r="U172" t="s">
        <v>2328</v>
      </c>
      <c r="V172" t="s">
        <v>61</v>
      </c>
      <c r="W172" t="s">
        <v>2329</v>
      </c>
    </row>
    <row r="173" spans="1:23" hidden="1" x14ac:dyDescent="0.2">
      <c r="A173" t="s">
        <v>2342</v>
      </c>
      <c r="B173" s="1">
        <f>VALUE(RIGHT(A173,LEN(A173)-3))</f>
        <v>398</v>
      </c>
      <c r="C173" t="s">
        <v>44</v>
      </c>
      <c r="D173">
        <v>0</v>
      </c>
      <c r="F173">
        <v>0</v>
      </c>
      <c r="H173" t="s">
        <v>2343</v>
      </c>
      <c r="I173">
        <v>39</v>
      </c>
      <c r="J173" t="s">
        <v>2344</v>
      </c>
      <c r="K173" t="s">
        <v>2345</v>
      </c>
      <c r="L173" t="s">
        <v>54</v>
      </c>
      <c r="M173" t="s">
        <v>30</v>
      </c>
      <c r="N173" t="s">
        <v>31</v>
      </c>
      <c r="O173">
        <v>11</v>
      </c>
      <c r="P173">
        <v>450</v>
      </c>
      <c r="R173">
        <v>300</v>
      </c>
      <c r="T173" t="s">
        <v>36</v>
      </c>
      <c r="U173" t="s">
        <v>1431</v>
      </c>
      <c r="V173" t="s">
        <v>2347</v>
      </c>
      <c r="W173" t="s">
        <v>2348</v>
      </c>
    </row>
    <row r="174" spans="1:23" x14ac:dyDescent="0.2">
      <c r="A174" t="s">
        <v>2349</v>
      </c>
      <c r="B174" s="1">
        <f>VALUE(RIGHT(A174,LEN(A174)-3))</f>
        <v>399</v>
      </c>
      <c r="C174" t="s">
        <v>32</v>
      </c>
      <c r="D174">
        <v>1</v>
      </c>
      <c r="E174" t="s">
        <v>35</v>
      </c>
      <c r="F174">
        <v>3</v>
      </c>
      <c r="G174" t="s">
        <v>1991</v>
      </c>
      <c r="H174" t="s">
        <v>2350</v>
      </c>
      <c r="I174">
        <v>33</v>
      </c>
      <c r="J174" t="s">
        <v>357</v>
      </c>
      <c r="K174" t="s">
        <v>2351</v>
      </c>
      <c r="L174" t="s">
        <v>43</v>
      </c>
      <c r="M174" t="s">
        <v>30</v>
      </c>
      <c r="N174" t="s">
        <v>31</v>
      </c>
      <c r="O174">
        <v>1</v>
      </c>
      <c r="P174">
        <v>25</v>
      </c>
      <c r="R174">
        <v>300</v>
      </c>
      <c r="T174" t="s">
        <v>36</v>
      </c>
      <c r="U174" t="s">
        <v>2354</v>
      </c>
      <c r="V174" t="s">
        <v>48</v>
      </c>
      <c r="W174" t="s">
        <v>2355</v>
      </c>
    </row>
    <row r="175" spans="1:23" x14ac:dyDescent="0.2">
      <c r="A175" t="s">
        <v>2356</v>
      </c>
      <c r="B175" s="1">
        <f>VALUE(RIGHT(A175,LEN(A175)-3))</f>
        <v>400</v>
      </c>
      <c r="C175" t="s">
        <v>32</v>
      </c>
      <c r="D175">
        <v>1</v>
      </c>
      <c r="E175" t="s">
        <v>57</v>
      </c>
      <c r="F175">
        <v>3</v>
      </c>
      <c r="G175" t="s">
        <v>2361</v>
      </c>
      <c r="H175" t="s">
        <v>2357</v>
      </c>
      <c r="I175">
        <v>27</v>
      </c>
      <c r="J175" t="s">
        <v>1863</v>
      </c>
      <c r="K175" t="s">
        <v>2358</v>
      </c>
      <c r="L175" t="s">
        <v>29</v>
      </c>
      <c r="M175" t="s">
        <v>30</v>
      </c>
      <c r="N175" t="s">
        <v>31</v>
      </c>
      <c r="O175">
        <v>2</v>
      </c>
      <c r="P175">
        <v>40</v>
      </c>
      <c r="R175">
        <v>400</v>
      </c>
      <c r="T175" t="s">
        <v>200</v>
      </c>
      <c r="U175" t="s">
        <v>2362</v>
      </c>
      <c r="V175" t="s">
        <v>779</v>
      </c>
      <c r="W175" t="s">
        <v>2363</v>
      </c>
    </row>
    <row r="176" spans="1:23" x14ac:dyDescent="0.2">
      <c r="A176" t="s">
        <v>2370</v>
      </c>
      <c r="B176" s="1">
        <f>VALUE(RIGHT(A176,LEN(A176)-3))</f>
        <v>402</v>
      </c>
      <c r="C176" t="s">
        <v>32</v>
      </c>
      <c r="D176">
        <v>2</v>
      </c>
      <c r="E176" t="s">
        <v>35</v>
      </c>
      <c r="F176">
        <v>3</v>
      </c>
      <c r="G176" t="s">
        <v>327</v>
      </c>
      <c r="H176" t="s">
        <v>2371</v>
      </c>
      <c r="I176">
        <v>31</v>
      </c>
      <c r="J176" t="s">
        <v>27</v>
      </c>
      <c r="K176" t="s">
        <v>461</v>
      </c>
      <c r="L176" t="s">
        <v>54</v>
      </c>
      <c r="M176" t="s">
        <v>30</v>
      </c>
      <c r="N176" t="s">
        <v>31</v>
      </c>
      <c r="P176">
        <v>1</v>
      </c>
      <c r="R176">
        <v>147</v>
      </c>
      <c r="T176" t="s">
        <v>138</v>
      </c>
      <c r="U176" t="s">
        <v>2055</v>
      </c>
      <c r="V176" t="s">
        <v>48</v>
      </c>
      <c r="W176" t="s">
        <v>2374</v>
      </c>
    </row>
    <row r="177" spans="1:23" x14ac:dyDescent="0.2">
      <c r="A177" t="s">
        <v>2375</v>
      </c>
      <c r="B177" s="1">
        <f>VALUE(RIGHT(A177,LEN(A177)-3))</f>
        <v>403</v>
      </c>
      <c r="C177" t="s">
        <v>32</v>
      </c>
      <c r="D177">
        <v>1</v>
      </c>
      <c r="E177" t="s">
        <v>57</v>
      </c>
      <c r="F177">
        <v>3</v>
      </c>
      <c r="G177" t="s">
        <v>2380</v>
      </c>
      <c r="H177" t="s">
        <v>2376</v>
      </c>
      <c r="I177">
        <v>35</v>
      </c>
      <c r="J177" t="s">
        <v>178</v>
      </c>
      <c r="K177" t="s">
        <v>2377</v>
      </c>
      <c r="L177" t="s">
        <v>43</v>
      </c>
      <c r="M177" t="s">
        <v>30</v>
      </c>
      <c r="N177" t="s">
        <v>31</v>
      </c>
      <c r="O177">
        <v>1</v>
      </c>
      <c r="P177">
        <v>5</v>
      </c>
      <c r="R177">
        <v>60</v>
      </c>
      <c r="T177" t="s">
        <v>200</v>
      </c>
      <c r="U177" t="s">
        <v>1025</v>
      </c>
      <c r="V177" t="s">
        <v>635</v>
      </c>
      <c r="W177" t="s">
        <v>2381</v>
      </c>
    </row>
    <row r="178" spans="1:23" x14ac:dyDescent="0.2">
      <c r="A178" t="s">
        <v>2382</v>
      </c>
      <c r="B178" s="1">
        <f>VALUE(RIGHT(A178,LEN(A178)-3))</f>
        <v>404</v>
      </c>
      <c r="C178" t="s">
        <v>32</v>
      </c>
      <c r="D178">
        <v>1</v>
      </c>
      <c r="E178" t="s">
        <v>35</v>
      </c>
      <c r="F178">
        <v>2</v>
      </c>
      <c r="G178" t="s">
        <v>284</v>
      </c>
      <c r="H178" t="s">
        <v>2383</v>
      </c>
      <c r="I178">
        <v>36</v>
      </c>
      <c r="J178" t="s">
        <v>690</v>
      </c>
      <c r="K178" t="s">
        <v>1612</v>
      </c>
      <c r="L178" t="s">
        <v>43</v>
      </c>
      <c r="M178" t="s">
        <v>30</v>
      </c>
      <c r="N178" t="s">
        <v>31</v>
      </c>
      <c r="O178">
        <v>1</v>
      </c>
      <c r="P178">
        <v>40</v>
      </c>
      <c r="R178">
        <v>50</v>
      </c>
      <c r="T178" t="s">
        <v>36</v>
      </c>
      <c r="U178" t="s">
        <v>760</v>
      </c>
      <c r="V178" t="s">
        <v>779</v>
      </c>
      <c r="W178" t="s">
        <v>2386</v>
      </c>
    </row>
    <row r="179" spans="1:23" x14ac:dyDescent="0.2">
      <c r="A179" t="s">
        <v>2399</v>
      </c>
      <c r="B179" s="1">
        <f>VALUE(RIGHT(A179,LEN(A179)-3))</f>
        <v>407</v>
      </c>
      <c r="C179" t="s">
        <v>32</v>
      </c>
      <c r="D179">
        <v>1</v>
      </c>
      <c r="E179" t="s">
        <v>57</v>
      </c>
      <c r="F179">
        <v>1</v>
      </c>
      <c r="G179" t="s">
        <v>123</v>
      </c>
      <c r="H179" t="s">
        <v>2400</v>
      </c>
      <c r="I179">
        <v>52</v>
      </c>
      <c r="J179" t="s">
        <v>2401</v>
      </c>
      <c r="K179" t="s">
        <v>2402</v>
      </c>
      <c r="L179" t="s">
        <v>43</v>
      </c>
      <c r="M179" t="s">
        <v>30</v>
      </c>
      <c r="N179" t="s">
        <v>31</v>
      </c>
      <c r="O179">
        <v>1</v>
      </c>
      <c r="P179">
        <v>10</v>
      </c>
      <c r="R179">
        <v>450</v>
      </c>
      <c r="T179" t="s">
        <v>36</v>
      </c>
      <c r="U179" t="s">
        <v>308</v>
      </c>
      <c r="V179" t="s">
        <v>235</v>
      </c>
      <c r="W179" t="s">
        <v>2405</v>
      </c>
    </row>
    <row r="180" spans="1:23" x14ac:dyDescent="0.2">
      <c r="A180" t="s">
        <v>2429</v>
      </c>
      <c r="B180" s="1">
        <f>VALUE(RIGHT(A180,LEN(A180)-3))</f>
        <v>412</v>
      </c>
      <c r="C180" t="s">
        <v>32</v>
      </c>
      <c r="D180">
        <v>2</v>
      </c>
      <c r="E180" t="s">
        <v>57</v>
      </c>
      <c r="F180">
        <v>2</v>
      </c>
      <c r="G180" t="s">
        <v>123</v>
      </c>
      <c r="H180" t="s">
        <v>2430</v>
      </c>
      <c r="I180">
        <v>55</v>
      </c>
      <c r="J180" t="s">
        <v>217</v>
      </c>
      <c r="K180" t="s">
        <v>100</v>
      </c>
      <c r="L180" t="s">
        <v>43</v>
      </c>
      <c r="M180" t="s">
        <v>30</v>
      </c>
      <c r="N180" t="s">
        <v>31</v>
      </c>
      <c r="O180">
        <v>2</v>
      </c>
      <c r="P180">
        <v>16</v>
      </c>
      <c r="R180">
        <v>144</v>
      </c>
      <c r="T180" t="s">
        <v>36</v>
      </c>
      <c r="U180" t="s">
        <v>2433</v>
      </c>
      <c r="V180" t="s">
        <v>235</v>
      </c>
      <c r="W180" t="s">
        <v>2434</v>
      </c>
    </row>
    <row r="181" spans="1:23" x14ac:dyDescent="0.2">
      <c r="A181" t="s">
        <v>2462</v>
      </c>
      <c r="B181" s="1">
        <f>VALUE(RIGHT(A181,LEN(A181)-3))</f>
        <v>418</v>
      </c>
      <c r="C181" t="s">
        <v>32</v>
      </c>
      <c r="D181">
        <v>2</v>
      </c>
      <c r="E181" t="s">
        <v>35</v>
      </c>
      <c r="F181">
        <v>2</v>
      </c>
      <c r="G181" t="s">
        <v>267</v>
      </c>
      <c r="H181" t="s">
        <v>2463</v>
      </c>
      <c r="I181">
        <v>44</v>
      </c>
      <c r="J181" t="s">
        <v>440</v>
      </c>
      <c r="K181" t="s">
        <v>2464</v>
      </c>
      <c r="L181" t="s">
        <v>43</v>
      </c>
      <c r="M181" t="s">
        <v>30</v>
      </c>
      <c r="N181" t="s">
        <v>31</v>
      </c>
      <c r="O181">
        <v>1</v>
      </c>
      <c r="P181">
        <v>100</v>
      </c>
      <c r="T181" t="s">
        <v>59</v>
      </c>
      <c r="U181" t="s">
        <v>2467</v>
      </c>
      <c r="V181" t="s">
        <v>569</v>
      </c>
      <c r="W181" t="s">
        <v>2468</v>
      </c>
    </row>
    <row r="182" spans="1:23" hidden="1" x14ac:dyDescent="0.2">
      <c r="A182" t="s">
        <v>2469</v>
      </c>
      <c r="B182" s="1">
        <f>VALUE(RIGHT(A182,LEN(A182)-3))</f>
        <v>419</v>
      </c>
      <c r="C182" t="s">
        <v>44</v>
      </c>
      <c r="D182">
        <v>0</v>
      </c>
      <c r="F182">
        <v>0</v>
      </c>
      <c r="H182" t="s">
        <v>2470</v>
      </c>
      <c r="I182">
        <v>45</v>
      </c>
      <c r="J182" t="s">
        <v>52</v>
      </c>
      <c r="K182" t="s">
        <v>2471</v>
      </c>
      <c r="L182" t="s">
        <v>29</v>
      </c>
      <c r="M182" t="s">
        <v>30</v>
      </c>
      <c r="N182" t="s">
        <v>31</v>
      </c>
      <c r="O182">
        <v>5</v>
      </c>
      <c r="P182">
        <v>200</v>
      </c>
      <c r="R182">
        <v>900</v>
      </c>
      <c r="T182" t="s">
        <v>103</v>
      </c>
      <c r="U182" t="s">
        <v>2473</v>
      </c>
      <c r="V182" t="s">
        <v>302</v>
      </c>
      <c r="W182" t="s">
        <v>2474</v>
      </c>
    </row>
    <row r="183" spans="1:23" x14ac:dyDescent="0.2">
      <c r="A183" t="s">
        <v>2481</v>
      </c>
      <c r="B183" s="1">
        <f>VALUE(RIGHT(A183,LEN(A183)-3))</f>
        <v>421</v>
      </c>
      <c r="C183" t="s">
        <v>32</v>
      </c>
      <c r="D183">
        <v>1</v>
      </c>
      <c r="E183" t="s">
        <v>57</v>
      </c>
      <c r="F183">
        <v>0</v>
      </c>
      <c r="H183" t="s">
        <v>2482</v>
      </c>
      <c r="I183">
        <v>55</v>
      </c>
      <c r="J183" t="s">
        <v>525</v>
      </c>
      <c r="K183" t="s">
        <v>2483</v>
      </c>
      <c r="L183" t="s">
        <v>43</v>
      </c>
      <c r="M183" t="s">
        <v>30</v>
      </c>
      <c r="N183" t="s">
        <v>31</v>
      </c>
      <c r="O183">
        <v>25</v>
      </c>
      <c r="T183" t="s">
        <v>36</v>
      </c>
      <c r="U183" t="s">
        <v>308</v>
      </c>
      <c r="V183" t="s">
        <v>48</v>
      </c>
      <c r="W183" t="s">
        <v>2486</v>
      </c>
    </row>
    <row r="184" spans="1:23" hidden="1" x14ac:dyDescent="0.2">
      <c r="A184" t="s">
        <v>2510</v>
      </c>
      <c r="B184" s="1">
        <f>VALUE(RIGHT(A184,LEN(A184)-3))</f>
        <v>427</v>
      </c>
      <c r="C184" t="s">
        <v>44</v>
      </c>
      <c r="D184">
        <v>0</v>
      </c>
      <c r="F184">
        <v>0</v>
      </c>
      <c r="H184" t="s">
        <v>2511</v>
      </c>
      <c r="I184">
        <v>27</v>
      </c>
      <c r="J184" t="s">
        <v>27</v>
      </c>
      <c r="K184" t="s">
        <v>530</v>
      </c>
      <c r="L184" t="s">
        <v>43</v>
      </c>
      <c r="M184" t="s">
        <v>30</v>
      </c>
      <c r="N184" t="s">
        <v>31</v>
      </c>
      <c r="O184">
        <v>3</v>
      </c>
      <c r="P184">
        <v>250</v>
      </c>
      <c r="Q184">
        <v>1</v>
      </c>
      <c r="R184">
        <v>2000</v>
      </c>
      <c r="T184" t="s">
        <v>103</v>
      </c>
      <c r="U184" t="s">
        <v>139</v>
      </c>
      <c r="V184" t="s">
        <v>235</v>
      </c>
      <c r="W184" t="s">
        <v>2513</v>
      </c>
    </row>
    <row r="185" spans="1:23" x14ac:dyDescent="0.2">
      <c r="A185" t="s">
        <v>2514</v>
      </c>
      <c r="B185" s="1">
        <f>VALUE(RIGHT(A185,LEN(A185)-3))</f>
        <v>428</v>
      </c>
      <c r="C185" t="s">
        <v>32</v>
      </c>
      <c r="D185">
        <v>1</v>
      </c>
      <c r="E185" t="s">
        <v>57</v>
      </c>
      <c r="F185">
        <v>1</v>
      </c>
      <c r="G185" t="s">
        <v>58</v>
      </c>
      <c r="H185" t="s">
        <v>2515</v>
      </c>
      <c r="I185">
        <v>41</v>
      </c>
      <c r="J185" t="s">
        <v>27</v>
      </c>
      <c r="K185" t="s">
        <v>2516</v>
      </c>
      <c r="L185" t="s">
        <v>29</v>
      </c>
      <c r="M185" t="s">
        <v>30</v>
      </c>
      <c r="N185" t="s">
        <v>31</v>
      </c>
      <c r="O185">
        <v>7</v>
      </c>
      <c r="P185">
        <v>400</v>
      </c>
      <c r="R185">
        <v>400</v>
      </c>
      <c r="T185" t="s">
        <v>200</v>
      </c>
      <c r="U185" t="s">
        <v>2519</v>
      </c>
      <c r="V185" t="s">
        <v>302</v>
      </c>
      <c r="W185" t="s">
        <v>2520</v>
      </c>
    </row>
    <row r="186" spans="1:23" x14ac:dyDescent="0.2">
      <c r="A186" t="s">
        <v>2525</v>
      </c>
      <c r="B186" s="1">
        <f>VALUE(RIGHT(A186,LEN(A186)-3))</f>
        <v>430</v>
      </c>
      <c r="C186" t="s">
        <v>32</v>
      </c>
      <c r="D186">
        <v>1</v>
      </c>
      <c r="E186" t="s">
        <v>57</v>
      </c>
      <c r="F186">
        <v>4</v>
      </c>
      <c r="G186" t="s">
        <v>2530</v>
      </c>
      <c r="H186" t="s">
        <v>2526</v>
      </c>
      <c r="I186">
        <v>33</v>
      </c>
      <c r="J186" t="s">
        <v>402</v>
      </c>
      <c r="K186" t="s">
        <v>2527</v>
      </c>
      <c r="L186" t="s">
        <v>43</v>
      </c>
      <c r="M186" t="s">
        <v>30</v>
      </c>
      <c r="N186" t="s">
        <v>31</v>
      </c>
      <c r="O186">
        <v>2</v>
      </c>
      <c r="P186">
        <v>50</v>
      </c>
      <c r="R186">
        <v>100</v>
      </c>
      <c r="T186" t="s">
        <v>36</v>
      </c>
      <c r="U186" t="s">
        <v>2531</v>
      </c>
      <c r="V186" t="s">
        <v>48</v>
      </c>
      <c r="W186" t="s">
        <v>2532</v>
      </c>
    </row>
    <row r="187" spans="1:23" x14ac:dyDescent="0.2">
      <c r="A187" t="s">
        <v>2560</v>
      </c>
      <c r="B187" s="1">
        <f>VALUE(RIGHT(A187,LEN(A187)-3))</f>
        <v>436</v>
      </c>
      <c r="C187" t="s">
        <v>32</v>
      </c>
      <c r="D187">
        <v>1</v>
      </c>
      <c r="E187" t="s">
        <v>57</v>
      </c>
      <c r="F187">
        <v>0</v>
      </c>
      <c r="H187" t="s">
        <v>2561</v>
      </c>
      <c r="I187">
        <v>33</v>
      </c>
      <c r="J187" t="s">
        <v>127</v>
      </c>
      <c r="K187" t="s">
        <v>1296</v>
      </c>
      <c r="L187" t="s">
        <v>43</v>
      </c>
      <c r="M187" t="s">
        <v>30</v>
      </c>
      <c r="N187" t="s">
        <v>31</v>
      </c>
      <c r="O187">
        <v>6</v>
      </c>
      <c r="P187">
        <v>450</v>
      </c>
      <c r="Q187">
        <v>5</v>
      </c>
      <c r="R187">
        <v>6000</v>
      </c>
      <c r="T187" t="s">
        <v>36</v>
      </c>
      <c r="U187" t="s">
        <v>2564</v>
      </c>
      <c r="V187" t="s">
        <v>369</v>
      </c>
      <c r="W187" t="s">
        <v>2565</v>
      </c>
    </row>
    <row r="188" spans="1:23" x14ac:dyDescent="0.2">
      <c r="A188" t="s">
        <v>2583</v>
      </c>
      <c r="B188" s="1">
        <f>VALUE(RIGHT(A188,LEN(A188)-3))</f>
        <v>440</v>
      </c>
      <c r="C188" t="s">
        <v>32</v>
      </c>
      <c r="D188">
        <v>1</v>
      </c>
      <c r="E188" t="s">
        <v>35</v>
      </c>
      <c r="F188">
        <v>2</v>
      </c>
      <c r="G188" t="s">
        <v>267</v>
      </c>
      <c r="H188" t="s">
        <v>2584</v>
      </c>
      <c r="I188">
        <v>40</v>
      </c>
      <c r="J188" t="s">
        <v>120</v>
      </c>
      <c r="K188" t="s">
        <v>259</v>
      </c>
      <c r="L188" t="s">
        <v>43</v>
      </c>
      <c r="M188" t="s">
        <v>30</v>
      </c>
      <c r="N188" t="s">
        <v>31</v>
      </c>
      <c r="O188">
        <v>9</v>
      </c>
      <c r="P188">
        <v>550</v>
      </c>
      <c r="R188">
        <v>600</v>
      </c>
      <c r="T188" t="s">
        <v>103</v>
      </c>
      <c r="U188" t="s">
        <v>234</v>
      </c>
      <c r="V188" t="s">
        <v>753</v>
      </c>
      <c r="W188" t="s">
        <v>2587</v>
      </c>
    </row>
    <row r="189" spans="1:23" x14ac:dyDescent="0.2">
      <c r="A189" t="s">
        <v>2593</v>
      </c>
      <c r="B189" s="1">
        <f>VALUE(RIGHT(A189,LEN(A189)-3))</f>
        <v>442</v>
      </c>
      <c r="C189" t="s">
        <v>32</v>
      </c>
      <c r="D189">
        <v>2</v>
      </c>
      <c r="E189" t="s">
        <v>57</v>
      </c>
      <c r="F189">
        <v>3</v>
      </c>
      <c r="G189" t="s">
        <v>2598</v>
      </c>
      <c r="H189" t="s">
        <v>2594</v>
      </c>
      <c r="I189">
        <v>72</v>
      </c>
      <c r="J189" t="s">
        <v>551</v>
      </c>
      <c r="K189" t="s">
        <v>2595</v>
      </c>
      <c r="L189" t="s">
        <v>43</v>
      </c>
      <c r="M189" t="s">
        <v>30</v>
      </c>
      <c r="N189" t="s">
        <v>31</v>
      </c>
      <c r="O189">
        <v>1</v>
      </c>
      <c r="P189">
        <v>25</v>
      </c>
      <c r="R189">
        <v>800</v>
      </c>
      <c r="T189" t="s">
        <v>36</v>
      </c>
      <c r="U189" t="s">
        <v>308</v>
      </c>
      <c r="V189" t="s">
        <v>635</v>
      </c>
      <c r="W189" t="s">
        <v>2599</v>
      </c>
    </row>
    <row r="190" spans="1:23" x14ac:dyDescent="0.2">
      <c r="A190" t="s">
        <v>2600</v>
      </c>
      <c r="B190" s="1">
        <f>VALUE(RIGHT(A190,LEN(A190)-3))</f>
        <v>443</v>
      </c>
      <c r="C190" t="s">
        <v>32</v>
      </c>
      <c r="D190">
        <v>1</v>
      </c>
      <c r="E190" t="s">
        <v>57</v>
      </c>
      <c r="F190">
        <v>1</v>
      </c>
      <c r="G190" t="s">
        <v>123</v>
      </c>
      <c r="H190" t="s">
        <v>2601</v>
      </c>
      <c r="I190">
        <v>32</v>
      </c>
      <c r="J190" t="s">
        <v>178</v>
      </c>
      <c r="K190" t="s">
        <v>2377</v>
      </c>
      <c r="L190" t="s">
        <v>83</v>
      </c>
      <c r="M190" t="s">
        <v>30</v>
      </c>
      <c r="N190" t="s">
        <v>31</v>
      </c>
      <c r="O190">
        <v>1</v>
      </c>
      <c r="P190">
        <v>100</v>
      </c>
      <c r="R190">
        <v>50</v>
      </c>
      <c r="T190" t="s">
        <v>200</v>
      </c>
      <c r="U190" t="s">
        <v>1046</v>
      </c>
      <c r="V190" t="s">
        <v>48</v>
      </c>
      <c r="W190" t="s">
        <v>2603</v>
      </c>
    </row>
    <row r="191" spans="1:23" hidden="1" x14ac:dyDescent="0.2">
      <c r="A191" t="s">
        <v>2615</v>
      </c>
      <c r="B191" s="1">
        <f>VALUE(RIGHT(A191,LEN(A191)-3))</f>
        <v>446</v>
      </c>
      <c r="C191" t="s">
        <v>44</v>
      </c>
      <c r="D191">
        <v>0</v>
      </c>
      <c r="F191">
        <v>0</v>
      </c>
      <c r="H191" t="s">
        <v>2616</v>
      </c>
      <c r="I191">
        <v>44</v>
      </c>
      <c r="J191" t="s">
        <v>178</v>
      </c>
      <c r="K191" t="s">
        <v>2617</v>
      </c>
      <c r="L191" t="s">
        <v>43</v>
      </c>
      <c r="M191" t="s">
        <v>30</v>
      </c>
      <c r="N191" t="s">
        <v>31</v>
      </c>
      <c r="O191">
        <v>2</v>
      </c>
      <c r="T191" t="s">
        <v>103</v>
      </c>
      <c r="U191" t="s">
        <v>194</v>
      </c>
      <c r="V191" t="s">
        <v>194</v>
      </c>
      <c r="W191" t="s">
        <v>2619</v>
      </c>
    </row>
    <row r="192" spans="1:23" x14ac:dyDescent="0.2">
      <c r="A192" t="s">
        <v>2631</v>
      </c>
      <c r="B192" s="1">
        <f>VALUE(RIGHT(A192,LEN(A192)-3))</f>
        <v>449</v>
      </c>
      <c r="C192" t="s">
        <v>32</v>
      </c>
      <c r="D192">
        <v>1</v>
      </c>
      <c r="E192" t="s">
        <v>57</v>
      </c>
      <c r="F192">
        <v>1</v>
      </c>
      <c r="G192" t="s">
        <v>123</v>
      </c>
      <c r="H192" t="s">
        <v>2632</v>
      </c>
      <c r="J192" t="s">
        <v>402</v>
      </c>
      <c r="K192" t="s">
        <v>2633</v>
      </c>
      <c r="L192" t="s">
        <v>43</v>
      </c>
      <c r="M192" t="s">
        <v>30</v>
      </c>
      <c r="N192" t="s">
        <v>31</v>
      </c>
      <c r="T192" t="s">
        <v>889</v>
      </c>
      <c r="U192" t="s">
        <v>194</v>
      </c>
      <c r="V192" t="s">
        <v>194</v>
      </c>
      <c r="W192" t="s">
        <v>2636</v>
      </c>
    </row>
    <row r="193" spans="1:23" x14ac:dyDescent="0.2">
      <c r="A193" t="s">
        <v>2637</v>
      </c>
      <c r="B193" s="1">
        <f>VALUE(RIGHT(A193,LEN(A193)-3))</f>
        <v>450</v>
      </c>
      <c r="C193" t="s">
        <v>32</v>
      </c>
      <c r="D193">
        <v>1</v>
      </c>
      <c r="E193" t="s">
        <v>57</v>
      </c>
      <c r="F193">
        <v>1</v>
      </c>
      <c r="G193" t="s">
        <v>68</v>
      </c>
      <c r="H193" t="s">
        <v>2638</v>
      </c>
      <c r="I193">
        <v>33</v>
      </c>
      <c r="J193" t="s">
        <v>1089</v>
      </c>
      <c r="K193" t="s">
        <v>2639</v>
      </c>
      <c r="L193" t="s">
        <v>746</v>
      </c>
      <c r="M193" t="s">
        <v>30</v>
      </c>
      <c r="N193" t="s">
        <v>31</v>
      </c>
      <c r="O193">
        <v>4</v>
      </c>
      <c r="P193">
        <v>524</v>
      </c>
      <c r="Q193">
        <v>85</v>
      </c>
      <c r="R193">
        <v>200</v>
      </c>
      <c r="T193" t="s">
        <v>242</v>
      </c>
      <c r="U193" t="s">
        <v>368</v>
      </c>
      <c r="V193" t="s">
        <v>569</v>
      </c>
      <c r="W193" t="s">
        <v>2642</v>
      </c>
    </row>
    <row r="194" spans="1:23" hidden="1" x14ac:dyDescent="0.2">
      <c r="A194" t="s">
        <v>2695</v>
      </c>
      <c r="B194" s="1">
        <f>VALUE(RIGHT(A194,LEN(A194)-3))</f>
        <v>460</v>
      </c>
      <c r="C194" t="s">
        <v>44</v>
      </c>
      <c r="D194">
        <v>0</v>
      </c>
      <c r="F194">
        <v>0</v>
      </c>
      <c r="H194" t="s">
        <v>2696</v>
      </c>
      <c r="I194">
        <v>56</v>
      </c>
      <c r="J194" t="s">
        <v>178</v>
      </c>
      <c r="K194" t="s">
        <v>300</v>
      </c>
      <c r="L194" t="s">
        <v>43</v>
      </c>
      <c r="M194" t="s">
        <v>30</v>
      </c>
      <c r="N194" t="s">
        <v>31</v>
      </c>
      <c r="O194">
        <v>1</v>
      </c>
      <c r="P194">
        <v>40</v>
      </c>
      <c r="T194" t="s">
        <v>103</v>
      </c>
      <c r="U194" t="s">
        <v>194</v>
      </c>
      <c r="V194" t="s">
        <v>194</v>
      </c>
      <c r="W194" t="s">
        <v>2698</v>
      </c>
    </row>
    <row r="195" spans="1:23" x14ac:dyDescent="0.2">
      <c r="A195" t="s">
        <v>2699</v>
      </c>
      <c r="B195" s="1">
        <f>VALUE(RIGHT(A195,LEN(A195)-3))</f>
        <v>461</v>
      </c>
      <c r="C195" t="s">
        <v>32</v>
      </c>
      <c r="D195">
        <v>1</v>
      </c>
      <c r="E195" t="s">
        <v>57</v>
      </c>
      <c r="F195">
        <v>0</v>
      </c>
      <c r="H195" t="s">
        <v>2700</v>
      </c>
      <c r="J195" t="s">
        <v>690</v>
      </c>
      <c r="K195" t="s">
        <v>1612</v>
      </c>
      <c r="L195" t="s">
        <v>43</v>
      </c>
      <c r="M195" t="s">
        <v>30</v>
      </c>
      <c r="N195" t="s">
        <v>31</v>
      </c>
      <c r="T195" t="s">
        <v>36</v>
      </c>
      <c r="U195" t="s">
        <v>194</v>
      </c>
      <c r="V195" t="s">
        <v>48</v>
      </c>
      <c r="W195" t="s">
        <v>2703</v>
      </c>
    </row>
    <row r="196" spans="1:23" hidden="1" x14ac:dyDescent="0.2">
      <c r="A196" t="s">
        <v>2725</v>
      </c>
      <c r="B196" s="1">
        <f>VALUE(RIGHT(A196,LEN(A196)-3))</f>
        <v>466</v>
      </c>
      <c r="C196" t="s">
        <v>44</v>
      </c>
      <c r="D196">
        <v>0</v>
      </c>
      <c r="F196">
        <v>0</v>
      </c>
      <c r="H196" t="s">
        <v>2726</v>
      </c>
      <c r="I196">
        <v>43</v>
      </c>
      <c r="J196" t="s">
        <v>178</v>
      </c>
      <c r="K196" t="s">
        <v>1050</v>
      </c>
      <c r="L196" t="s">
        <v>43</v>
      </c>
      <c r="M196" t="s">
        <v>30</v>
      </c>
      <c r="N196" t="s">
        <v>31</v>
      </c>
      <c r="O196">
        <v>2</v>
      </c>
      <c r="P196">
        <v>60</v>
      </c>
      <c r="R196">
        <v>700</v>
      </c>
      <c r="T196" t="s">
        <v>242</v>
      </c>
      <c r="U196" t="s">
        <v>2728</v>
      </c>
      <c r="V196" t="s">
        <v>48</v>
      </c>
      <c r="W196" t="s">
        <v>2729</v>
      </c>
    </row>
    <row r="197" spans="1:23" hidden="1" x14ac:dyDescent="0.2">
      <c r="A197" t="s">
        <v>2740</v>
      </c>
      <c r="B197" s="1">
        <f>VALUE(RIGHT(A197,LEN(A197)-3))</f>
        <v>469</v>
      </c>
      <c r="C197" t="s">
        <v>44</v>
      </c>
      <c r="D197">
        <v>0</v>
      </c>
      <c r="F197">
        <v>0</v>
      </c>
      <c r="H197" t="s">
        <v>2741</v>
      </c>
      <c r="I197">
        <v>47</v>
      </c>
      <c r="J197" t="s">
        <v>52</v>
      </c>
      <c r="K197" t="s">
        <v>2742</v>
      </c>
      <c r="L197" t="s">
        <v>43</v>
      </c>
      <c r="M197" t="s">
        <v>30</v>
      </c>
      <c r="N197" t="s">
        <v>31</v>
      </c>
      <c r="O197">
        <v>1</v>
      </c>
      <c r="P197">
        <v>127</v>
      </c>
      <c r="T197" t="s">
        <v>36</v>
      </c>
      <c r="U197" t="s">
        <v>308</v>
      </c>
      <c r="V197" t="s">
        <v>61</v>
      </c>
    </row>
    <row r="198" spans="1:23" x14ac:dyDescent="0.2">
      <c r="A198" t="s">
        <v>2749</v>
      </c>
      <c r="B198" s="1">
        <f>VALUE(RIGHT(A198,LEN(A198)-3))</f>
        <v>471</v>
      </c>
      <c r="C198" t="s">
        <v>32</v>
      </c>
      <c r="D198">
        <v>1</v>
      </c>
      <c r="E198" t="s">
        <v>57</v>
      </c>
      <c r="F198">
        <v>1</v>
      </c>
      <c r="G198" t="s">
        <v>58</v>
      </c>
      <c r="H198" t="s">
        <v>2750</v>
      </c>
      <c r="I198">
        <v>37</v>
      </c>
      <c r="J198" t="s">
        <v>690</v>
      </c>
      <c r="K198" t="s">
        <v>1612</v>
      </c>
      <c r="M198" t="s">
        <v>30</v>
      </c>
      <c r="N198" t="s">
        <v>31</v>
      </c>
      <c r="O198">
        <v>3</v>
      </c>
      <c r="P198">
        <v>400</v>
      </c>
      <c r="R198">
        <v>250</v>
      </c>
      <c r="T198" t="s">
        <v>2753</v>
      </c>
      <c r="U198" t="s">
        <v>2754</v>
      </c>
      <c r="V198" t="s">
        <v>48</v>
      </c>
      <c r="W198" t="s">
        <v>2755</v>
      </c>
    </row>
    <row r="199" spans="1:23" x14ac:dyDescent="0.2">
      <c r="A199" t="s">
        <v>2756</v>
      </c>
      <c r="B199" s="1">
        <f>VALUE(RIGHT(A199,LEN(A199)-3))</f>
        <v>472</v>
      </c>
      <c r="C199" t="s">
        <v>32</v>
      </c>
      <c r="D199">
        <v>1</v>
      </c>
      <c r="E199" t="s">
        <v>57</v>
      </c>
      <c r="F199">
        <v>3</v>
      </c>
      <c r="G199" t="s">
        <v>366</v>
      </c>
      <c r="H199" t="s">
        <v>2757</v>
      </c>
      <c r="I199">
        <v>33</v>
      </c>
      <c r="J199" t="s">
        <v>52</v>
      </c>
      <c r="K199" t="s">
        <v>2758</v>
      </c>
      <c r="L199" t="s">
        <v>54</v>
      </c>
      <c r="M199" t="s">
        <v>30</v>
      </c>
      <c r="N199" t="s">
        <v>31</v>
      </c>
      <c r="O199">
        <v>1</v>
      </c>
      <c r="P199">
        <v>120</v>
      </c>
      <c r="R199">
        <v>5500</v>
      </c>
      <c r="T199" t="s">
        <v>59</v>
      </c>
      <c r="U199" t="s">
        <v>1757</v>
      </c>
      <c r="V199" t="s">
        <v>235</v>
      </c>
      <c r="W199" t="s">
        <v>2761</v>
      </c>
    </row>
    <row r="200" spans="1:23" hidden="1" x14ac:dyDescent="0.2">
      <c r="A200" t="s">
        <v>2762</v>
      </c>
      <c r="B200" s="1">
        <f>VALUE(RIGHT(A200,LEN(A200)-3))</f>
        <v>473</v>
      </c>
      <c r="C200" t="s">
        <v>44</v>
      </c>
      <c r="D200">
        <v>0</v>
      </c>
      <c r="F200">
        <v>0</v>
      </c>
      <c r="H200" t="s">
        <v>2763</v>
      </c>
      <c r="I200">
        <v>50</v>
      </c>
      <c r="J200" t="s">
        <v>27</v>
      </c>
      <c r="K200" t="s">
        <v>65</v>
      </c>
      <c r="L200" t="s">
        <v>746</v>
      </c>
      <c r="M200" t="s">
        <v>30</v>
      </c>
      <c r="N200" t="s">
        <v>31</v>
      </c>
      <c r="T200" t="s">
        <v>2168</v>
      </c>
      <c r="U200" t="s">
        <v>2765</v>
      </c>
      <c r="V200" t="s">
        <v>48</v>
      </c>
      <c r="W200" t="s">
        <v>2766</v>
      </c>
    </row>
    <row r="201" spans="1:23" hidden="1" x14ac:dyDescent="0.2">
      <c r="A201" t="s">
        <v>2772</v>
      </c>
      <c r="B201" s="1">
        <f>VALUE(RIGHT(A201,LEN(A201)-3))</f>
        <v>475</v>
      </c>
      <c r="C201" t="s">
        <v>44</v>
      </c>
      <c r="D201">
        <v>0</v>
      </c>
      <c r="F201">
        <v>0</v>
      </c>
      <c r="H201" t="s">
        <v>2773</v>
      </c>
      <c r="I201">
        <v>37</v>
      </c>
      <c r="J201" t="s">
        <v>27</v>
      </c>
      <c r="K201" t="s">
        <v>373</v>
      </c>
      <c r="L201" t="s">
        <v>83</v>
      </c>
      <c r="M201" t="s">
        <v>30</v>
      </c>
      <c r="N201" t="s">
        <v>31</v>
      </c>
      <c r="R201">
        <v>8500</v>
      </c>
      <c r="T201" t="s">
        <v>103</v>
      </c>
      <c r="U201" t="s">
        <v>2062</v>
      </c>
      <c r="V201" t="s">
        <v>569</v>
      </c>
      <c r="W201" t="s">
        <v>2775</v>
      </c>
    </row>
    <row r="202" spans="1:23" x14ac:dyDescent="0.2">
      <c r="A202" t="s">
        <v>2776</v>
      </c>
      <c r="B202" s="1">
        <f>VALUE(RIGHT(A202,LEN(A202)-3))</f>
        <v>476</v>
      </c>
      <c r="C202" t="s">
        <v>32</v>
      </c>
      <c r="D202">
        <v>1</v>
      </c>
      <c r="E202" t="s">
        <v>57</v>
      </c>
      <c r="F202">
        <v>2</v>
      </c>
      <c r="G202" t="s">
        <v>327</v>
      </c>
      <c r="H202" t="s">
        <v>2777</v>
      </c>
      <c r="I202">
        <v>41</v>
      </c>
      <c r="J202" t="s">
        <v>127</v>
      </c>
      <c r="K202" t="s">
        <v>385</v>
      </c>
      <c r="L202" t="s">
        <v>43</v>
      </c>
      <c r="M202" t="s">
        <v>30</v>
      </c>
      <c r="N202" t="s">
        <v>31</v>
      </c>
      <c r="O202">
        <v>5</v>
      </c>
      <c r="P202">
        <v>100</v>
      </c>
      <c r="T202" t="s">
        <v>36</v>
      </c>
      <c r="U202" t="s">
        <v>308</v>
      </c>
      <c r="V202" t="s">
        <v>48</v>
      </c>
      <c r="W202" t="s">
        <v>2780</v>
      </c>
    </row>
    <row r="203" spans="1:23" x14ac:dyDescent="0.2">
      <c r="A203" t="s">
        <v>2801</v>
      </c>
      <c r="B203" s="1">
        <f>VALUE(RIGHT(A203,LEN(A203)-3))</f>
        <v>480</v>
      </c>
      <c r="C203" t="s">
        <v>32</v>
      </c>
      <c r="D203">
        <v>1</v>
      </c>
      <c r="E203" t="s">
        <v>57</v>
      </c>
      <c r="F203">
        <v>1</v>
      </c>
      <c r="G203" t="s">
        <v>123</v>
      </c>
      <c r="H203" t="s">
        <v>2802</v>
      </c>
      <c r="I203">
        <v>58</v>
      </c>
      <c r="J203" t="s">
        <v>2803</v>
      </c>
      <c r="K203" t="s">
        <v>2678</v>
      </c>
      <c r="L203" t="s">
        <v>43</v>
      </c>
      <c r="M203" t="s">
        <v>30</v>
      </c>
      <c r="N203" t="s">
        <v>31</v>
      </c>
      <c r="O203">
        <v>1</v>
      </c>
      <c r="P203">
        <v>425</v>
      </c>
      <c r="T203" t="s">
        <v>36</v>
      </c>
      <c r="U203" t="s">
        <v>1012</v>
      </c>
      <c r="V203" t="s">
        <v>613</v>
      </c>
      <c r="W203" t="s">
        <v>2806</v>
      </c>
    </row>
    <row r="204" spans="1:23" x14ac:dyDescent="0.2">
      <c r="A204" t="s">
        <v>2824</v>
      </c>
      <c r="B204" s="1">
        <f>VALUE(RIGHT(A204,LEN(A204)-3))</f>
        <v>484</v>
      </c>
      <c r="C204" t="s">
        <v>32</v>
      </c>
      <c r="D204">
        <v>1</v>
      </c>
      <c r="E204" t="s">
        <v>35</v>
      </c>
      <c r="F204">
        <v>1</v>
      </c>
      <c r="G204" t="s">
        <v>123</v>
      </c>
      <c r="H204" t="s">
        <v>2825</v>
      </c>
      <c r="I204">
        <v>43</v>
      </c>
      <c r="J204" t="s">
        <v>27</v>
      </c>
      <c r="K204" t="s">
        <v>264</v>
      </c>
      <c r="L204" t="s">
        <v>43</v>
      </c>
      <c r="M204" t="s">
        <v>30</v>
      </c>
      <c r="N204" t="s">
        <v>31</v>
      </c>
      <c r="T204" t="s">
        <v>59</v>
      </c>
      <c r="U204" t="s">
        <v>78</v>
      </c>
      <c r="V204" t="s">
        <v>48</v>
      </c>
      <c r="W204" t="s">
        <v>2828</v>
      </c>
    </row>
    <row r="205" spans="1:23" hidden="1" x14ac:dyDescent="0.2">
      <c r="A205" t="s">
        <v>2842</v>
      </c>
      <c r="B205" s="1">
        <f>VALUE(RIGHT(A205,LEN(A205)-3))</f>
        <v>487</v>
      </c>
      <c r="C205" t="s">
        <v>44</v>
      </c>
      <c r="D205">
        <v>0</v>
      </c>
      <c r="F205">
        <v>0</v>
      </c>
      <c r="H205" t="s">
        <v>2843</v>
      </c>
      <c r="I205">
        <v>54</v>
      </c>
      <c r="J205" t="s">
        <v>120</v>
      </c>
      <c r="K205" t="s">
        <v>385</v>
      </c>
      <c r="L205" t="s">
        <v>43</v>
      </c>
      <c r="M205" t="s">
        <v>30</v>
      </c>
      <c r="N205" t="s">
        <v>31</v>
      </c>
      <c r="O205">
        <v>8</v>
      </c>
      <c r="T205" t="s">
        <v>36</v>
      </c>
      <c r="U205" t="s">
        <v>2845</v>
      </c>
      <c r="V205" t="s">
        <v>61</v>
      </c>
      <c r="W205" t="s">
        <v>2846</v>
      </c>
    </row>
    <row r="206" spans="1:23" x14ac:dyDescent="0.2">
      <c r="A206" t="s">
        <v>2873</v>
      </c>
      <c r="B206" s="1">
        <f>VALUE(RIGHT(A206,LEN(A206)-3))</f>
        <v>494</v>
      </c>
      <c r="C206" t="s">
        <v>32</v>
      </c>
      <c r="D206">
        <v>1</v>
      </c>
      <c r="E206" t="s">
        <v>57</v>
      </c>
      <c r="F206">
        <v>1</v>
      </c>
      <c r="G206" t="s">
        <v>123</v>
      </c>
      <c r="H206" t="s">
        <v>2874</v>
      </c>
      <c r="I206">
        <v>53</v>
      </c>
      <c r="J206" t="s">
        <v>52</v>
      </c>
      <c r="K206" t="s">
        <v>2875</v>
      </c>
      <c r="L206" t="s">
        <v>83</v>
      </c>
      <c r="M206" t="s">
        <v>30</v>
      </c>
      <c r="N206" t="s">
        <v>31</v>
      </c>
      <c r="O206">
        <v>1</v>
      </c>
      <c r="P206">
        <v>25</v>
      </c>
      <c r="R206">
        <v>1500</v>
      </c>
      <c r="T206" t="s">
        <v>166</v>
      </c>
      <c r="U206" t="s">
        <v>2571</v>
      </c>
      <c r="V206" t="s">
        <v>48</v>
      </c>
      <c r="W206" t="s">
        <v>2878</v>
      </c>
    </row>
    <row r="207" spans="1:23" hidden="1" x14ac:dyDescent="0.2">
      <c r="A207" t="s">
        <v>2923</v>
      </c>
      <c r="B207" s="1">
        <f>VALUE(RIGHT(A207,LEN(A207)-3))</f>
        <v>503</v>
      </c>
      <c r="C207" t="s">
        <v>44</v>
      </c>
      <c r="D207">
        <v>0</v>
      </c>
      <c r="F207">
        <v>0</v>
      </c>
      <c r="H207" t="s">
        <v>2924</v>
      </c>
      <c r="I207">
        <v>32</v>
      </c>
      <c r="J207" t="s">
        <v>150</v>
      </c>
      <c r="K207" t="s">
        <v>1790</v>
      </c>
      <c r="L207" t="s">
        <v>43</v>
      </c>
      <c r="M207" t="s">
        <v>30</v>
      </c>
      <c r="N207" t="s">
        <v>31</v>
      </c>
      <c r="P207">
        <v>150</v>
      </c>
      <c r="R207">
        <v>600</v>
      </c>
      <c r="T207" t="s">
        <v>36</v>
      </c>
      <c r="U207" t="s">
        <v>181</v>
      </c>
      <c r="V207" t="s">
        <v>61</v>
      </c>
      <c r="W207" t="s">
        <v>2926</v>
      </c>
    </row>
    <row r="208" spans="1:23" x14ac:dyDescent="0.2">
      <c r="A208" t="s">
        <v>2941</v>
      </c>
      <c r="B208" s="1">
        <f>VALUE(RIGHT(A208,LEN(A208)-3))</f>
        <v>506</v>
      </c>
      <c r="C208" t="s">
        <v>32</v>
      </c>
      <c r="D208">
        <v>1</v>
      </c>
      <c r="E208" t="s">
        <v>57</v>
      </c>
      <c r="F208">
        <v>2</v>
      </c>
      <c r="G208" t="s">
        <v>1544</v>
      </c>
      <c r="H208" t="s">
        <v>2942</v>
      </c>
      <c r="I208">
        <v>47</v>
      </c>
      <c r="J208" t="s">
        <v>27</v>
      </c>
      <c r="K208" t="s">
        <v>2943</v>
      </c>
      <c r="L208" t="s">
        <v>43</v>
      </c>
      <c r="M208" t="s">
        <v>30</v>
      </c>
      <c r="N208" t="s">
        <v>31</v>
      </c>
      <c r="O208">
        <v>25</v>
      </c>
      <c r="T208" t="s">
        <v>36</v>
      </c>
      <c r="U208" t="s">
        <v>308</v>
      </c>
      <c r="V208" t="s">
        <v>61</v>
      </c>
      <c r="W208" t="s">
        <v>2946</v>
      </c>
    </row>
    <row r="209" spans="1:23" x14ac:dyDescent="0.2">
      <c r="A209" t="s">
        <v>2973</v>
      </c>
      <c r="B209" s="1">
        <f>VALUE(RIGHT(A209,LEN(A209)-3))</f>
        <v>512</v>
      </c>
      <c r="C209" t="s">
        <v>32</v>
      </c>
      <c r="D209">
        <v>1</v>
      </c>
      <c r="E209" t="s">
        <v>57</v>
      </c>
      <c r="F209">
        <v>0</v>
      </c>
      <c r="H209" t="s">
        <v>2974</v>
      </c>
      <c r="I209">
        <v>43</v>
      </c>
      <c r="J209" t="s">
        <v>120</v>
      </c>
      <c r="K209" t="s">
        <v>2975</v>
      </c>
      <c r="L209" t="s">
        <v>746</v>
      </c>
      <c r="M209" t="s">
        <v>30</v>
      </c>
      <c r="N209" t="s">
        <v>31</v>
      </c>
      <c r="O209">
        <v>11</v>
      </c>
      <c r="P209">
        <v>1360</v>
      </c>
      <c r="R209">
        <v>450</v>
      </c>
      <c r="T209" t="s">
        <v>36</v>
      </c>
      <c r="U209" t="s">
        <v>2978</v>
      </c>
      <c r="V209" t="s">
        <v>369</v>
      </c>
      <c r="W209" t="s">
        <v>2979</v>
      </c>
    </row>
    <row r="210" spans="1:23" x14ac:dyDescent="0.2">
      <c r="A210" t="s">
        <v>2980</v>
      </c>
      <c r="B210" s="1">
        <f>VALUE(RIGHT(A210,LEN(A210)-3))</f>
        <v>513</v>
      </c>
      <c r="C210" t="s">
        <v>32</v>
      </c>
      <c r="D210">
        <v>2</v>
      </c>
      <c r="E210" t="s">
        <v>94</v>
      </c>
      <c r="F210">
        <v>6</v>
      </c>
      <c r="G210" t="s">
        <v>2542</v>
      </c>
      <c r="H210" t="s">
        <v>2981</v>
      </c>
      <c r="I210">
        <v>19</v>
      </c>
      <c r="J210" t="s">
        <v>27</v>
      </c>
      <c r="K210" t="s">
        <v>65</v>
      </c>
      <c r="L210" t="s">
        <v>29</v>
      </c>
      <c r="M210" t="s">
        <v>30</v>
      </c>
      <c r="N210" t="s">
        <v>31</v>
      </c>
      <c r="O210">
        <v>1</v>
      </c>
      <c r="P210">
        <v>59</v>
      </c>
      <c r="R210">
        <v>12</v>
      </c>
      <c r="T210" t="s">
        <v>889</v>
      </c>
      <c r="U210" t="s">
        <v>1407</v>
      </c>
      <c r="V210" t="s">
        <v>235</v>
      </c>
      <c r="W210" t="s">
        <v>2984</v>
      </c>
    </row>
    <row r="211" spans="1:23" x14ac:dyDescent="0.2">
      <c r="A211" t="s">
        <v>3013</v>
      </c>
      <c r="B211" s="1">
        <f>VALUE(RIGHT(A211,LEN(A211)-3))</f>
        <v>520</v>
      </c>
      <c r="C211" t="s">
        <v>32</v>
      </c>
      <c r="D211">
        <v>1</v>
      </c>
      <c r="E211" t="s">
        <v>57</v>
      </c>
      <c r="F211">
        <v>0</v>
      </c>
      <c r="H211" t="s">
        <v>3014</v>
      </c>
      <c r="I211">
        <v>44</v>
      </c>
      <c r="J211" t="s">
        <v>178</v>
      </c>
      <c r="K211" t="s">
        <v>623</v>
      </c>
      <c r="L211" t="s">
        <v>746</v>
      </c>
      <c r="M211" t="s">
        <v>30</v>
      </c>
      <c r="N211" t="s">
        <v>31</v>
      </c>
      <c r="O211">
        <v>8</v>
      </c>
      <c r="P211">
        <v>400</v>
      </c>
      <c r="R211">
        <v>1000</v>
      </c>
      <c r="T211" t="s">
        <v>103</v>
      </c>
      <c r="U211" t="s">
        <v>1407</v>
      </c>
      <c r="V211" t="s">
        <v>194</v>
      </c>
      <c r="W211" t="s">
        <v>3017</v>
      </c>
    </row>
    <row r="212" spans="1:23" x14ac:dyDescent="0.2">
      <c r="A212" t="s">
        <v>3065</v>
      </c>
      <c r="B212" s="1">
        <f>VALUE(RIGHT(A212,LEN(A212)-3))</f>
        <v>529</v>
      </c>
      <c r="C212" t="s">
        <v>32</v>
      </c>
      <c r="D212">
        <v>2</v>
      </c>
      <c r="E212" t="s">
        <v>94</v>
      </c>
      <c r="F212">
        <v>4</v>
      </c>
      <c r="G212" t="s">
        <v>3069</v>
      </c>
      <c r="H212" t="s">
        <v>3066</v>
      </c>
      <c r="I212">
        <v>34</v>
      </c>
      <c r="J212" t="s">
        <v>1601</v>
      </c>
      <c r="K212" t="s">
        <v>259</v>
      </c>
      <c r="L212" t="s">
        <v>43</v>
      </c>
      <c r="M212" t="s">
        <v>30</v>
      </c>
      <c r="N212" t="s">
        <v>31</v>
      </c>
      <c r="O212">
        <v>2</v>
      </c>
      <c r="P212">
        <v>150</v>
      </c>
      <c r="T212" t="s">
        <v>36</v>
      </c>
      <c r="U212" t="s">
        <v>3070</v>
      </c>
      <c r="V212" t="s">
        <v>302</v>
      </c>
      <c r="W212" t="s">
        <v>3071</v>
      </c>
    </row>
    <row r="213" spans="1:23" x14ac:dyDescent="0.2">
      <c r="A213" t="s">
        <v>3076</v>
      </c>
      <c r="B213" s="1">
        <f>VALUE(RIGHT(A213,LEN(A213)-3))</f>
        <v>531</v>
      </c>
      <c r="C213" t="s">
        <v>32</v>
      </c>
      <c r="D213">
        <v>1</v>
      </c>
      <c r="E213" t="s">
        <v>57</v>
      </c>
      <c r="F213">
        <v>0</v>
      </c>
      <c r="H213" t="s">
        <v>3077</v>
      </c>
      <c r="I213">
        <v>33</v>
      </c>
      <c r="J213" t="s">
        <v>690</v>
      </c>
      <c r="K213" t="s">
        <v>3078</v>
      </c>
      <c r="L213" t="s">
        <v>43</v>
      </c>
      <c r="M213" t="s">
        <v>30</v>
      </c>
      <c r="N213" t="s">
        <v>31</v>
      </c>
      <c r="T213" t="s">
        <v>36</v>
      </c>
      <c r="U213" t="s">
        <v>3080</v>
      </c>
      <c r="V213" t="s">
        <v>48</v>
      </c>
      <c r="W213" t="s">
        <v>3081</v>
      </c>
    </row>
    <row r="214" spans="1:23" x14ac:dyDescent="0.2">
      <c r="A214" t="s">
        <v>3092</v>
      </c>
      <c r="B214" s="1">
        <f>VALUE(RIGHT(A214,LEN(A214)-3))</f>
        <v>534</v>
      </c>
      <c r="C214" t="s">
        <v>32</v>
      </c>
      <c r="D214">
        <v>1</v>
      </c>
      <c r="E214" t="s">
        <v>35</v>
      </c>
      <c r="F214">
        <v>3</v>
      </c>
      <c r="G214" t="s">
        <v>907</v>
      </c>
      <c r="H214" t="s">
        <v>3093</v>
      </c>
      <c r="I214">
        <v>28</v>
      </c>
      <c r="J214" t="s">
        <v>217</v>
      </c>
      <c r="K214" t="s">
        <v>259</v>
      </c>
      <c r="L214" t="s">
        <v>83</v>
      </c>
      <c r="M214" t="s">
        <v>30</v>
      </c>
      <c r="N214" t="s">
        <v>31</v>
      </c>
      <c r="O214">
        <v>3</v>
      </c>
      <c r="P214">
        <v>300</v>
      </c>
      <c r="T214" t="s">
        <v>59</v>
      </c>
      <c r="U214" t="s">
        <v>3096</v>
      </c>
      <c r="V214" t="s">
        <v>48</v>
      </c>
      <c r="W214" t="s">
        <v>3097</v>
      </c>
    </row>
    <row r="215" spans="1:23" x14ac:dyDescent="0.2">
      <c r="A215" t="s">
        <v>600</v>
      </c>
      <c r="B215" s="1">
        <f>VALUE(RIGHT(A215,LEN(A215)-3))</f>
        <v>86</v>
      </c>
      <c r="C215" t="s">
        <v>32</v>
      </c>
      <c r="D215">
        <v>1</v>
      </c>
      <c r="E215" t="s">
        <v>57</v>
      </c>
      <c r="F215">
        <v>0</v>
      </c>
      <c r="H215" t="s">
        <v>601</v>
      </c>
      <c r="J215" t="s">
        <v>120</v>
      </c>
      <c r="K215" t="s">
        <v>113</v>
      </c>
      <c r="L215" t="s">
        <v>43</v>
      </c>
      <c r="M215" t="s">
        <v>602</v>
      </c>
      <c r="N215" t="s">
        <v>603</v>
      </c>
      <c r="P215">
        <v>800</v>
      </c>
      <c r="T215" t="s">
        <v>103</v>
      </c>
      <c r="U215" t="s">
        <v>606</v>
      </c>
      <c r="V215" t="s">
        <v>61</v>
      </c>
      <c r="W215" t="s">
        <v>607</v>
      </c>
    </row>
    <row r="216" spans="1:23" x14ac:dyDescent="0.2">
      <c r="A216" t="s">
        <v>643</v>
      </c>
      <c r="B216" s="1">
        <f>VALUE(RIGHT(A216,LEN(A216)-3))</f>
        <v>92</v>
      </c>
      <c r="C216" t="s">
        <v>32</v>
      </c>
      <c r="D216">
        <v>1</v>
      </c>
      <c r="E216" t="s">
        <v>57</v>
      </c>
      <c r="F216">
        <v>1</v>
      </c>
      <c r="G216" t="s">
        <v>291</v>
      </c>
      <c r="H216" t="s">
        <v>644</v>
      </c>
      <c r="J216" t="s">
        <v>120</v>
      </c>
      <c r="K216" t="s">
        <v>288</v>
      </c>
      <c r="L216" t="s">
        <v>43</v>
      </c>
      <c r="M216" t="s">
        <v>602</v>
      </c>
      <c r="N216" t="s">
        <v>603</v>
      </c>
      <c r="T216" t="s">
        <v>173</v>
      </c>
      <c r="U216" t="s">
        <v>647</v>
      </c>
      <c r="V216" t="s">
        <v>61</v>
      </c>
      <c r="W216" t="s">
        <v>648</v>
      </c>
    </row>
    <row r="217" spans="1:23" hidden="1" x14ac:dyDescent="0.2">
      <c r="A217" t="s">
        <v>653</v>
      </c>
      <c r="B217" s="1">
        <f>VALUE(RIGHT(A217,LEN(A217)-3))</f>
        <v>94</v>
      </c>
      <c r="C217" t="s">
        <v>44</v>
      </c>
      <c r="D217">
        <v>0</v>
      </c>
      <c r="F217">
        <v>0</v>
      </c>
      <c r="H217" t="s">
        <v>654</v>
      </c>
      <c r="J217" t="s">
        <v>27</v>
      </c>
      <c r="K217" t="s">
        <v>655</v>
      </c>
      <c r="L217" t="s">
        <v>29</v>
      </c>
      <c r="M217" t="s">
        <v>602</v>
      </c>
      <c r="N217" t="s">
        <v>603</v>
      </c>
      <c r="P217">
        <v>1869</v>
      </c>
      <c r="T217" t="s">
        <v>173</v>
      </c>
      <c r="U217" t="s">
        <v>174</v>
      </c>
      <c r="V217" t="s">
        <v>302</v>
      </c>
      <c r="W217" t="s">
        <v>657</v>
      </c>
    </row>
    <row r="218" spans="1:23" x14ac:dyDescent="0.2">
      <c r="A218" t="s">
        <v>677</v>
      </c>
      <c r="B218" s="1">
        <f>VALUE(RIGHT(A218,LEN(A218)-3))</f>
        <v>99</v>
      </c>
      <c r="C218" t="s">
        <v>32</v>
      </c>
      <c r="D218">
        <v>1</v>
      </c>
      <c r="E218" t="s">
        <v>130</v>
      </c>
      <c r="F218">
        <v>0</v>
      </c>
      <c r="H218" t="s">
        <v>678</v>
      </c>
      <c r="J218" t="s">
        <v>120</v>
      </c>
      <c r="K218" t="s">
        <v>100</v>
      </c>
      <c r="L218" t="s">
        <v>43</v>
      </c>
      <c r="M218" t="s">
        <v>602</v>
      </c>
      <c r="N218" t="s">
        <v>603</v>
      </c>
      <c r="T218" t="s">
        <v>242</v>
      </c>
      <c r="U218" t="s">
        <v>681</v>
      </c>
      <c r="V218" t="s">
        <v>61</v>
      </c>
      <c r="W218" t="s">
        <v>682</v>
      </c>
    </row>
    <row r="219" spans="1:23" hidden="1" x14ac:dyDescent="0.2">
      <c r="A219" t="s">
        <v>695</v>
      </c>
      <c r="B219" s="1">
        <f>VALUE(RIGHT(A219,LEN(A219)-3))</f>
        <v>102</v>
      </c>
      <c r="C219" t="s">
        <v>44</v>
      </c>
      <c r="D219">
        <v>0</v>
      </c>
      <c r="F219">
        <v>0</v>
      </c>
      <c r="H219" t="s">
        <v>696</v>
      </c>
      <c r="I219">
        <v>27</v>
      </c>
      <c r="J219" t="s">
        <v>551</v>
      </c>
      <c r="K219" t="s">
        <v>697</v>
      </c>
      <c r="L219" t="s">
        <v>43</v>
      </c>
      <c r="M219" t="s">
        <v>602</v>
      </c>
      <c r="N219" t="s">
        <v>603</v>
      </c>
      <c r="T219" t="s">
        <v>242</v>
      </c>
      <c r="U219" t="s">
        <v>699</v>
      </c>
      <c r="V219" t="s">
        <v>700</v>
      </c>
      <c r="W219" t="s">
        <v>701</v>
      </c>
    </row>
    <row r="220" spans="1:23" hidden="1" x14ac:dyDescent="0.2">
      <c r="A220" t="s">
        <v>804</v>
      </c>
      <c r="B220" s="1">
        <f>VALUE(RIGHT(A220,LEN(A220)-3))</f>
        <v>120</v>
      </c>
      <c r="C220" t="s">
        <v>44</v>
      </c>
      <c r="D220">
        <v>0</v>
      </c>
      <c r="F220">
        <v>0</v>
      </c>
      <c r="H220" t="s">
        <v>805</v>
      </c>
      <c r="I220">
        <v>45</v>
      </c>
      <c r="J220" t="s">
        <v>806</v>
      </c>
      <c r="K220" t="s">
        <v>259</v>
      </c>
      <c r="L220" t="s">
        <v>43</v>
      </c>
      <c r="M220" t="s">
        <v>602</v>
      </c>
      <c r="N220" t="s">
        <v>603</v>
      </c>
      <c r="T220" t="s">
        <v>200</v>
      </c>
      <c r="U220" t="s">
        <v>201</v>
      </c>
      <c r="V220" t="s">
        <v>61</v>
      </c>
      <c r="W220" t="s">
        <v>808</v>
      </c>
    </row>
    <row r="221" spans="1:23" x14ac:dyDescent="0.2">
      <c r="A221" t="s">
        <v>897</v>
      </c>
      <c r="B221" s="1">
        <f>VALUE(RIGHT(A221,LEN(A221)-3))</f>
        <v>137</v>
      </c>
      <c r="C221" t="s">
        <v>32</v>
      </c>
      <c r="D221">
        <v>1</v>
      </c>
      <c r="E221" t="s">
        <v>57</v>
      </c>
      <c r="F221">
        <v>0</v>
      </c>
      <c r="H221" t="s">
        <v>898</v>
      </c>
      <c r="J221" t="s">
        <v>899</v>
      </c>
      <c r="K221" t="s">
        <v>259</v>
      </c>
      <c r="L221" t="s">
        <v>43</v>
      </c>
      <c r="M221" t="s">
        <v>602</v>
      </c>
      <c r="N221" t="s">
        <v>603</v>
      </c>
      <c r="T221" t="s">
        <v>36</v>
      </c>
      <c r="U221" t="s">
        <v>901</v>
      </c>
      <c r="V221" t="s">
        <v>61</v>
      </c>
      <c r="W221" t="s">
        <v>902</v>
      </c>
    </row>
    <row r="222" spans="1:23" x14ac:dyDescent="0.2">
      <c r="A222" t="s">
        <v>930</v>
      </c>
      <c r="B222" s="1">
        <f>VALUE(RIGHT(A222,LEN(A222)-3))</f>
        <v>142</v>
      </c>
      <c r="C222" t="s">
        <v>32</v>
      </c>
      <c r="D222">
        <v>1</v>
      </c>
      <c r="E222" t="s">
        <v>35</v>
      </c>
      <c r="F222">
        <v>1</v>
      </c>
      <c r="G222" t="s">
        <v>123</v>
      </c>
      <c r="H222" t="s">
        <v>931</v>
      </c>
      <c r="J222" t="s">
        <v>217</v>
      </c>
      <c r="K222" t="s">
        <v>259</v>
      </c>
      <c r="L222" t="s">
        <v>43</v>
      </c>
      <c r="M222" t="s">
        <v>602</v>
      </c>
      <c r="N222" t="s">
        <v>603</v>
      </c>
      <c r="O222">
        <v>5</v>
      </c>
      <c r="P222">
        <v>250</v>
      </c>
      <c r="R222">
        <v>2000</v>
      </c>
      <c r="T222" t="s">
        <v>242</v>
      </c>
      <c r="U222" t="s">
        <v>934</v>
      </c>
      <c r="V222" t="s">
        <v>61</v>
      </c>
      <c r="W222" t="s">
        <v>935</v>
      </c>
    </row>
    <row r="223" spans="1:23" hidden="1" x14ac:dyDescent="0.2">
      <c r="A223" t="s">
        <v>1027</v>
      </c>
      <c r="B223" s="1">
        <f>VALUE(RIGHT(A223,LEN(A223)-3))</f>
        <v>159</v>
      </c>
      <c r="C223" t="s">
        <v>44</v>
      </c>
      <c r="D223">
        <v>0</v>
      </c>
      <c r="F223">
        <v>0</v>
      </c>
      <c r="H223" t="s">
        <v>1028</v>
      </c>
      <c r="J223" t="s">
        <v>338</v>
      </c>
      <c r="K223" t="s">
        <v>100</v>
      </c>
      <c r="L223" t="s">
        <v>43</v>
      </c>
      <c r="M223" t="s">
        <v>602</v>
      </c>
      <c r="N223" t="s">
        <v>603</v>
      </c>
      <c r="T223" t="s">
        <v>242</v>
      </c>
      <c r="U223" t="s">
        <v>492</v>
      </c>
      <c r="V223" t="s">
        <v>61</v>
      </c>
      <c r="W223" t="s">
        <v>1030</v>
      </c>
    </row>
    <row r="224" spans="1:23" x14ac:dyDescent="0.2">
      <c r="A224" t="s">
        <v>1076</v>
      </c>
      <c r="B224" s="1">
        <f>VALUE(RIGHT(A224,LEN(A224)-3))</f>
        <v>168</v>
      </c>
      <c r="C224" t="s">
        <v>32</v>
      </c>
      <c r="D224">
        <v>1</v>
      </c>
      <c r="E224" t="s">
        <v>130</v>
      </c>
      <c r="F224">
        <v>0</v>
      </c>
      <c r="H224" t="s">
        <v>1077</v>
      </c>
      <c r="J224" t="s">
        <v>112</v>
      </c>
      <c r="K224" t="s">
        <v>496</v>
      </c>
      <c r="L224" t="s">
        <v>43</v>
      </c>
      <c r="M224" t="s">
        <v>602</v>
      </c>
      <c r="N224" t="s">
        <v>603</v>
      </c>
      <c r="T224" t="s">
        <v>242</v>
      </c>
      <c r="U224" t="s">
        <v>1080</v>
      </c>
      <c r="V224" t="s">
        <v>1081</v>
      </c>
      <c r="W224" t="s">
        <v>1082</v>
      </c>
    </row>
    <row r="225" spans="1:23" hidden="1" x14ac:dyDescent="0.2">
      <c r="A225" t="s">
        <v>1083</v>
      </c>
      <c r="B225" s="1">
        <f>VALUE(RIGHT(A225,LEN(A225)-3))</f>
        <v>169</v>
      </c>
      <c r="C225" t="s">
        <v>44</v>
      </c>
      <c r="D225">
        <v>0</v>
      </c>
      <c r="F225">
        <v>0</v>
      </c>
      <c r="H225" t="s">
        <v>1084</v>
      </c>
      <c r="I225">
        <v>31</v>
      </c>
      <c r="J225" t="s">
        <v>178</v>
      </c>
      <c r="K225" t="s">
        <v>259</v>
      </c>
      <c r="L225" t="s">
        <v>43</v>
      </c>
      <c r="M225" t="s">
        <v>602</v>
      </c>
      <c r="N225" t="s">
        <v>603</v>
      </c>
      <c r="P225">
        <v>400</v>
      </c>
      <c r="T225" t="s">
        <v>200</v>
      </c>
      <c r="U225" t="s">
        <v>201</v>
      </c>
      <c r="V225" t="s">
        <v>61</v>
      </c>
      <c r="W225" t="s">
        <v>1086</v>
      </c>
    </row>
    <row r="226" spans="1:23" x14ac:dyDescent="0.2">
      <c r="A226" t="s">
        <v>1095</v>
      </c>
      <c r="B226" s="1">
        <f>VALUE(RIGHT(A226,LEN(A226)-3))</f>
        <v>171</v>
      </c>
      <c r="C226" t="s">
        <v>32</v>
      </c>
      <c r="D226">
        <v>1</v>
      </c>
      <c r="E226" t="s">
        <v>35</v>
      </c>
      <c r="F226">
        <v>0</v>
      </c>
      <c r="H226" t="s">
        <v>1096</v>
      </c>
      <c r="J226" t="s">
        <v>27</v>
      </c>
      <c r="K226" t="s">
        <v>1097</v>
      </c>
      <c r="L226" t="s">
        <v>43</v>
      </c>
      <c r="M226" t="s">
        <v>602</v>
      </c>
      <c r="N226" t="s">
        <v>603</v>
      </c>
      <c r="T226" t="s">
        <v>59</v>
      </c>
      <c r="U226" t="s">
        <v>78</v>
      </c>
      <c r="V226" t="s">
        <v>182</v>
      </c>
      <c r="W226" t="s">
        <v>1100</v>
      </c>
    </row>
    <row r="227" spans="1:23" x14ac:dyDescent="0.2">
      <c r="A227" t="s">
        <v>1129</v>
      </c>
      <c r="B227" s="1">
        <f>VALUE(RIGHT(A227,LEN(A227)-3))</f>
        <v>177</v>
      </c>
      <c r="C227" t="s">
        <v>32</v>
      </c>
      <c r="D227">
        <v>1</v>
      </c>
      <c r="E227" t="s">
        <v>57</v>
      </c>
      <c r="F227">
        <v>1</v>
      </c>
      <c r="G227" t="s">
        <v>123</v>
      </c>
      <c r="H227" t="s">
        <v>1130</v>
      </c>
      <c r="J227" t="s">
        <v>1131</v>
      </c>
      <c r="K227" t="s">
        <v>259</v>
      </c>
      <c r="L227" t="s">
        <v>43</v>
      </c>
      <c r="M227" t="s">
        <v>602</v>
      </c>
      <c r="N227" t="s">
        <v>603</v>
      </c>
      <c r="T227" t="s">
        <v>242</v>
      </c>
      <c r="U227" t="s">
        <v>360</v>
      </c>
      <c r="V227" t="s">
        <v>61</v>
      </c>
      <c r="W227" t="s">
        <v>1134</v>
      </c>
    </row>
    <row r="228" spans="1:23" x14ac:dyDescent="0.2">
      <c r="A228" t="s">
        <v>1159</v>
      </c>
      <c r="B228" s="1">
        <f>VALUE(RIGHT(A228,LEN(A228)-3))</f>
        <v>182</v>
      </c>
      <c r="C228" t="s">
        <v>32</v>
      </c>
      <c r="D228">
        <v>1</v>
      </c>
      <c r="E228" t="s">
        <v>57</v>
      </c>
      <c r="F228">
        <v>0</v>
      </c>
      <c r="H228" t="s">
        <v>1153</v>
      </c>
      <c r="J228" t="s">
        <v>690</v>
      </c>
      <c r="K228" t="s">
        <v>745</v>
      </c>
      <c r="L228" t="s">
        <v>43</v>
      </c>
      <c r="M228" t="s">
        <v>602</v>
      </c>
      <c r="N228" t="s">
        <v>603</v>
      </c>
      <c r="T228" t="s">
        <v>103</v>
      </c>
      <c r="U228" t="s">
        <v>314</v>
      </c>
      <c r="V228" t="s">
        <v>61</v>
      </c>
      <c r="W228" t="s">
        <v>1161</v>
      </c>
    </row>
    <row r="229" spans="1:23" x14ac:dyDescent="0.2">
      <c r="A229" t="s">
        <v>1216</v>
      </c>
      <c r="B229" s="1">
        <f>VALUE(RIGHT(A229,LEN(A229)-3))</f>
        <v>192</v>
      </c>
      <c r="C229" t="s">
        <v>32</v>
      </c>
      <c r="D229">
        <v>1</v>
      </c>
      <c r="E229" t="s">
        <v>130</v>
      </c>
      <c r="F229">
        <v>0</v>
      </c>
      <c r="H229" t="s">
        <v>1217</v>
      </c>
      <c r="J229" t="s">
        <v>99</v>
      </c>
      <c r="K229" t="s">
        <v>288</v>
      </c>
      <c r="L229" t="s">
        <v>43</v>
      </c>
      <c r="M229" t="s">
        <v>602</v>
      </c>
      <c r="N229" t="s">
        <v>603</v>
      </c>
      <c r="T229" t="s">
        <v>200</v>
      </c>
      <c r="U229" t="s">
        <v>201</v>
      </c>
      <c r="V229" t="s">
        <v>61</v>
      </c>
      <c r="W229" t="s">
        <v>1220</v>
      </c>
    </row>
    <row r="230" spans="1:23" x14ac:dyDescent="0.2">
      <c r="A230" t="s">
        <v>1444</v>
      </c>
      <c r="B230" s="1">
        <f>VALUE(RIGHT(A230,LEN(A230)-3))</f>
        <v>234</v>
      </c>
      <c r="C230" t="s">
        <v>32</v>
      </c>
      <c r="D230">
        <v>1</v>
      </c>
      <c r="E230" t="s">
        <v>57</v>
      </c>
      <c r="F230">
        <v>0</v>
      </c>
      <c r="H230" t="s">
        <v>1445</v>
      </c>
      <c r="J230" t="s">
        <v>178</v>
      </c>
      <c r="K230" t="s">
        <v>300</v>
      </c>
      <c r="L230" t="s">
        <v>43</v>
      </c>
      <c r="M230" t="s">
        <v>602</v>
      </c>
      <c r="N230" t="s">
        <v>603</v>
      </c>
      <c r="T230" t="s">
        <v>103</v>
      </c>
      <c r="U230" t="s">
        <v>851</v>
      </c>
      <c r="V230" t="s">
        <v>48</v>
      </c>
      <c r="W230" t="s">
        <v>1448</v>
      </c>
    </row>
    <row r="231" spans="1:23" x14ac:dyDescent="0.2">
      <c r="A231" t="s">
        <v>1455</v>
      </c>
      <c r="B231" s="1">
        <f>VALUE(RIGHT(A231,LEN(A231)-3))</f>
        <v>236</v>
      </c>
      <c r="C231" t="s">
        <v>32</v>
      </c>
      <c r="D231">
        <v>2</v>
      </c>
      <c r="E231" t="s">
        <v>94</v>
      </c>
      <c r="F231">
        <v>2</v>
      </c>
      <c r="G231" t="s">
        <v>568</v>
      </c>
      <c r="H231" t="s">
        <v>1456</v>
      </c>
      <c r="J231" t="s">
        <v>357</v>
      </c>
      <c r="K231" t="s">
        <v>385</v>
      </c>
      <c r="L231" t="s">
        <v>43</v>
      </c>
      <c r="M231" t="s">
        <v>602</v>
      </c>
      <c r="N231" t="s">
        <v>603</v>
      </c>
      <c r="P231">
        <v>70</v>
      </c>
      <c r="T231" t="s">
        <v>36</v>
      </c>
      <c r="U231" t="s">
        <v>1459</v>
      </c>
      <c r="V231" t="s">
        <v>376</v>
      </c>
      <c r="W231" t="s">
        <v>1460</v>
      </c>
    </row>
    <row r="232" spans="1:23" hidden="1" x14ac:dyDescent="0.2">
      <c r="A232" t="s">
        <v>1493</v>
      </c>
      <c r="B232" s="1">
        <f>VALUE(RIGHT(A232,LEN(A232)-3))</f>
        <v>244</v>
      </c>
      <c r="C232" t="s">
        <v>44</v>
      </c>
      <c r="D232">
        <v>0</v>
      </c>
      <c r="F232">
        <v>0</v>
      </c>
      <c r="H232" t="s">
        <v>1494</v>
      </c>
      <c r="J232" t="s">
        <v>27</v>
      </c>
      <c r="K232" t="s">
        <v>1495</v>
      </c>
      <c r="L232" t="s">
        <v>43</v>
      </c>
      <c r="M232" t="s">
        <v>602</v>
      </c>
      <c r="N232" t="s">
        <v>603</v>
      </c>
      <c r="T232" t="s">
        <v>36</v>
      </c>
      <c r="U232" t="s">
        <v>1497</v>
      </c>
      <c r="V232" t="s">
        <v>329</v>
      </c>
      <c r="W232" t="s">
        <v>1498</v>
      </c>
    </row>
    <row r="233" spans="1:23" x14ac:dyDescent="0.2">
      <c r="A233" t="s">
        <v>1525</v>
      </c>
      <c r="B233" s="1">
        <f>VALUE(RIGHT(A233,LEN(A233)-3))</f>
        <v>249</v>
      </c>
      <c r="C233" t="s">
        <v>32</v>
      </c>
      <c r="D233">
        <v>1</v>
      </c>
      <c r="E233" t="s">
        <v>57</v>
      </c>
      <c r="F233">
        <v>0</v>
      </c>
      <c r="H233" t="s">
        <v>1526</v>
      </c>
      <c r="J233" t="s">
        <v>150</v>
      </c>
      <c r="K233" t="s">
        <v>385</v>
      </c>
      <c r="L233" t="s">
        <v>43</v>
      </c>
      <c r="M233" t="s">
        <v>602</v>
      </c>
      <c r="N233" t="s">
        <v>603</v>
      </c>
      <c r="T233" t="s">
        <v>173</v>
      </c>
      <c r="U233" t="s">
        <v>1529</v>
      </c>
      <c r="V233" t="s">
        <v>61</v>
      </c>
      <c r="W233" t="s">
        <v>1530</v>
      </c>
    </row>
    <row r="234" spans="1:23" x14ac:dyDescent="0.2">
      <c r="A234" t="s">
        <v>1546</v>
      </c>
      <c r="B234" s="1">
        <f>VALUE(RIGHT(A234,LEN(A234)-3))</f>
        <v>253</v>
      </c>
      <c r="C234" t="s">
        <v>32</v>
      </c>
      <c r="D234">
        <v>1</v>
      </c>
      <c r="E234" t="s">
        <v>57</v>
      </c>
      <c r="F234">
        <v>0</v>
      </c>
      <c r="H234" t="s">
        <v>1547</v>
      </c>
      <c r="J234" t="s">
        <v>150</v>
      </c>
      <c r="K234" t="s">
        <v>259</v>
      </c>
      <c r="L234" t="s">
        <v>43</v>
      </c>
      <c r="M234" t="s">
        <v>602</v>
      </c>
      <c r="N234" t="s">
        <v>603</v>
      </c>
      <c r="P234">
        <v>250</v>
      </c>
      <c r="R234">
        <v>700</v>
      </c>
      <c r="T234" t="s">
        <v>173</v>
      </c>
      <c r="U234" t="s">
        <v>1407</v>
      </c>
      <c r="V234" t="s">
        <v>61</v>
      </c>
      <c r="W234" t="s">
        <v>1549</v>
      </c>
    </row>
    <row r="235" spans="1:23" x14ac:dyDescent="0.2">
      <c r="A235" t="s">
        <v>1555</v>
      </c>
      <c r="B235" s="1">
        <f>VALUE(RIGHT(A235,LEN(A235)-3))</f>
        <v>255</v>
      </c>
      <c r="C235" t="s">
        <v>32</v>
      </c>
      <c r="D235">
        <v>1</v>
      </c>
      <c r="E235" t="s">
        <v>57</v>
      </c>
      <c r="F235">
        <v>1</v>
      </c>
      <c r="G235" t="s">
        <v>68</v>
      </c>
      <c r="H235" t="s">
        <v>1556</v>
      </c>
      <c r="J235" t="s">
        <v>217</v>
      </c>
      <c r="K235" t="s">
        <v>385</v>
      </c>
      <c r="L235" t="s">
        <v>43</v>
      </c>
      <c r="M235" t="s">
        <v>602</v>
      </c>
      <c r="N235" t="s">
        <v>603</v>
      </c>
      <c r="T235" t="s">
        <v>173</v>
      </c>
      <c r="U235" t="s">
        <v>314</v>
      </c>
      <c r="V235" t="s">
        <v>613</v>
      </c>
      <c r="W235" t="s">
        <v>1558</v>
      </c>
    </row>
    <row r="236" spans="1:23" hidden="1" x14ac:dyDescent="0.2">
      <c r="A236" t="s">
        <v>1620</v>
      </c>
      <c r="B236" s="1">
        <f>VALUE(RIGHT(A236,LEN(A236)-3))</f>
        <v>268</v>
      </c>
      <c r="C236" t="s">
        <v>44</v>
      </c>
      <c r="D236">
        <v>0</v>
      </c>
      <c r="F236">
        <v>0</v>
      </c>
      <c r="H236" t="s">
        <v>1621</v>
      </c>
      <c r="J236" t="s">
        <v>150</v>
      </c>
      <c r="K236" t="s">
        <v>552</v>
      </c>
      <c r="L236" t="s">
        <v>43</v>
      </c>
      <c r="M236" t="s">
        <v>4154</v>
      </c>
      <c r="N236" t="s">
        <v>1622</v>
      </c>
      <c r="O236">
        <v>1</v>
      </c>
      <c r="P236">
        <v>600</v>
      </c>
      <c r="R236">
        <v>6950</v>
      </c>
      <c r="T236" t="s">
        <v>242</v>
      </c>
      <c r="U236" t="s">
        <v>47</v>
      </c>
      <c r="V236" t="s">
        <v>61</v>
      </c>
      <c r="W236" t="s">
        <v>1624</v>
      </c>
    </row>
    <row r="237" spans="1:23" x14ac:dyDescent="0.2">
      <c r="A237" t="s">
        <v>1699</v>
      </c>
      <c r="B237" s="1">
        <f>VALUE(RIGHT(A237,LEN(A237)-3))</f>
        <v>283</v>
      </c>
      <c r="C237" t="s">
        <v>32</v>
      </c>
      <c r="D237">
        <v>1</v>
      </c>
      <c r="E237" t="s">
        <v>57</v>
      </c>
      <c r="F237">
        <v>2</v>
      </c>
      <c r="G237" t="s">
        <v>1704</v>
      </c>
      <c r="H237" t="s">
        <v>1700</v>
      </c>
      <c r="I237">
        <v>33</v>
      </c>
      <c r="J237" t="s">
        <v>338</v>
      </c>
      <c r="K237" t="s">
        <v>259</v>
      </c>
      <c r="L237" t="s">
        <v>43</v>
      </c>
      <c r="M237" t="s">
        <v>602</v>
      </c>
      <c r="N237" t="s">
        <v>1701</v>
      </c>
      <c r="T237" t="s">
        <v>173</v>
      </c>
      <c r="U237" t="s">
        <v>1407</v>
      </c>
      <c r="V237" t="s">
        <v>182</v>
      </c>
      <c r="W237" t="s">
        <v>1705</v>
      </c>
    </row>
    <row r="238" spans="1:23" x14ac:dyDescent="0.2">
      <c r="A238" t="s">
        <v>1764</v>
      </c>
      <c r="B238" s="1">
        <f>VALUE(RIGHT(A238,LEN(A238)-3))</f>
        <v>294</v>
      </c>
      <c r="C238" t="s">
        <v>32</v>
      </c>
      <c r="D238">
        <v>1</v>
      </c>
      <c r="E238" t="s">
        <v>130</v>
      </c>
      <c r="F238">
        <v>0</v>
      </c>
      <c r="H238" t="s">
        <v>1765</v>
      </c>
      <c r="I238">
        <v>30</v>
      </c>
      <c r="J238" t="s">
        <v>27</v>
      </c>
      <c r="K238" t="s">
        <v>502</v>
      </c>
      <c r="L238" t="s">
        <v>43</v>
      </c>
      <c r="M238" t="s">
        <v>602</v>
      </c>
      <c r="N238" t="s">
        <v>1766</v>
      </c>
      <c r="T238" t="s">
        <v>242</v>
      </c>
      <c r="U238" t="s">
        <v>934</v>
      </c>
      <c r="V238" t="s">
        <v>61</v>
      </c>
      <c r="W238" t="s">
        <v>1769</v>
      </c>
    </row>
    <row r="239" spans="1:23" x14ac:dyDescent="0.2">
      <c r="A239" t="s">
        <v>1774</v>
      </c>
      <c r="B239" s="1">
        <f>VALUE(RIGHT(A239,LEN(A239)-3))</f>
        <v>296</v>
      </c>
      <c r="C239" t="s">
        <v>32</v>
      </c>
      <c r="D239">
        <v>1</v>
      </c>
      <c r="E239" t="s">
        <v>57</v>
      </c>
      <c r="F239">
        <v>0</v>
      </c>
      <c r="H239" t="s">
        <v>1775</v>
      </c>
      <c r="I239">
        <v>35</v>
      </c>
      <c r="J239" t="s">
        <v>27</v>
      </c>
      <c r="K239" t="s">
        <v>1110</v>
      </c>
      <c r="L239" t="s">
        <v>43</v>
      </c>
      <c r="M239" t="s">
        <v>602</v>
      </c>
      <c r="N239" t="s">
        <v>1701</v>
      </c>
      <c r="T239" t="s">
        <v>242</v>
      </c>
      <c r="U239" t="s">
        <v>934</v>
      </c>
      <c r="V239" t="s">
        <v>61</v>
      </c>
      <c r="W239" t="s">
        <v>1778</v>
      </c>
    </row>
    <row r="240" spans="1:23" x14ac:dyDescent="0.2">
      <c r="A240" t="s">
        <v>1779</v>
      </c>
      <c r="B240" s="1">
        <f>VALUE(RIGHT(A240,LEN(A240)-3))</f>
        <v>297</v>
      </c>
      <c r="C240" t="s">
        <v>32</v>
      </c>
      <c r="D240">
        <v>1</v>
      </c>
      <c r="E240" t="s">
        <v>57</v>
      </c>
      <c r="F240">
        <v>1</v>
      </c>
      <c r="G240" t="s">
        <v>68</v>
      </c>
      <c r="H240" t="s">
        <v>1775</v>
      </c>
      <c r="I240">
        <v>38</v>
      </c>
      <c r="J240" t="s">
        <v>178</v>
      </c>
      <c r="K240" t="s">
        <v>496</v>
      </c>
      <c r="L240" t="s">
        <v>43</v>
      </c>
      <c r="M240" t="s">
        <v>4154</v>
      </c>
      <c r="N240" t="s">
        <v>1780</v>
      </c>
      <c r="T240" t="s">
        <v>103</v>
      </c>
      <c r="U240" t="s">
        <v>104</v>
      </c>
      <c r="V240" t="s">
        <v>753</v>
      </c>
      <c r="W240" t="s">
        <v>1783</v>
      </c>
    </row>
    <row r="241" spans="1:23" x14ac:dyDescent="0.2">
      <c r="A241" t="s">
        <v>1789</v>
      </c>
      <c r="B241" s="1">
        <f>VALUE(RIGHT(A241,LEN(A241)-3))</f>
        <v>299</v>
      </c>
      <c r="C241" t="s">
        <v>32</v>
      </c>
      <c r="D241">
        <v>2</v>
      </c>
      <c r="E241" t="s">
        <v>94</v>
      </c>
      <c r="F241">
        <v>2</v>
      </c>
      <c r="G241" t="s">
        <v>291</v>
      </c>
      <c r="H241" t="s">
        <v>1785</v>
      </c>
      <c r="I241">
        <v>27</v>
      </c>
      <c r="J241" t="s">
        <v>120</v>
      </c>
      <c r="K241" t="s">
        <v>1790</v>
      </c>
      <c r="L241" t="s">
        <v>43</v>
      </c>
      <c r="M241" t="s">
        <v>602</v>
      </c>
      <c r="N241" t="s">
        <v>1701</v>
      </c>
      <c r="P241">
        <v>400</v>
      </c>
      <c r="T241" t="s">
        <v>242</v>
      </c>
      <c r="U241" t="s">
        <v>786</v>
      </c>
      <c r="V241" t="s">
        <v>61</v>
      </c>
      <c r="W241" t="s">
        <v>1793</v>
      </c>
    </row>
    <row r="242" spans="1:23" x14ac:dyDescent="0.2">
      <c r="A242" t="s">
        <v>1794</v>
      </c>
      <c r="B242" s="1">
        <f>VALUE(RIGHT(A242,LEN(A242)-3))</f>
        <v>300</v>
      </c>
      <c r="C242" t="s">
        <v>32</v>
      </c>
      <c r="D242">
        <v>1</v>
      </c>
      <c r="E242" t="s">
        <v>35</v>
      </c>
      <c r="F242">
        <v>0</v>
      </c>
      <c r="H242" t="s">
        <v>1785</v>
      </c>
      <c r="I242">
        <v>32</v>
      </c>
      <c r="J242" t="s">
        <v>178</v>
      </c>
      <c r="K242" t="s">
        <v>1110</v>
      </c>
      <c r="L242" t="s">
        <v>43</v>
      </c>
      <c r="M242" t="s">
        <v>4154</v>
      </c>
      <c r="N242" t="s">
        <v>1795</v>
      </c>
      <c r="T242" t="s">
        <v>242</v>
      </c>
      <c r="U242" t="s">
        <v>555</v>
      </c>
      <c r="V242" t="s">
        <v>48</v>
      </c>
      <c r="W242" t="s">
        <v>1798</v>
      </c>
    </row>
    <row r="243" spans="1:23" x14ac:dyDescent="0.2">
      <c r="A243" t="s">
        <v>1805</v>
      </c>
      <c r="B243" s="1">
        <f>VALUE(RIGHT(A243,LEN(A243)-3))</f>
        <v>302</v>
      </c>
      <c r="C243" t="s">
        <v>32</v>
      </c>
      <c r="D243">
        <v>1</v>
      </c>
      <c r="E243" t="s">
        <v>57</v>
      </c>
      <c r="F243">
        <v>1</v>
      </c>
      <c r="G243" t="s">
        <v>68</v>
      </c>
      <c r="H243" t="s">
        <v>1800</v>
      </c>
      <c r="I243">
        <v>49</v>
      </c>
      <c r="J243" t="s">
        <v>27</v>
      </c>
      <c r="K243" t="s">
        <v>259</v>
      </c>
      <c r="L243" t="s">
        <v>43</v>
      </c>
      <c r="M243" t="s">
        <v>602</v>
      </c>
      <c r="N243" t="s">
        <v>603</v>
      </c>
      <c r="T243" t="s">
        <v>103</v>
      </c>
      <c r="U243" t="s">
        <v>845</v>
      </c>
      <c r="V243" t="s">
        <v>445</v>
      </c>
      <c r="W243" t="s">
        <v>1807</v>
      </c>
    </row>
    <row r="244" spans="1:23" x14ac:dyDescent="0.2">
      <c r="A244" t="s">
        <v>1921</v>
      </c>
      <c r="B244" s="1">
        <f>VALUE(RIGHT(A244,LEN(A244)-3))</f>
        <v>324</v>
      </c>
      <c r="C244" t="s">
        <v>32</v>
      </c>
      <c r="D244">
        <v>1</v>
      </c>
      <c r="E244" t="s">
        <v>57</v>
      </c>
      <c r="F244">
        <v>1</v>
      </c>
      <c r="G244" t="s">
        <v>123</v>
      </c>
      <c r="H244" t="s">
        <v>1922</v>
      </c>
      <c r="I244">
        <v>25</v>
      </c>
      <c r="J244" t="s">
        <v>258</v>
      </c>
      <c r="K244" t="s">
        <v>259</v>
      </c>
      <c r="L244" t="s">
        <v>43</v>
      </c>
      <c r="M244" t="s">
        <v>602</v>
      </c>
      <c r="N244" t="s">
        <v>603</v>
      </c>
      <c r="O244">
        <v>1</v>
      </c>
      <c r="P244">
        <v>25</v>
      </c>
      <c r="T244" t="s">
        <v>200</v>
      </c>
      <c r="U244" t="s">
        <v>1046</v>
      </c>
      <c r="V244" t="s">
        <v>61</v>
      </c>
      <c r="W244" t="s">
        <v>1925</v>
      </c>
    </row>
    <row r="245" spans="1:23" x14ac:dyDescent="0.2">
      <c r="A245" t="s">
        <v>1932</v>
      </c>
      <c r="B245" s="1">
        <f>VALUE(RIGHT(A245,LEN(A245)-3))</f>
        <v>326</v>
      </c>
      <c r="C245" t="s">
        <v>32</v>
      </c>
      <c r="D245">
        <v>1</v>
      </c>
      <c r="E245" t="s">
        <v>57</v>
      </c>
      <c r="F245">
        <v>1</v>
      </c>
      <c r="G245" t="s">
        <v>68</v>
      </c>
      <c r="H245" t="s">
        <v>1933</v>
      </c>
      <c r="I245">
        <v>28</v>
      </c>
      <c r="J245" t="s">
        <v>357</v>
      </c>
      <c r="K245" t="s">
        <v>259</v>
      </c>
      <c r="L245" t="s">
        <v>43</v>
      </c>
      <c r="M245" t="s">
        <v>4154</v>
      </c>
      <c r="N245" t="s">
        <v>1934</v>
      </c>
      <c r="O245">
        <v>8</v>
      </c>
      <c r="P245">
        <v>380</v>
      </c>
      <c r="Q245">
        <v>40</v>
      </c>
      <c r="R245">
        <v>300</v>
      </c>
      <c r="T245" t="s">
        <v>103</v>
      </c>
      <c r="U245" t="s">
        <v>1936</v>
      </c>
      <c r="V245" t="s">
        <v>182</v>
      </c>
      <c r="W245" t="s">
        <v>1937</v>
      </c>
    </row>
    <row r="246" spans="1:23" x14ac:dyDescent="0.2">
      <c r="A246" t="s">
        <v>1993</v>
      </c>
      <c r="B246" s="1">
        <f>VALUE(RIGHT(A246,LEN(A246)-3))</f>
        <v>337</v>
      </c>
      <c r="C246" t="s">
        <v>32</v>
      </c>
      <c r="D246">
        <v>1</v>
      </c>
      <c r="E246" t="s">
        <v>57</v>
      </c>
      <c r="F246">
        <v>2</v>
      </c>
      <c r="G246" t="s">
        <v>592</v>
      </c>
      <c r="H246" t="s">
        <v>1994</v>
      </c>
      <c r="I246">
        <v>50</v>
      </c>
      <c r="J246" t="s">
        <v>551</v>
      </c>
      <c r="K246" t="s">
        <v>385</v>
      </c>
      <c r="L246" t="s">
        <v>43</v>
      </c>
      <c r="M246" t="s">
        <v>4154</v>
      </c>
      <c r="N246" t="s">
        <v>1995</v>
      </c>
      <c r="O246">
        <v>2</v>
      </c>
      <c r="P246">
        <v>143</v>
      </c>
      <c r="R246">
        <v>150</v>
      </c>
      <c r="T246" t="s">
        <v>367</v>
      </c>
      <c r="U246" t="s">
        <v>1998</v>
      </c>
      <c r="V246" t="s">
        <v>48</v>
      </c>
      <c r="W246" t="s">
        <v>1999</v>
      </c>
    </row>
    <row r="247" spans="1:23" x14ac:dyDescent="0.2">
      <c r="A247" t="s">
        <v>2007</v>
      </c>
      <c r="B247" s="1">
        <f>VALUE(RIGHT(A247,LEN(A247)-3))</f>
        <v>339</v>
      </c>
      <c r="C247" t="s">
        <v>32</v>
      </c>
      <c r="D247">
        <v>1</v>
      </c>
      <c r="E247" t="s">
        <v>57</v>
      </c>
      <c r="F247">
        <v>0</v>
      </c>
      <c r="H247" t="s">
        <v>2008</v>
      </c>
      <c r="I247">
        <v>27</v>
      </c>
      <c r="J247" t="s">
        <v>178</v>
      </c>
      <c r="K247" t="s">
        <v>2009</v>
      </c>
      <c r="L247" t="s">
        <v>43</v>
      </c>
      <c r="M247" t="s">
        <v>602</v>
      </c>
      <c r="N247" t="s">
        <v>1701</v>
      </c>
      <c r="O247">
        <v>3</v>
      </c>
      <c r="P247">
        <v>400</v>
      </c>
      <c r="R247">
        <v>250</v>
      </c>
      <c r="T247" t="s">
        <v>103</v>
      </c>
      <c r="U247" t="s">
        <v>432</v>
      </c>
      <c r="V247" t="s">
        <v>48</v>
      </c>
      <c r="W247" t="s">
        <v>2012</v>
      </c>
    </row>
    <row r="248" spans="1:23" x14ac:dyDescent="0.2">
      <c r="A248" t="s">
        <v>2013</v>
      </c>
      <c r="B248" s="1">
        <f>VALUE(RIGHT(A248,LEN(A248)-3))</f>
        <v>340</v>
      </c>
      <c r="C248" t="s">
        <v>32</v>
      </c>
      <c r="D248">
        <v>1</v>
      </c>
      <c r="E248" t="s">
        <v>57</v>
      </c>
      <c r="F248">
        <v>2</v>
      </c>
      <c r="G248" t="s">
        <v>592</v>
      </c>
      <c r="H248" t="s">
        <v>2014</v>
      </c>
      <c r="I248">
        <v>27</v>
      </c>
      <c r="J248" t="s">
        <v>99</v>
      </c>
      <c r="K248" t="s">
        <v>502</v>
      </c>
      <c r="L248" t="s">
        <v>43</v>
      </c>
      <c r="M248" t="s">
        <v>602</v>
      </c>
      <c r="N248" t="s">
        <v>603</v>
      </c>
      <c r="O248">
        <v>2</v>
      </c>
      <c r="P248">
        <v>70</v>
      </c>
      <c r="R248">
        <v>2000</v>
      </c>
      <c r="T248" t="s">
        <v>173</v>
      </c>
      <c r="U248" t="s">
        <v>2017</v>
      </c>
      <c r="V248" t="s">
        <v>48</v>
      </c>
      <c r="W248" t="s">
        <v>2018</v>
      </c>
    </row>
    <row r="249" spans="1:23" x14ac:dyDescent="0.2">
      <c r="A249" t="s">
        <v>2024</v>
      </c>
      <c r="B249" s="1">
        <f>VALUE(RIGHT(A249,LEN(A249)-3))</f>
        <v>342</v>
      </c>
      <c r="C249" t="s">
        <v>32</v>
      </c>
      <c r="D249">
        <v>2</v>
      </c>
      <c r="E249" t="s">
        <v>57</v>
      </c>
      <c r="F249">
        <v>2</v>
      </c>
      <c r="G249" t="s">
        <v>1991</v>
      </c>
      <c r="H249" t="s">
        <v>2025</v>
      </c>
      <c r="I249">
        <v>46</v>
      </c>
      <c r="J249" t="s">
        <v>440</v>
      </c>
      <c r="K249" t="s">
        <v>288</v>
      </c>
      <c r="L249" t="s">
        <v>43</v>
      </c>
      <c r="M249" t="s">
        <v>602</v>
      </c>
      <c r="N249" t="s">
        <v>1701</v>
      </c>
      <c r="O249">
        <v>1</v>
      </c>
      <c r="P249">
        <v>19</v>
      </c>
      <c r="T249" t="s">
        <v>173</v>
      </c>
      <c r="U249" t="s">
        <v>2027</v>
      </c>
      <c r="V249" t="s">
        <v>182</v>
      </c>
      <c r="W249" t="s">
        <v>2028</v>
      </c>
    </row>
    <row r="250" spans="1:23" hidden="1" x14ac:dyDescent="0.2">
      <c r="A250" t="s">
        <v>2048</v>
      </c>
      <c r="B250" s="1">
        <f>VALUE(RIGHT(A250,LEN(A250)-3))</f>
        <v>347</v>
      </c>
      <c r="C250" t="s">
        <v>44</v>
      </c>
      <c r="D250">
        <v>0</v>
      </c>
      <c r="F250">
        <v>0</v>
      </c>
      <c r="H250" t="s">
        <v>2049</v>
      </c>
      <c r="I250">
        <v>38</v>
      </c>
      <c r="J250" t="s">
        <v>52</v>
      </c>
      <c r="K250" t="s">
        <v>259</v>
      </c>
      <c r="L250" t="s">
        <v>43</v>
      </c>
      <c r="M250" t="s">
        <v>602</v>
      </c>
      <c r="N250" t="s">
        <v>1701</v>
      </c>
      <c r="T250" t="s">
        <v>173</v>
      </c>
      <c r="U250" t="s">
        <v>194</v>
      </c>
      <c r="V250" t="s">
        <v>182</v>
      </c>
      <c r="W250" t="s">
        <v>2051</v>
      </c>
    </row>
    <row r="251" spans="1:23" x14ac:dyDescent="0.2">
      <c r="A251" t="s">
        <v>2074</v>
      </c>
      <c r="B251" s="1">
        <f>VALUE(RIGHT(A251,LEN(A251)-3))</f>
        <v>352</v>
      </c>
      <c r="C251" t="s">
        <v>32</v>
      </c>
      <c r="D251">
        <v>1</v>
      </c>
      <c r="E251" t="s">
        <v>57</v>
      </c>
      <c r="F251">
        <v>1</v>
      </c>
      <c r="G251" t="s">
        <v>58</v>
      </c>
      <c r="H251" t="s">
        <v>2075</v>
      </c>
      <c r="I251">
        <v>44</v>
      </c>
      <c r="J251" t="s">
        <v>52</v>
      </c>
      <c r="K251" t="s">
        <v>259</v>
      </c>
      <c r="L251" t="s">
        <v>43</v>
      </c>
      <c r="M251" t="s">
        <v>602</v>
      </c>
      <c r="N251" t="s">
        <v>1701</v>
      </c>
      <c r="O251">
        <v>2</v>
      </c>
      <c r="P251">
        <v>185</v>
      </c>
      <c r="R251">
        <v>250</v>
      </c>
      <c r="T251" t="s">
        <v>242</v>
      </c>
      <c r="U251" t="s">
        <v>2078</v>
      </c>
      <c r="V251" t="s">
        <v>61</v>
      </c>
      <c r="W251" t="s">
        <v>2079</v>
      </c>
    </row>
    <row r="252" spans="1:23" x14ac:dyDescent="0.2">
      <c r="A252" t="s">
        <v>2084</v>
      </c>
      <c r="B252" s="1">
        <f>VALUE(RIGHT(A252,LEN(A252)-3))</f>
        <v>354</v>
      </c>
      <c r="C252" t="s">
        <v>32</v>
      </c>
      <c r="D252">
        <v>1</v>
      </c>
      <c r="E252" t="s">
        <v>57</v>
      </c>
      <c r="F252">
        <v>0</v>
      </c>
      <c r="H252" t="s">
        <v>2085</v>
      </c>
      <c r="I252">
        <v>33</v>
      </c>
      <c r="J252" t="s">
        <v>120</v>
      </c>
      <c r="K252" t="s">
        <v>1514</v>
      </c>
      <c r="L252" t="s">
        <v>43</v>
      </c>
      <c r="M252" t="s">
        <v>4154</v>
      </c>
      <c r="N252" t="s">
        <v>2086</v>
      </c>
      <c r="O252">
        <v>5</v>
      </c>
      <c r="R252">
        <v>350</v>
      </c>
      <c r="T252" t="s">
        <v>242</v>
      </c>
      <c r="U252" t="s">
        <v>681</v>
      </c>
      <c r="V252" t="s">
        <v>61</v>
      </c>
      <c r="W252" t="s">
        <v>2088</v>
      </c>
    </row>
    <row r="253" spans="1:23" x14ac:dyDescent="0.2">
      <c r="A253" t="s">
        <v>2095</v>
      </c>
      <c r="B253" s="1">
        <f>VALUE(RIGHT(A253,LEN(A253)-3))</f>
        <v>356</v>
      </c>
      <c r="C253" t="s">
        <v>32</v>
      </c>
      <c r="D253">
        <v>1</v>
      </c>
      <c r="E253" t="s">
        <v>130</v>
      </c>
      <c r="F253">
        <v>0</v>
      </c>
      <c r="H253" t="s">
        <v>2096</v>
      </c>
      <c r="I253">
        <v>36</v>
      </c>
      <c r="J253" t="s">
        <v>551</v>
      </c>
      <c r="K253" t="s">
        <v>697</v>
      </c>
      <c r="L253" t="s">
        <v>43</v>
      </c>
      <c r="M253" t="s">
        <v>602</v>
      </c>
      <c r="N253" t="s">
        <v>2097</v>
      </c>
      <c r="O253">
        <v>1</v>
      </c>
      <c r="P253">
        <v>100</v>
      </c>
      <c r="R253">
        <v>1500</v>
      </c>
      <c r="T253" t="s">
        <v>103</v>
      </c>
      <c r="U253" t="s">
        <v>347</v>
      </c>
      <c r="V253" t="s">
        <v>883</v>
      </c>
      <c r="W253" t="s">
        <v>2100</v>
      </c>
    </row>
    <row r="254" spans="1:23" x14ac:dyDescent="0.2">
      <c r="A254" t="s">
        <v>2139</v>
      </c>
      <c r="B254" s="1">
        <f>VALUE(RIGHT(A254,LEN(A254)-3))</f>
        <v>364</v>
      </c>
      <c r="C254" t="s">
        <v>32</v>
      </c>
      <c r="D254">
        <v>2</v>
      </c>
      <c r="E254" t="s">
        <v>94</v>
      </c>
      <c r="F254">
        <v>3</v>
      </c>
      <c r="G254" t="s">
        <v>146</v>
      </c>
      <c r="H254" t="s">
        <v>2140</v>
      </c>
      <c r="I254">
        <v>30</v>
      </c>
      <c r="J254" t="s">
        <v>357</v>
      </c>
      <c r="K254" t="s">
        <v>259</v>
      </c>
      <c r="L254" t="s">
        <v>43</v>
      </c>
      <c r="M254" t="s">
        <v>602</v>
      </c>
      <c r="N254" t="s">
        <v>2141</v>
      </c>
      <c r="O254">
        <v>1</v>
      </c>
      <c r="P254">
        <v>75</v>
      </c>
      <c r="Q254">
        <v>5</v>
      </c>
      <c r="R254">
        <v>380</v>
      </c>
      <c r="T254" t="s">
        <v>173</v>
      </c>
      <c r="U254" t="s">
        <v>174</v>
      </c>
      <c r="V254" t="s">
        <v>779</v>
      </c>
      <c r="W254" t="s">
        <v>2144</v>
      </c>
    </row>
    <row r="255" spans="1:23" hidden="1" x14ac:dyDescent="0.2">
      <c r="A255" t="s">
        <v>2170</v>
      </c>
      <c r="B255" s="1">
        <f>VALUE(RIGHT(A255,LEN(A255)-3))</f>
        <v>370</v>
      </c>
      <c r="C255" t="s">
        <v>44</v>
      </c>
      <c r="D255">
        <v>0</v>
      </c>
      <c r="F255">
        <v>0</v>
      </c>
      <c r="H255" t="s">
        <v>2171</v>
      </c>
      <c r="I255">
        <v>37</v>
      </c>
      <c r="J255" t="s">
        <v>722</v>
      </c>
      <c r="K255" t="s">
        <v>259</v>
      </c>
      <c r="L255" t="s">
        <v>43</v>
      </c>
      <c r="M255" t="s">
        <v>602</v>
      </c>
      <c r="N255" t="s">
        <v>2172</v>
      </c>
      <c r="O255">
        <v>1</v>
      </c>
      <c r="P255">
        <v>60</v>
      </c>
      <c r="R255">
        <v>400</v>
      </c>
      <c r="T255" t="s">
        <v>242</v>
      </c>
      <c r="U255" t="s">
        <v>2174</v>
      </c>
      <c r="V255" t="s">
        <v>2175</v>
      </c>
      <c r="W255" t="s">
        <v>2176</v>
      </c>
    </row>
    <row r="256" spans="1:23" x14ac:dyDescent="0.2">
      <c r="A256" t="s">
        <v>2177</v>
      </c>
      <c r="B256" s="1">
        <f>VALUE(RIGHT(A256,LEN(A256)-3))</f>
        <v>371</v>
      </c>
      <c r="C256" t="s">
        <v>32</v>
      </c>
      <c r="D256">
        <v>2</v>
      </c>
      <c r="E256" t="s">
        <v>1562</v>
      </c>
      <c r="F256">
        <v>2</v>
      </c>
      <c r="G256" t="s">
        <v>444</v>
      </c>
      <c r="H256" t="s">
        <v>2178</v>
      </c>
      <c r="I256">
        <v>35</v>
      </c>
      <c r="J256" t="s">
        <v>27</v>
      </c>
      <c r="K256" t="s">
        <v>2179</v>
      </c>
      <c r="L256" t="s">
        <v>43</v>
      </c>
      <c r="M256" t="s">
        <v>602</v>
      </c>
      <c r="N256" t="s">
        <v>2141</v>
      </c>
      <c r="O256">
        <v>1</v>
      </c>
      <c r="P256">
        <v>90</v>
      </c>
      <c r="R256">
        <v>352</v>
      </c>
      <c r="T256" t="s">
        <v>242</v>
      </c>
      <c r="U256" t="s">
        <v>2182</v>
      </c>
      <c r="V256" t="s">
        <v>779</v>
      </c>
      <c r="W256" t="s">
        <v>2183</v>
      </c>
    </row>
    <row r="257" spans="1:23" x14ac:dyDescent="0.2">
      <c r="A257" t="s">
        <v>2184</v>
      </c>
      <c r="B257" s="1">
        <f>VALUE(RIGHT(A257,LEN(A257)-3))</f>
        <v>372</v>
      </c>
      <c r="C257" t="s">
        <v>32</v>
      </c>
      <c r="D257">
        <v>1</v>
      </c>
      <c r="E257" t="s">
        <v>57</v>
      </c>
      <c r="F257">
        <v>1</v>
      </c>
      <c r="G257" t="s">
        <v>58</v>
      </c>
      <c r="H257" t="s">
        <v>2185</v>
      </c>
      <c r="I257">
        <v>51</v>
      </c>
      <c r="J257" t="s">
        <v>27</v>
      </c>
      <c r="K257" t="s">
        <v>259</v>
      </c>
      <c r="L257" t="s">
        <v>43</v>
      </c>
      <c r="M257" t="s">
        <v>4154</v>
      </c>
      <c r="N257" t="s">
        <v>2186</v>
      </c>
      <c r="O257">
        <v>8</v>
      </c>
      <c r="P257">
        <v>140</v>
      </c>
      <c r="R257">
        <v>300</v>
      </c>
      <c r="T257" t="s">
        <v>367</v>
      </c>
      <c r="U257" t="s">
        <v>857</v>
      </c>
      <c r="V257" t="s">
        <v>61</v>
      </c>
      <c r="W257" t="s">
        <v>2189</v>
      </c>
    </row>
    <row r="258" spans="1:23" x14ac:dyDescent="0.2">
      <c r="A258" t="s">
        <v>2218</v>
      </c>
      <c r="B258" s="1">
        <f>VALUE(RIGHT(A258,LEN(A258)-3))</f>
        <v>378</v>
      </c>
      <c r="C258" t="s">
        <v>32</v>
      </c>
      <c r="D258">
        <v>1</v>
      </c>
      <c r="E258" t="s">
        <v>35</v>
      </c>
      <c r="F258">
        <v>1</v>
      </c>
      <c r="G258" t="s">
        <v>123</v>
      </c>
      <c r="H258" t="s">
        <v>2219</v>
      </c>
      <c r="I258">
        <v>53</v>
      </c>
      <c r="J258" t="s">
        <v>178</v>
      </c>
      <c r="K258" t="s">
        <v>1050</v>
      </c>
      <c r="L258" t="s">
        <v>43</v>
      </c>
      <c r="M258" t="s">
        <v>4154</v>
      </c>
      <c r="N258" t="s">
        <v>1995</v>
      </c>
      <c r="O258">
        <v>20</v>
      </c>
      <c r="T258" t="s">
        <v>173</v>
      </c>
      <c r="U258" t="s">
        <v>2222</v>
      </c>
      <c r="V258" t="s">
        <v>61</v>
      </c>
      <c r="W258" t="s">
        <v>2223</v>
      </c>
    </row>
    <row r="259" spans="1:23" hidden="1" x14ac:dyDescent="0.2">
      <c r="A259" t="s">
        <v>2224</v>
      </c>
      <c r="B259" s="1">
        <f>VALUE(RIGHT(A259,LEN(A259)-3))</f>
        <v>379</v>
      </c>
      <c r="C259" t="s">
        <v>44</v>
      </c>
      <c r="D259">
        <v>0</v>
      </c>
      <c r="F259">
        <v>0</v>
      </c>
      <c r="H259" t="s">
        <v>2225</v>
      </c>
      <c r="I259">
        <v>56</v>
      </c>
      <c r="J259" t="s">
        <v>178</v>
      </c>
      <c r="K259" t="s">
        <v>300</v>
      </c>
      <c r="L259" t="s">
        <v>43</v>
      </c>
      <c r="M259" t="s">
        <v>4154</v>
      </c>
      <c r="N259" t="s">
        <v>1934</v>
      </c>
      <c r="O259">
        <v>15</v>
      </c>
      <c r="P259">
        <v>1800</v>
      </c>
      <c r="Q259">
        <v>500</v>
      </c>
      <c r="R259">
        <v>500</v>
      </c>
      <c r="T259" t="s">
        <v>103</v>
      </c>
      <c r="U259" t="s">
        <v>2227</v>
      </c>
      <c r="V259" t="s">
        <v>61</v>
      </c>
      <c r="W259" t="s">
        <v>2228</v>
      </c>
    </row>
    <row r="260" spans="1:23" x14ac:dyDescent="0.2">
      <c r="A260" t="s">
        <v>2281</v>
      </c>
      <c r="B260" s="1">
        <f>VALUE(RIGHT(A260,LEN(A260)-3))</f>
        <v>388</v>
      </c>
      <c r="C260" t="s">
        <v>32</v>
      </c>
      <c r="D260">
        <v>1</v>
      </c>
      <c r="E260" t="s">
        <v>57</v>
      </c>
      <c r="F260">
        <v>2</v>
      </c>
      <c r="G260" t="s">
        <v>2285</v>
      </c>
      <c r="H260" t="s">
        <v>2282</v>
      </c>
      <c r="I260">
        <v>64</v>
      </c>
      <c r="J260" t="s">
        <v>150</v>
      </c>
      <c r="K260" t="s">
        <v>385</v>
      </c>
      <c r="L260" t="s">
        <v>43</v>
      </c>
      <c r="M260" t="s">
        <v>602</v>
      </c>
      <c r="N260" t="s">
        <v>2141</v>
      </c>
      <c r="O260">
        <v>1</v>
      </c>
      <c r="P260">
        <v>60</v>
      </c>
      <c r="R260">
        <v>1700</v>
      </c>
      <c r="T260" t="s">
        <v>200</v>
      </c>
      <c r="U260" t="s">
        <v>2286</v>
      </c>
      <c r="V260" t="s">
        <v>2287</v>
      </c>
      <c r="W260" t="s">
        <v>2288</v>
      </c>
    </row>
    <row r="261" spans="1:23" x14ac:dyDescent="0.2">
      <c r="A261" t="s">
        <v>2330</v>
      </c>
      <c r="B261" s="1">
        <f>VALUE(RIGHT(A261,LEN(A261)-3))</f>
        <v>396</v>
      </c>
      <c r="C261" t="s">
        <v>32</v>
      </c>
      <c r="D261">
        <v>1</v>
      </c>
      <c r="E261" t="s">
        <v>57</v>
      </c>
      <c r="F261">
        <v>3</v>
      </c>
      <c r="G261" t="s">
        <v>1213</v>
      </c>
      <c r="H261" t="s">
        <v>2325</v>
      </c>
      <c r="I261">
        <v>35</v>
      </c>
      <c r="J261" t="s">
        <v>1753</v>
      </c>
      <c r="K261" t="s">
        <v>1790</v>
      </c>
      <c r="L261" t="s">
        <v>43</v>
      </c>
      <c r="M261" t="s">
        <v>4154</v>
      </c>
      <c r="N261" t="s">
        <v>2331</v>
      </c>
      <c r="O261">
        <v>4</v>
      </c>
      <c r="P261">
        <v>130</v>
      </c>
      <c r="R261">
        <v>550</v>
      </c>
      <c r="T261" t="s">
        <v>242</v>
      </c>
      <c r="U261" t="s">
        <v>104</v>
      </c>
      <c r="V261" t="s">
        <v>61</v>
      </c>
      <c r="W261" t="s">
        <v>2334</v>
      </c>
    </row>
    <row r="262" spans="1:23" hidden="1" x14ac:dyDescent="0.2">
      <c r="A262" t="s">
        <v>2414</v>
      </c>
      <c r="B262" s="1">
        <f>VALUE(RIGHT(A262,LEN(A262)-3))</f>
        <v>409</v>
      </c>
      <c r="C262" t="s">
        <v>44</v>
      </c>
      <c r="D262">
        <v>0</v>
      </c>
      <c r="F262">
        <v>0</v>
      </c>
      <c r="H262" t="s">
        <v>2415</v>
      </c>
      <c r="I262">
        <v>47</v>
      </c>
      <c r="J262" t="s">
        <v>27</v>
      </c>
      <c r="K262" t="s">
        <v>2298</v>
      </c>
      <c r="L262" t="s">
        <v>43</v>
      </c>
      <c r="M262" t="s">
        <v>4154</v>
      </c>
      <c r="N262" t="s">
        <v>2086</v>
      </c>
      <c r="O262">
        <v>11</v>
      </c>
      <c r="P262">
        <v>300</v>
      </c>
      <c r="R262">
        <v>1000</v>
      </c>
      <c r="T262" t="s">
        <v>242</v>
      </c>
      <c r="U262" t="s">
        <v>2417</v>
      </c>
      <c r="V262" t="s">
        <v>613</v>
      </c>
      <c r="W262" t="s">
        <v>2418</v>
      </c>
    </row>
    <row r="263" spans="1:23" x14ac:dyDescent="0.2">
      <c r="A263" t="s">
        <v>2442</v>
      </c>
      <c r="B263" s="1">
        <f>VALUE(RIGHT(A263,LEN(A263)-3))</f>
        <v>414</v>
      </c>
      <c r="C263" t="s">
        <v>32</v>
      </c>
      <c r="D263">
        <v>1</v>
      </c>
      <c r="E263" t="s">
        <v>57</v>
      </c>
      <c r="F263">
        <v>0</v>
      </c>
      <c r="H263" t="s">
        <v>2443</v>
      </c>
      <c r="I263">
        <v>32</v>
      </c>
      <c r="J263" t="s">
        <v>27</v>
      </c>
      <c r="K263" t="s">
        <v>1097</v>
      </c>
      <c r="L263" t="s">
        <v>43</v>
      </c>
      <c r="M263" t="s">
        <v>602</v>
      </c>
      <c r="N263" t="s">
        <v>2444</v>
      </c>
      <c r="O263">
        <v>8</v>
      </c>
      <c r="P263">
        <v>500</v>
      </c>
      <c r="T263" t="s">
        <v>173</v>
      </c>
      <c r="U263" t="s">
        <v>174</v>
      </c>
      <c r="V263" t="s">
        <v>48</v>
      </c>
      <c r="W263" t="s">
        <v>2446</v>
      </c>
    </row>
    <row r="264" spans="1:23" x14ac:dyDescent="0.2">
      <c r="A264" t="s">
        <v>2447</v>
      </c>
      <c r="B264" s="1">
        <f>VALUE(RIGHT(A264,LEN(A264)-3))</f>
        <v>415</v>
      </c>
      <c r="C264" t="s">
        <v>32</v>
      </c>
      <c r="D264">
        <v>1</v>
      </c>
      <c r="E264" t="s">
        <v>57</v>
      </c>
      <c r="F264">
        <v>1</v>
      </c>
      <c r="G264" t="s">
        <v>68</v>
      </c>
      <c r="H264" t="s">
        <v>2448</v>
      </c>
      <c r="I264">
        <v>50</v>
      </c>
      <c r="J264" t="s">
        <v>120</v>
      </c>
      <c r="K264" t="s">
        <v>1271</v>
      </c>
      <c r="L264" t="s">
        <v>43</v>
      </c>
      <c r="M264" t="s">
        <v>4154</v>
      </c>
      <c r="N264" t="s">
        <v>2331</v>
      </c>
      <c r="O264">
        <v>5</v>
      </c>
      <c r="P264">
        <v>550</v>
      </c>
      <c r="R264">
        <v>800</v>
      </c>
      <c r="T264" t="s">
        <v>103</v>
      </c>
      <c r="U264" t="s">
        <v>2450</v>
      </c>
      <c r="V264" t="s">
        <v>1904</v>
      </c>
      <c r="W264" t="s">
        <v>2451</v>
      </c>
    </row>
    <row r="265" spans="1:23" hidden="1" x14ac:dyDescent="0.2">
      <c r="A265" t="s">
        <v>2452</v>
      </c>
      <c r="B265" s="1">
        <f>VALUE(RIGHT(A265,LEN(A265)-3))</f>
        <v>416</v>
      </c>
      <c r="C265" t="s">
        <v>44</v>
      </c>
      <c r="D265">
        <v>0</v>
      </c>
      <c r="F265">
        <v>0</v>
      </c>
      <c r="H265" t="s">
        <v>2453</v>
      </c>
      <c r="I265">
        <v>37</v>
      </c>
      <c r="J265" t="s">
        <v>178</v>
      </c>
      <c r="K265" t="s">
        <v>385</v>
      </c>
      <c r="L265" t="s">
        <v>43</v>
      </c>
      <c r="M265" t="s">
        <v>4154</v>
      </c>
      <c r="N265" t="s">
        <v>2454</v>
      </c>
      <c r="O265">
        <v>8</v>
      </c>
      <c r="P265">
        <v>500</v>
      </c>
      <c r="R265">
        <v>700</v>
      </c>
      <c r="T265" t="s">
        <v>242</v>
      </c>
      <c r="U265" t="s">
        <v>2456</v>
      </c>
      <c r="V265" t="s">
        <v>182</v>
      </c>
      <c r="W265" t="s">
        <v>2457</v>
      </c>
    </row>
    <row r="266" spans="1:23" x14ac:dyDescent="0.2">
      <c r="A266" t="s">
        <v>2487</v>
      </c>
      <c r="B266" s="1">
        <f>VALUE(RIGHT(A266,LEN(A266)-3))</f>
        <v>422</v>
      </c>
      <c r="C266" t="s">
        <v>32</v>
      </c>
      <c r="D266">
        <v>2</v>
      </c>
      <c r="E266" t="s">
        <v>57</v>
      </c>
      <c r="F266">
        <v>2</v>
      </c>
      <c r="G266" t="s">
        <v>2491</v>
      </c>
      <c r="H266" t="s">
        <v>2488</v>
      </c>
      <c r="I266">
        <v>48</v>
      </c>
      <c r="J266" t="s">
        <v>217</v>
      </c>
      <c r="K266" t="s">
        <v>259</v>
      </c>
      <c r="L266" t="s">
        <v>43</v>
      </c>
      <c r="M266" t="s">
        <v>4154</v>
      </c>
      <c r="N266" t="s">
        <v>2331</v>
      </c>
      <c r="O266">
        <v>3</v>
      </c>
      <c r="P266">
        <v>380</v>
      </c>
      <c r="R266">
        <v>400</v>
      </c>
      <c r="T266" t="s">
        <v>103</v>
      </c>
      <c r="U266" t="s">
        <v>851</v>
      </c>
      <c r="V266" t="s">
        <v>48</v>
      </c>
      <c r="W266" t="s">
        <v>2492</v>
      </c>
    </row>
    <row r="267" spans="1:23" x14ac:dyDescent="0.2">
      <c r="A267" t="s">
        <v>2538</v>
      </c>
      <c r="B267" s="1">
        <f>VALUE(RIGHT(A267,LEN(A267)-3))</f>
        <v>432</v>
      </c>
      <c r="C267" t="s">
        <v>32</v>
      </c>
      <c r="D267">
        <v>1</v>
      </c>
      <c r="E267" t="s">
        <v>35</v>
      </c>
      <c r="F267">
        <v>3</v>
      </c>
      <c r="G267" t="s">
        <v>2542</v>
      </c>
      <c r="H267" t="s">
        <v>2539</v>
      </c>
      <c r="I267">
        <v>33</v>
      </c>
      <c r="J267" t="s">
        <v>150</v>
      </c>
      <c r="K267" t="s">
        <v>385</v>
      </c>
      <c r="L267" t="s">
        <v>43</v>
      </c>
      <c r="M267" t="s">
        <v>4154</v>
      </c>
      <c r="N267" t="s">
        <v>2540</v>
      </c>
      <c r="T267" t="s">
        <v>173</v>
      </c>
      <c r="U267" t="s">
        <v>174</v>
      </c>
      <c r="V267" t="s">
        <v>48</v>
      </c>
      <c r="W267" t="s">
        <v>2543</v>
      </c>
    </row>
    <row r="268" spans="1:23" x14ac:dyDescent="0.2">
      <c r="A268" t="s">
        <v>2544</v>
      </c>
      <c r="B268" s="1">
        <f>VALUE(RIGHT(A268,LEN(A268)-3))</f>
        <v>433</v>
      </c>
      <c r="C268" t="s">
        <v>32</v>
      </c>
      <c r="D268">
        <v>1</v>
      </c>
      <c r="E268" t="s">
        <v>57</v>
      </c>
      <c r="F268">
        <v>1</v>
      </c>
      <c r="G268" t="s">
        <v>58</v>
      </c>
      <c r="H268" t="s">
        <v>2545</v>
      </c>
      <c r="J268" t="s">
        <v>178</v>
      </c>
      <c r="K268" t="s">
        <v>259</v>
      </c>
      <c r="L268" t="s">
        <v>43</v>
      </c>
      <c r="M268" t="s">
        <v>4154</v>
      </c>
      <c r="N268" t="s">
        <v>2331</v>
      </c>
      <c r="O268">
        <v>4</v>
      </c>
      <c r="T268" t="s">
        <v>103</v>
      </c>
      <c r="U268" t="s">
        <v>492</v>
      </c>
      <c r="V268" t="s">
        <v>235</v>
      </c>
      <c r="W268" t="s">
        <v>2548</v>
      </c>
    </row>
    <row r="269" spans="1:23" x14ac:dyDescent="0.2">
      <c r="A269" t="s">
        <v>2676</v>
      </c>
      <c r="B269" s="1">
        <f>VALUE(RIGHT(A269,LEN(A269)-3))</f>
        <v>457</v>
      </c>
      <c r="C269" t="s">
        <v>32</v>
      </c>
      <c r="D269">
        <v>1</v>
      </c>
      <c r="E269" t="s">
        <v>57</v>
      </c>
      <c r="F269">
        <v>0</v>
      </c>
      <c r="H269" t="s">
        <v>2677</v>
      </c>
      <c r="I269">
        <v>39</v>
      </c>
      <c r="J269" t="s">
        <v>99</v>
      </c>
      <c r="K269" t="s">
        <v>2678</v>
      </c>
      <c r="L269" t="s">
        <v>43</v>
      </c>
      <c r="M269" t="s">
        <v>4154</v>
      </c>
      <c r="N269" t="s">
        <v>2331</v>
      </c>
      <c r="O269">
        <v>13</v>
      </c>
      <c r="P269">
        <v>815</v>
      </c>
      <c r="R269">
        <v>1500</v>
      </c>
      <c r="T269" t="s">
        <v>36</v>
      </c>
      <c r="U269" t="s">
        <v>2681</v>
      </c>
      <c r="V269" t="s">
        <v>48</v>
      </c>
      <c r="W269" t="s">
        <v>2682</v>
      </c>
    </row>
    <row r="270" spans="1:23" x14ac:dyDescent="0.2">
      <c r="A270" t="s">
        <v>2689</v>
      </c>
      <c r="B270" s="1">
        <f>VALUE(RIGHT(A270,LEN(A270)-3))</f>
        <v>459</v>
      </c>
      <c r="C270" t="s">
        <v>32</v>
      </c>
      <c r="D270">
        <v>1</v>
      </c>
      <c r="E270" t="s">
        <v>57</v>
      </c>
      <c r="F270">
        <v>0</v>
      </c>
      <c r="H270" t="s">
        <v>2690</v>
      </c>
      <c r="I270">
        <v>40</v>
      </c>
      <c r="J270" t="s">
        <v>217</v>
      </c>
      <c r="K270" t="s">
        <v>259</v>
      </c>
      <c r="L270" t="s">
        <v>43</v>
      </c>
      <c r="M270" t="s">
        <v>602</v>
      </c>
      <c r="N270" t="s">
        <v>1701</v>
      </c>
      <c r="T270" t="s">
        <v>242</v>
      </c>
      <c r="U270" t="s">
        <v>2693</v>
      </c>
      <c r="V270" t="s">
        <v>235</v>
      </c>
      <c r="W270" t="s">
        <v>2694</v>
      </c>
    </row>
    <row r="271" spans="1:23" x14ac:dyDescent="0.2">
      <c r="A271" t="s">
        <v>2718</v>
      </c>
      <c r="B271" s="1">
        <f>VALUE(RIGHT(A271,LEN(A271)-3))</f>
        <v>465</v>
      </c>
      <c r="C271" t="s">
        <v>32</v>
      </c>
      <c r="D271">
        <v>1</v>
      </c>
      <c r="E271" t="s">
        <v>57</v>
      </c>
      <c r="F271">
        <v>1</v>
      </c>
      <c r="G271" t="s">
        <v>1354</v>
      </c>
      <c r="H271" t="s">
        <v>2719</v>
      </c>
      <c r="I271">
        <v>33</v>
      </c>
      <c r="J271" t="s">
        <v>74</v>
      </c>
      <c r="K271" t="s">
        <v>259</v>
      </c>
      <c r="L271" t="s">
        <v>43</v>
      </c>
      <c r="M271" t="s">
        <v>602</v>
      </c>
      <c r="N271" t="s">
        <v>2720</v>
      </c>
      <c r="O271">
        <v>2</v>
      </c>
      <c r="P271">
        <v>250</v>
      </c>
      <c r="R271">
        <v>500</v>
      </c>
      <c r="T271" t="s">
        <v>173</v>
      </c>
      <c r="U271" t="s">
        <v>2158</v>
      </c>
      <c r="V271" t="s">
        <v>2723</v>
      </c>
      <c r="W271" t="s">
        <v>2724</v>
      </c>
    </row>
    <row r="272" spans="1:23" x14ac:dyDescent="0.2">
      <c r="A272" t="s">
        <v>2812</v>
      </c>
      <c r="B272" s="1">
        <f>VALUE(RIGHT(A272,LEN(A272)-3))</f>
        <v>482</v>
      </c>
      <c r="C272" t="s">
        <v>32</v>
      </c>
      <c r="D272">
        <v>1</v>
      </c>
      <c r="E272" t="s">
        <v>35</v>
      </c>
      <c r="F272">
        <v>0</v>
      </c>
      <c r="H272" t="s">
        <v>2813</v>
      </c>
      <c r="I272">
        <v>37</v>
      </c>
      <c r="J272" t="s">
        <v>150</v>
      </c>
      <c r="K272" t="s">
        <v>2814</v>
      </c>
      <c r="L272" t="s">
        <v>43</v>
      </c>
      <c r="M272" t="s">
        <v>602</v>
      </c>
      <c r="N272" t="s">
        <v>1701</v>
      </c>
      <c r="O272">
        <v>4</v>
      </c>
      <c r="P272">
        <v>200</v>
      </c>
      <c r="R272">
        <v>350</v>
      </c>
      <c r="T272" t="s">
        <v>2817</v>
      </c>
      <c r="U272" t="s">
        <v>681</v>
      </c>
      <c r="V272" t="s">
        <v>48</v>
      </c>
      <c r="W272" t="s">
        <v>2818</v>
      </c>
    </row>
    <row r="273" spans="1:23" hidden="1" x14ac:dyDescent="0.2">
      <c r="A273" t="s">
        <v>2847</v>
      </c>
      <c r="B273" s="1">
        <f>VALUE(RIGHT(A273,LEN(A273)-3))</f>
        <v>488</v>
      </c>
      <c r="C273" t="s">
        <v>44</v>
      </c>
      <c r="D273">
        <v>0</v>
      </c>
      <c r="F273">
        <v>0</v>
      </c>
      <c r="H273" t="s">
        <v>2848</v>
      </c>
      <c r="I273">
        <v>64</v>
      </c>
      <c r="J273" t="s">
        <v>178</v>
      </c>
      <c r="K273" t="s">
        <v>300</v>
      </c>
      <c r="L273" t="s">
        <v>43</v>
      </c>
      <c r="M273" t="s">
        <v>4154</v>
      </c>
      <c r="N273" t="s">
        <v>1934</v>
      </c>
      <c r="O273">
        <v>20</v>
      </c>
      <c r="T273" t="s">
        <v>103</v>
      </c>
      <c r="U273" t="s">
        <v>104</v>
      </c>
      <c r="V273" t="s">
        <v>61</v>
      </c>
      <c r="W273" t="s">
        <v>2850</v>
      </c>
    </row>
    <row r="274" spans="1:23" hidden="1" x14ac:dyDescent="0.2">
      <c r="A274" t="s">
        <v>2870</v>
      </c>
      <c r="B274" s="1">
        <f>VALUE(RIGHT(A274,LEN(A274)-3))</f>
        <v>493</v>
      </c>
      <c r="C274" t="s">
        <v>44</v>
      </c>
      <c r="D274">
        <v>0</v>
      </c>
      <c r="F274">
        <v>0</v>
      </c>
      <c r="H274" t="s">
        <v>2866</v>
      </c>
      <c r="I274">
        <v>33</v>
      </c>
      <c r="J274" t="s">
        <v>52</v>
      </c>
      <c r="K274" t="s">
        <v>151</v>
      </c>
      <c r="L274" t="s">
        <v>43</v>
      </c>
      <c r="M274" t="s">
        <v>602</v>
      </c>
      <c r="N274" t="s">
        <v>2097</v>
      </c>
      <c r="O274">
        <v>6</v>
      </c>
      <c r="P274">
        <v>700</v>
      </c>
      <c r="T274" t="s">
        <v>242</v>
      </c>
      <c r="U274" t="s">
        <v>194</v>
      </c>
      <c r="V274" t="s">
        <v>194</v>
      </c>
      <c r="W274" t="s">
        <v>2872</v>
      </c>
    </row>
    <row r="275" spans="1:23" x14ac:dyDescent="0.2">
      <c r="A275" t="s">
        <v>2903</v>
      </c>
      <c r="B275" s="1">
        <f>VALUE(RIGHT(A275,LEN(A275)-3))</f>
        <v>499</v>
      </c>
      <c r="C275" t="s">
        <v>32</v>
      </c>
      <c r="D275">
        <v>1</v>
      </c>
      <c r="E275" t="s">
        <v>57</v>
      </c>
      <c r="F275">
        <v>1</v>
      </c>
      <c r="G275" t="s">
        <v>68</v>
      </c>
      <c r="H275" t="s">
        <v>2904</v>
      </c>
      <c r="I275">
        <v>43</v>
      </c>
      <c r="J275" t="s">
        <v>178</v>
      </c>
      <c r="K275" t="s">
        <v>259</v>
      </c>
      <c r="L275" t="s">
        <v>43</v>
      </c>
      <c r="M275" t="s">
        <v>602</v>
      </c>
      <c r="N275" t="s">
        <v>2905</v>
      </c>
      <c r="T275" t="s">
        <v>36</v>
      </c>
      <c r="U275" t="s">
        <v>2118</v>
      </c>
      <c r="V275" t="s">
        <v>406</v>
      </c>
      <c r="W275" t="s">
        <v>2907</v>
      </c>
    </row>
    <row r="276" spans="1:23" hidden="1" x14ac:dyDescent="0.2">
      <c r="A276" t="s">
        <v>2953</v>
      </c>
      <c r="B276" s="1">
        <f>VALUE(RIGHT(A276,LEN(A276)-3))</f>
        <v>508</v>
      </c>
      <c r="C276" t="s">
        <v>44</v>
      </c>
      <c r="D276">
        <v>0</v>
      </c>
      <c r="F276">
        <v>0</v>
      </c>
      <c r="H276" t="s">
        <v>2954</v>
      </c>
      <c r="I276">
        <v>53</v>
      </c>
      <c r="J276" t="s">
        <v>178</v>
      </c>
      <c r="K276" t="s">
        <v>1050</v>
      </c>
      <c r="L276" t="s">
        <v>43</v>
      </c>
      <c r="M276" t="s">
        <v>602</v>
      </c>
      <c r="N276" t="s">
        <v>2444</v>
      </c>
      <c r="O276">
        <v>8</v>
      </c>
      <c r="P276">
        <v>50</v>
      </c>
      <c r="Q276">
        <v>1200</v>
      </c>
      <c r="R276">
        <v>200</v>
      </c>
      <c r="S276">
        <v>600</v>
      </c>
      <c r="T276" t="s">
        <v>36</v>
      </c>
      <c r="U276" t="s">
        <v>308</v>
      </c>
      <c r="V276" t="s">
        <v>48</v>
      </c>
      <c r="W276" t="s">
        <v>2956</v>
      </c>
    </row>
    <row r="277" spans="1:23" x14ac:dyDescent="0.2">
      <c r="A277" t="s">
        <v>3042</v>
      </c>
      <c r="B277" s="1">
        <f>VALUE(RIGHT(A277,LEN(A277)-3))</f>
        <v>525</v>
      </c>
      <c r="C277" t="s">
        <v>32</v>
      </c>
      <c r="D277">
        <v>1</v>
      </c>
      <c r="E277" t="s">
        <v>57</v>
      </c>
      <c r="F277">
        <v>2</v>
      </c>
      <c r="G277" t="s">
        <v>1991</v>
      </c>
      <c r="H277" t="s">
        <v>3043</v>
      </c>
      <c r="I277">
        <v>37</v>
      </c>
      <c r="J277" t="s">
        <v>120</v>
      </c>
      <c r="K277" t="s">
        <v>3044</v>
      </c>
      <c r="L277" t="s">
        <v>43</v>
      </c>
      <c r="M277" t="s">
        <v>4154</v>
      </c>
      <c r="N277" t="s">
        <v>3045</v>
      </c>
      <c r="O277">
        <v>8</v>
      </c>
      <c r="P277">
        <v>750</v>
      </c>
      <c r="R277">
        <v>500</v>
      </c>
      <c r="T277" t="s">
        <v>3048</v>
      </c>
      <c r="U277" t="s">
        <v>1936</v>
      </c>
      <c r="V277" t="s">
        <v>48</v>
      </c>
      <c r="W277" t="s">
        <v>3049</v>
      </c>
    </row>
    <row r="278" spans="1:23" x14ac:dyDescent="0.2">
      <c r="A278" t="s">
        <v>3086</v>
      </c>
      <c r="B278" s="1">
        <f>VALUE(RIGHT(A278,LEN(A278)-3))</f>
        <v>533</v>
      </c>
      <c r="C278" t="s">
        <v>32</v>
      </c>
      <c r="D278">
        <v>1</v>
      </c>
      <c r="E278" t="s">
        <v>57</v>
      </c>
      <c r="F278">
        <v>0</v>
      </c>
      <c r="H278" t="s">
        <v>3087</v>
      </c>
      <c r="I278">
        <v>39</v>
      </c>
      <c r="J278" t="s">
        <v>3088</v>
      </c>
      <c r="K278" t="s">
        <v>1790</v>
      </c>
      <c r="L278" t="s">
        <v>43</v>
      </c>
      <c r="M278" t="s">
        <v>4154</v>
      </c>
      <c r="N278" t="s">
        <v>2086</v>
      </c>
      <c r="O278">
        <v>17</v>
      </c>
      <c r="P278">
        <v>500</v>
      </c>
      <c r="T278" t="s">
        <v>3048</v>
      </c>
      <c r="U278" t="s">
        <v>1866</v>
      </c>
      <c r="V278" t="s">
        <v>48</v>
      </c>
      <c r="W278" t="s">
        <v>3091</v>
      </c>
    </row>
    <row r="279" spans="1:23" x14ac:dyDescent="0.2">
      <c r="A279" t="s">
        <v>2303</v>
      </c>
      <c r="B279" s="1">
        <f>VALUE(RIGHT(A279,LEN(A279)-3))</f>
        <v>391</v>
      </c>
      <c r="C279" t="s">
        <v>32</v>
      </c>
      <c r="D279">
        <v>1</v>
      </c>
      <c r="E279" t="s">
        <v>130</v>
      </c>
      <c r="F279">
        <v>0</v>
      </c>
      <c r="H279" t="s">
        <v>2304</v>
      </c>
      <c r="I279">
        <v>27</v>
      </c>
      <c r="J279" t="s">
        <v>150</v>
      </c>
      <c r="K279" t="s">
        <v>259</v>
      </c>
      <c r="L279" t="s">
        <v>43</v>
      </c>
      <c r="M279" t="s">
        <v>2305</v>
      </c>
      <c r="N279" t="s">
        <v>31</v>
      </c>
      <c r="T279" t="s">
        <v>242</v>
      </c>
      <c r="U279" t="s">
        <v>2158</v>
      </c>
      <c r="V279" t="s">
        <v>406</v>
      </c>
      <c r="W279" t="s">
        <v>2308</v>
      </c>
    </row>
    <row r="280" spans="1:23" hidden="1" x14ac:dyDescent="0.2">
      <c r="A280" t="s">
        <v>2458</v>
      </c>
      <c r="B280" s="1">
        <f>VALUE(RIGHT(A280,LEN(A280)-3))</f>
        <v>417</v>
      </c>
      <c r="C280" t="s">
        <v>44</v>
      </c>
      <c r="D280">
        <v>0</v>
      </c>
      <c r="F280">
        <v>0</v>
      </c>
      <c r="H280" t="s">
        <v>2459</v>
      </c>
      <c r="J280" t="s">
        <v>27</v>
      </c>
      <c r="K280" t="s">
        <v>2389</v>
      </c>
      <c r="L280" t="s">
        <v>43</v>
      </c>
      <c r="M280" t="s">
        <v>2305</v>
      </c>
      <c r="T280" t="s">
        <v>103</v>
      </c>
      <c r="U280" t="s">
        <v>194</v>
      </c>
      <c r="V280" t="s">
        <v>194</v>
      </c>
      <c r="W280" t="s">
        <v>2461</v>
      </c>
    </row>
    <row r="281" spans="1:23" x14ac:dyDescent="0.2">
      <c r="A281" t="s">
        <v>2502</v>
      </c>
      <c r="B281" s="1">
        <f>VALUE(RIGHT(A281,LEN(A281)-3))</f>
        <v>425</v>
      </c>
      <c r="C281" t="s">
        <v>32</v>
      </c>
      <c r="D281">
        <v>1</v>
      </c>
      <c r="E281" t="s">
        <v>57</v>
      </c>
      <c r="F281">
        <v>0</v>
      </c>
      <c r="H281" t="s">
        <v>2503</v>
      </c>
      <c r="I281">
        <v>34</v>
      </c>
      <c r="J281" t="s">
        <v>52</v>
      </c>
      <c r="K281" t="s">
        <v>1050</v>
      </c>
      <c r="L281" t="s">
        <v>43</v>
      </c>
      <c r="M281" t="s">
        <v>2305</v>
      </c>
      <c r="N281" t="s">
        <v>31</v>
      </c>
      <c r="P281">
        <v>40</v>
      </c>
      <c r="T281" t="s">
        <v>103</v>
      </c>
      <c r="U281" t="s">
        <v>308</v>
      </c>
      <c r="V281" t="s">
        <v>235</v>
      </c>
      <c r="W281" t="s">
        <v>2506</v>
      </c>
    </row>
    <row r="282" spans="1:23" hidden="1" x14ac:dyDescent="0.2">
      <c r="A282" t="s">
        <v>2507</v>
      </c>
      <c r="B282" s="1">
        <f>VALUE(RIGHT(A282,LEN(A282)-3))</f>
        <v>426</v>
      </c>
      <c r="C282" t="s">
        <v>44</v>
      </c>
      <c r="D282">
        <v>0</v>
      </c>
      <c r="F282">
        <v>0</v>
      </c>
      <c r="H282" t="s">
        <v>2503</v>
      </c>
      <c r="I282">
        <v>48</v>
      </c>
      <c r="J282" t="s">
        <v>27</v>
      </c>
      <c r="K282" t="s">
        <v>2508</v>
      </c>
      <c r="L282" t="s">
        <v>54</v>
      </c>
      <c r="M282" t="s">
        <v>2305</v>
      </c>
      <c r="O282">
        <v>3</v>
      </c>
      <c r="T282" t="s">
        <v>200</v>
      </c>
      <c r="U282" t="s">
        <v>194</v>
      </c>
      <c r="V282" t="s">
        <v>194</v>
      </c>
    </row>
    <row r="283" spans="1:23" x14ac:dyDescent="0.2">
      <c r="A283" t="s">
        <v>2626</v>
      </c>
      <c r="B283" s="1">
        <f>VALUE(RIGHT(A283,LEN(A283)-3))</f>
        <v>448</v>
      </c>
      <c r="C283" t="s">
        <v>32</v>
      </c>
      <c r="D283">
        <v>1</v>
      </c>
      <c r="E283" t="s">
        <v>57</v>
      </c>
      <c r="F283">
        <v>2</v>
      </c>
      <c r="G283" t="s">
        <v>592</v>
      </c>
      <c r="H283" t="s">
        <v>2627</v>
      </c>
      <c r="I283">
        <v>37</v>
      </c>
      <c r="J283" t="s">
        <v>1508</v>
      </c>
      <c r="K283" t="s">
        <v>1110</v>
      </c>
      <c r="L283" t="s">
        <v>43</v>
      </c>
      <c r="M283" t="s">
        <v>2305</v>
      </c>
      <c r="N283" t="s">
        <v>31</v>
      </c>
      <c r="O283">
        <v>3</v>
      </c>
      <c r="P283">
        <v>180</v>
      </c>
      <c r="R283">
        <v>900</v>
      </c>
      <c r="T283" t="s">
        <v>36</v>
      </c>
      <c r="U283" t="s">
        <v>308</v>
      </c>
      <c r="V283" t="s">
        <v>753</v>
      </c>
      <c r="W283" t="s">
        <v>2630</v>
      </c>
    </row>
    <row r="284" spans="1:23" x14ac:dyDescent="0.2">
      <c r="A284" t="s">
        <v>2662</v>
      </c>
      <c r="B284" s="1">
        <f>VALUE(RIGHT(A284,LEN(A284)-3))</f>
        <v>454</v>
      </c>
      <c r="C284" t="s">
        <v>32</v>
      </c>
      <c r="D284">
        <v>1</v>
      </c>
      <c r="E284" t="s">
        <v>57</v>
      </c>
      <c r="F284">
        <v>0</v>
      </c>
      <c r="H284" t="s">
        <v>2663</v>
      </c>
      <c r="I284">
        <v>45</v>
      </c>
      <c r="J284" t="s">
        <v>178</v>
      </c>
      <c r="K284" t="s">
        <v>259</v>
      </c>
      <c r="L284" t="s">
        <v>43</v>
      </c>
      <c r="M284" t="s">
        <v>2305</v>
      </c>
      <c r="N284" t="s">
        <v>520</v>
      </c>
      <c r="O284">
        <v>15</v>
      </c>
      <c r="T284" t="s">
        <v>103</v>
      </c>
      <c r="U284" t="s">
        <v>492</v>
      </c>
      <c r="V284" t="s">
        <v>61</v>
      </c>
      <c r="W284" t="s">
        <v>2665</v>
      </c>
    </row>
    <row r="285" spans="1:23" x14ac:dyDescent="0.2">
      <c r="A285" t="s">
        <v>500</v>
      </c>
      <c r="B285" s="1">
        <f>VALUE(RIGHT(A285,LEN(A285)-3))</f>
        <v>70</v>
      </c>
      <c r="C285" t="s">
        <v>32</v>
      </c>
      <c r="D285">
        <v>1</v>
      </c>
      <c r="E285" t="s">
        <v>57</v>
      </c>
      <c r="F285">
        <v>1</v>
      </c>
      <c r="G285" t="s">
        <v>123</v>
      </c>
      <c r="H285" t="s">
        <v>501</v>
      </c>
      <c r="I285">
        <v>27</v>
      </c>
      <c r="J285" t="s">
        <v>357</v>
      </c>
      <c r="K285" t="s">
        <v>502</v>
      </c>
      <c r="L285" t="s">
        <v>43</v>
      </c>
      <c r="M285" t="s">
        <v>503</v>
      </c>
      <c r="N285" t="s">
        <v>504</v>
      </c>
      <c r="P285">
        <v>30</v>
      </c>
      <c r="Q285">
        <v>2</v>
      </c>
      <c r="R285">
        <v>500</v>
      </c>
      <c r="S285">
        <v>20</v>
      </c>
      <c r="T285" t="s">
        <v>173</v>
      </c>
      <c r="U285" t="s">
        <v>507</v>
      </c>
      <c r="V285" t="s">
        <v>48</v>
      </c>
      <c r="W285" t="s">
        <v>508</v>
      </c>
    </row>
    <row r="286" spans="1:23" x14ac:dyDescent="0.2">
      <c r="A286" t="s">
        <v>509</v>
      </c>
      <c r="B286" s="1">
        <f>VALUE(RIGHT(A286,LEN(A286)-3))</f>
        <v>71</v>
      </c>
      <c r="C286" t="s">
        <v>32</v>
      </c>
      <c r="D286">
        <v>1</v>
      </c>
      <c r="E286" t="s">
        <v>35</v>
      </c>
      <c r="F286">
        <v>1</v>
      </c>
      <c r="G286" t="s">
        <v>514</v>
      </c>
      <c r="H286" t="s">
        <v>510</v>
      </c>
      <c r="I286">
        <v>30</v>
      </c>
      <c r="J286" t="s">
        <v>27</v>
      </c>
      <c r="K286" t="s">
        <v>288</v>
      </c>
      <c r="L286" t="s">
        <v>43</v>
      </c>
      <c r="M286" t="s">
        <v>503</v>
      </c>
      <c r="N286" t="s">
        <v>511</v>
      </c>
      <c r="T286" t="s">
        <v>103</v>
      </c>
      <c r="U286" t="s">
        <v>515</v>
      </c>
      <c r="V286" t="s">
        <v>61</v>
      </c>
      <c r="W286" t="s">
        <v>516</v>
      </c>
    </row>
    <row r="287" spans="1:23" hidden="1" x14ac:dyDescent="0.2">
      <c r="A287" t="s">
        <v>517</v>
      </c>
      <c r="B287" s="1">
        <f>VALUE(RIGHT(A287,LEN(A287)-3))</f>
        <v>72</v>
      </c>
      <c r="C287" t="s">
        <v>44</v>
      </c>
      <c r="D287">
        <v>0</v>
      </c>
      <c r="F287">
        <v>0</v>
      </c>
      <c r="H287" t="s">
        <v>518</v>
      </c>
      <c r="J287" t="s">
        <v>99</v>
      </c>
      <c r="K287" t="s">
        <v>519</v>
      </c>
      <c r="L287" t="s">
        <v>43</v>
      </c>
      <c r="M287" t="s">
        <v>503</v>
      </c>
      <c r="N287" t="s">
        <v>520</v>
      </c>
      <c r="T287" t="s">
        <v>200</v>
      </c>
      <c r="U287" t="s">
        <v>201</v>
      </c>
      <c r="V287" t="s">
        <v>48</v>
      </c>
      <c r="W287" t="s">
        <v>522</v>
      </c>
    </row>
    <row r="288" spans="1:23" x14ac:dyDescent="0.2">
      <c r="A288" t="s">
        <v>549</v>
      </c>
      <c r="B288" s="1">
        <f>VALUE(RIGHT(A288,LEN(A288)-3))</f>
        <v>78</v>
      </c>
      <c r="C288" t="s">
        <v>32</v>
      </c>
      <c r="D288">
        <v>1</v>
      </c>
      <c r="E288" t="s">
        <v>35</v>
      </c>
      <c r="F288">
        <v>0</v>
      </c>
      <c r="H288" t="s">
        <v>550</v>
      </c>
      <c r="J288" t="s">
        <v>551</v>
      </c>
      <c r="K288" t="s">
        <v>552</v>
      </c>
      <c r="L288" t="s">
        <v>43</v>
      </c>
      <c r="M288" t="s">
        <v>503</v>
      </c>
      <c r="N288" t="s">
        <v>520</v>
      </c>
      <c r="T288" t="s">
        <v>242</v>
      </c>
      <c r="U288" t="s">
        <v>555</v>
      </c>
      <c r="V288" t="s">
        <v>48</v>
      </c>
      <c r="W288" t="s">
        <v>556</v>
      </c>
    </row>
    <row r="289" spans="1:23" hidden="1" x14ac:dyDescent="0.2">
      <c r="A289" t="s">
        <v>582</v>
      </c>
      <c r="B289" s="1">
        <f>VALUE(RIGHT(A289,LEN(A289)-3))</f>
        <v>83</v>
      </c>
      <c r="C289" t="s">
        <v>44</v>
      </c>
      <c r="D289">
        <v>0</v>
      </c>
      <c r="F289">
        <v>0</v>
      </c>
      <c r="H289" t="s">
        <v>583</v>
      </c>
      <c r="I289">
        <v>32</v>
      </c>
      <c r="J289" t="s">
        <v>27</v>
      </c>
      <c r="K289" t="s">
        <v>584</v>
      </c>
      <c r="L289" t="s">
        <v>43</v>
      </c>
      <c r="M289" t="s">
        <v>503</v>
      </c>
      <c r="N289" t="s">
        <v>520</v>
      </c>
      <c r="T289" t="s">
        <v>242</v>
      </c>
      <c r="U289" t="s">
        <v>586</v>
      </c>
      <c r="V289" t="s">
        <v>61</v>
      </c>
      <c r="W289" t="s">
        <v>587</v>
      </c>
    </row>
    <row r="290" spans="1:23" x14ac:dyDescent="0.2">
      <c r="A290" t="s">
        <v>588</v>
      </c>
      <c r="B290" s="1">
        <f>VALUE(RIGHT(A290,LEN(A290)-3))</f>
        <v>84</v>
      </c>
      <c r="C290" t="s">
        <v>32</v>
      </c>
      <c r="D290">
        <v>1</v>
      </c>
      <c r="E290" t="s">
        <v>57</v>
      </c>
      <c r="F290">
        <v>2</v>
      </c>
      <c r="G290" t="s">
        <v>592</v>
      </c>
      <c r="H290" t="s">
        <v>589</v>
      </c>
      <c r="J290" t="s">
        <v>112</v>
      </c>
      <c r="K290" t="s">
        <v>259</v>
      </c>
      <c r="L290" t="s">
        <v>43</v>
      </c>
      <c r="M290" t="s">
        <v>503</v>
      </c>
      <c r="N290" t="s">
        <v>520</v>
      </c>
      <c r="T290" t="s">
        <v>173</v>
      </c>
      <c r="U290" t="s">
        <v>174</v>
      </c>
      <c r="V290" t="s">
        <v>61</v>
      </c>
      <c r="W290" t="s">
        <v>593</v>
      </c>
    </row>
    <row r="291" spans="1:23" hidden="1" x14ac:dyDescent="0.2">
      <c r="A291" t="s">
        <v>594</v>
      </c>
      <c r="B291" s="1">
        <f>VALUE(RIGHT(A291,LEN(A291)-3))</f>
        <v>85</v>
      </c>
      <c r="C291" t="s">
        <v>44</v>
      </c>
      <c r="D291">
        <v>0</v>
      </c>
      <c r="F291">
        <v>0</v>
      </c>
      <c r="H291" t="s">
        <v>595</v>
      </c>
      <c r="J291" t="s">
        <v>120</v>
      </c>
      <c r="K291" t="s">
        <v>596</v>
      </c>
      <c r="L291" t="s">
        <v>54</v>
      </c>
      <c r="M291" t="s">
        <v>503</v>
      </c>
      <c r="N291" t="s">
        <v>520</v>
      </c>
      <c r="P291">
        <v>1200</v>
      </c>
      <c r="T291" t="s">
        <v>36</v>
      </c>
      <c r="U291" t="s">
        <v>188</v>
      </c>
      <c r="V291" t="s">
        <v>598</v>
      </c>
      <c r="W291" t="s">
        <v>599</v>
      </c>
    </row>
    <row r="292" spans="1:23" x14ac:dyDescent="0.2">
      <c r="A292" t="s">
        <v>627</v>
      </c>
      <c r="B292" s="1">
        <f>VALUE(RIGHT(A292,LEN(A292)-3))</f>
        <v>90</v>
      </c>
      <c r="C292" t="s">
        <v>32</v>
      </c>
      <c r="D292">
        <v>2</v>
      </c>
      <c r="E292" t="s">
        <v>94</v>
      </c>
      <c r="F292">
        <v>3</v>
      </c>
      <c r="G292" t="s">
        <v>633</v>
      </c>
      <c r="H292" t="s">
        <v>628</v>
      </c>
      <c r="J292" t="s">
        <v>551</v>
      </c>
      <c r="K292" t="s">
        <v>629</v>
      </c>
      <c r="L292" t="s">
        <v>43</v>
      </c>
      <c r="M292" t="s">
        <v>503</v>
      </c>
      <c r="N292" t="s">
        <v>630</v>
      </c>
      <c r="P292">
        <v>100</v>
      </c>
      <c r="Q292">
        <v>11</v>
      </c>
      <c r="T292" t="s">
        <v>242</v>
      </c>
      <c r="U292" t="s">
        <v>634</v>
      </c>
      <c r="V292" t="s">
        <v>635</v>
      </c>
      <c r="W292" t="s">
        <v>636</v>
      </c>
    </row>
    <row r="293" spans="1:23" x14ac:dyDescent="0.2">
      <c r="A293" t="s">
        <v>762</v>
      </c>
      <c r="B293" s="1">
        <f>VALUE(RIGHT(A293,LEN(A293)-3))</f>
        <v>113</v>
      </c>
      <c r="C293" t="s">
        <v>32</v>
      </c>
      <c r="D293">
        <v>2</v>
      </c>
      <c r="E293" t="s">
        <v>94</v>
      </c>
      <c r="F293">
        <v>2</v>
      </c>
      <c r="G293" t="s">
        <v>241</v>
      </c>
      <c r="H293" t="s">
        <v>763</v>
      </c>
      <c r="I293">
        <v>41</v>
      </c>
      <c r="J293" t="s">
        <v>27</v>
      </c>
      <c r="K293" t="s">
        <v>764</v>
      </c>
      <c r="L293" t="s">
        <v>43</v>
      </c>
      <c r="M293" t="s">
        <v>503</v>
      </c>
      <c r="N293" t="s">
        <v>520</v>
      </c>
      <c r="P293">
        <v>103</v>
      </c>
      <c r="Q293">
        <v>45</v>
      </c>
      <c r="R293">
        <v>700</v>
      </c>
      <c r="T293" t="s">
        <v>242</v>
      </c>
      <c r="U293" t="s">
        <v>543</v>
      </c>
      <c r="V293" t="s">
        <v>767</v>
      </c>
      <c r="W293" t="s">
        <v>768</v>
      </c>
    </row>
    <row r="294" spans="1:23" x14ac:dyDescent="0.2">
      <c r="A294" t="s">
        <v>781</v>
      </c>
      <c r="B294" s="1">
        <f>VALUE(RIGHT(A294,LEN(A294)-3))</f>
        <v>116</v>
      </c>
      <c r="C294" t="s">
        <v>32</v>
      </c>
      <c r="D294">
        <v>1</v>
      </c>
      <c r="E294" t="s">
        <v>57</v>
      </c>
      <c r="F294">
        <v>0</v>
      </c>
      <c r="H294" t="s">
        <v>782</v>
      </c>
      <c r="J294" t="s">
        <v>120</v>
      </c>
      <c r="K294" t="s">
        <v>496</v>
      </c>
      <c r="L294" t="s">
        <v>43</v>
      </c>
      <c r="M294" t="s">
        <v>503</v>
      </c>
      <c r="N294" t="s">
        <v>783</v>
      </c>
      <c r="T294" t="s">
        <v>242</v>
      </c>
      <c r="U294" t="s">
        <v>786</v>
      </c>
      <c r="V294" t="s">
        <v>61</v>
      </c>
      <c r="W294" t="s">
        <v>787</v>
      </c>
    </row>
    <row r="295" spans="1:23" x14ac:dyDescent="0.2">
      <c r="A295" t="s">
        <v>821</v>
      </c>
      <c r="B295" s="1">
        <f>VALUE(RIGHT(A295,LEN(A295)-3))</f>
        <v>123</v>
      </c>
      <c r="C295" t="s">
        <v>32</v>
      </c>
      <c r="D295">
        <v>1</v>
      </c>
      <c r="E295" t="s">
        <v>57</v>
      </c>
      <c r="F295">
        <v>0</v>
      </c>
      <c r="H295" t="s">
        <v>816</v>
      </c>
      <c r="J295" t="s">
        <v>52</v>
      </c>
      <c r="K295" t="s">
        <v>822</v>
      </c>
      <c r="L295" t="s">
        <v>43</v>
      </c>
      <c r="M295" t="s">
        <v>503</v>
      </c>
      <c r="N295" t="s">
        <v>520</v>
      </c>
      <c r="T295" t="s">
        <v>173</v>
      </c>
      <c r="U295" t="s">
        <v>647</v>
      </c>
      <c r="V295" t="s">
        <v>61</v>
      </c>
      <c r="W295" t="s">
        <v>825</v>
      </c>
    </row>
    <row r="296" spans="1:23" x14ac:dyDescent="0.2">
      <c r="A296" t="s">
        <v>826</v>
      </c>
      <c r="B296" s="1">
        <f>VALUE(RIGHT(A296,LEN(A296)-3))</f>
        <v>124</v>
      </c>
      <c r="C296" t="s">
        <v>32</v>
      </c>
      <c r="D296">
        <v>1</v>
      </c>
      <c r="E296" t="s">
        <v>35</v>
      </c>
      <c r="F296">
        <v>0</v>
      </c>
      <c r="H296" t="s">
        <v>827</v>
      </c>
      <c r="J296" t="s">
        <v>178</v>
      </c>
      <c r="K296" t="s">
        <v>259</v>
      </c>
      <c r="L296" t="s">
        <v>43</v>
      </c>
      <c r="M296" t="s">
        <v>503</v>
      </c>
      <c r="N296" t="s">
        <v>520</v>
      </c>
      <c r="T296" t="s">
        <v>242</v>
      </c>
      <c r="U296" t="s">
        <v>786</v>
      </c>
      <c r="V296" t="s">
        <v>61</v>
      </c>
      <c r="W296" t="s">
        <v>829</v>
      </c>
    </row>
    <row r="297" spans="1:23" x14ac:dyDescent="0.2">
      <c r="A297" t="s">
        <v>830</v>
      </c>
      <c r="B297" s="1">
        <f>VALUE(RIGHT(A297,LEN(A297)-3))</f>
        <v>125</v>
      </c>
      <c r="C297" t="s">
        <v>32</v>
      </c>
      <c r="D297">
        <v>1</v>
      </c>
      <c r="E297" t="s">
        <v>57</v>
      </c>
      <c r="F297">
        <v>1</v>
      </c>
      <c r="G297" t="s">
        <v>291</v>
      </c>
      <c r="H297" t="s">
        <v>831</v>
      </c>
      <c r="J297" t="s">
        <v>120</v>
      </c>
      <c r="K297" t="s">
        <v>259</v>
      </c>
      <c r="L297" t="s">
        <v>43</v>
      </c>
      <c r="M297" t="s">
        <v>503</v>
      </c>
      <c r="N297" t="s">
        <v>520</v>
      </c>
      <c r="T297" t="s">
        <v>173</v>
      </c>
      <c r="U297" t="s">
        <v>834</v>
      </c>
      <c r="V297" t="s">
        <v>61</v>
      </c>
      <c r="W297" t="s">
        <v>835</v>
      </c>
    </row>
    <row r="298" spans="1:23" hidden="1" x14ac:dyDescent="0.2">
      <c r="A298" t="s">
        <v>836</v>
      </c>
      <c r="B298" s="1">
        <f>VALUE(RIGHT(A298,LEN(A298)-3))</f>
        <v>126</v>
      </c>
      <c r="C298" t="s">
        <v>44</v>
      </c>
      <c r="D298">
        <v>0</v>
      </c>
      <c r="F298">
        <v>0</v>
      </c>
      <c r="H298" t="s">
        <v>837</v>
      </c>
      <c r="J298" t="s">
        <v>338</v>
      </c>
      <c r="K298" t="s">
        <v>100</v>
      </c>
      <c r="L298" t="s">
        <v>43</v>
      </c>
      <c r="M298" t="s">
        <v>503</v>
      </c>
      <c r="N298" t="s">
        <v>520</v>
      </c>
      <c r="T298" t="s">
        <v>242</v>
      </c>
      <c r="U298" t="s">
        <v>194</v>
      </c>
      <c r="V298" t="s">
        <v>194</v>
      </c>
      <c r="W298" t="s">
        <v>839</v>
      </c>
    </row>
    <row r="299" spans="1:23" x14ac:dyDescent="0.2">
      <c r="A299" t="s">
        <v>840</v>
      </c>
      <c r="B299" s="1">
        <f>VALUE(RIGHT(A299,LEN(A299)-3))</f>
        <v>127</v>
      </c>
      <c r="C299" t="s">
        <v>32</v>
      </c>
      <c r="D299">
        <v>1</v>
      </c>
      <c r="E299" t="s">
        <v>57</v>
      </c>
      <c r="F299">
        <v>4</v>
      </c>
      <c r="G299" t="s">
        <v>844</v>
      </c>
      <c r="H299" t="s">
        <v>841</v>
      </c>
      <c r="J299" t="s">
        <v>318</v>
      </c>
      <c r="K299" t="s">
        <v>259</v>
      </c>
      <c r="L299" t="s">
        <v>43</v>
      </c>
      <c r="M299" t="s">
        <v>503</v>
      </c>
      <c r="N299" t="s">
        <v>520</v>
      </c>
      <c r="T299" t="s">
        <v>242</v>
      </c>
      <c r="U299" t="s">
        <v>845</v>
      </c>
      <c r="V299" t="s">
        <v>61</v>
      </c>
      <c r="W299" t="s">
        <v>846</v>
      </c>
    </row>
    <row r="300" spans="1:23" x14ac:dyDescent="0.2">
      <c r="A300" t="s">
        <v>847</v>
      </c>
      <c r="B300" s="1">
        <f>VALUE(RIGHT(A300,LEN(A300)-3))</f>
        <v>128</v>
      </c>
      <c r="C300" t="s">
        <v>32</v>
      </c>
      <c r="D300">
        <v>1</v>
      </c>
      <c r="E300" t="s">
        <v>57</v>
      </c>
      <c r="F300">
        <v>1</v>
      </c>
      <c r="G300" t="s">
        <v>68</v>
      </c>
      <c r="H300" t="s">
        <v>848</v>
      </c>
      <c r="J300" t="s">
        <v>357</v>
      </c>
      <c r="K300" t="s">
        <v>455</v>
      </c>
      <c r="L300" t="s">
        <v>43</v>
      </c>
      <c r="M300" t="s">
        <v>503</v>
      </c>
      <c r="N300" t="s">
        <v>520</v>
      </c>
      <c r="T300" t="s">
        <v>367</v>
      </c>
      <c r="U300" t="s">
        <v>851</v>
      </c>
      <c r="V300" t="s">
        <v>779</v>
      </c>
      <c r="W300" t="s">
        <v>852</v>
      </c>
    </row>
    <row r="301" spans="1:23" hidden="1" x14ac:dyDescent="0.2">
      <c r="A301" t="s">
        <v>869</v>
      </c>
      <c r="B301" s="1">
        <f>VALUE(RIGHT(A301,LEN(A301)-3))</f>
        <v>132</v>
      </c>
      <c r="C301" t="s">
        <v>44</v>
      </c>
      <c r="D301">
        <v>0</v>
      </c>
      <c r="F301">
        <v>0</v>
      </c>
      <c r="H301" t="s">
        <v>864</v>
      </c>
      <c r="J301" t="s">
        <v>338</v>
      </c>
      <c r="K301" t="s">
        <v>259</v>
      </c>
      <c r="L301" t="s">
        <v>43</v>
      </c>
      <c r="M301" t="s">
        <v>503</v>
      </c>
      <c r="N301" t="s">
        <v>870</v>
      </c>
      <c r="T301" t="s">
        <v>242</v>
      </c>
      <c r="U301" t="s">
        <v>194</v>
      </c>
      <c r="V301" t="s">
        <v>194</v>
      </c>
      <c r="W301" t="s">
        <v>872</v>
      </c>
    </row>
    <row r="302" spans="1:23" x14ac:dyDescent="0.2">
      <c r="A302" t="s">
        <v>873</v>
      </c>
      <c r="B302" s="1">
        <f>VALUE(RIGHT(A302,LEN(A302)-3))</f>
        <v>133</v>
      </c>
      <c r="C302" t="s">
        <v>32</v>
      </c>
      <c r="D302">
        <v>1</v>
      </c>
      <c r="E302" t="s">
        <v>57</v>
      </c>
      <c r="F302">
        <v>1</v>
      </c>
      <c r="G302" t="s">
        <v>291</v>
      </c>
      <c r="H302" t="s">
        <v>874</v>
      </c>
      <c r="I302">
        <v>39</v>
      </c>
      <c r="J302" t="s">
        <v>127</v>
      </c>
      <c r="K302" t="s">
        <v>151</v>
      </c>
      <c r="L302" t="s">
        <v>43</v>
      </c>
      <c r="M302" t="s">
        <v>503</v>
      </c>
      <c r="N302" t="s">
        <v>520</v>
      </c>
      <c r="T302" t="s">
        <v>242</v>
      </c>
      <c r="U302" t="s">
        <v>314</v>
      </c>
      <c r="V302" t="s">
        <v>877</v>
      </c>
      <c r="W302" t="s">
        <v>878</v>
      </c>
    </row>
    <row r="303" spans="1:23" hidden="1" x14ac:dyDescent="0.2">
      <c r="A303" t="s">
        <v>879</v>
      </c>
      <c r="B303" s="1">
        <f>VALUE(RIGHT(A303,LEN(A303)-3))</f>
        <v>134</v>
      </c>
      <c r="C303" t="s">
        <v>44</v>
      </c>
      <c r="D303">
        <v>0</v>
      </c>
      <c r="F303">
        <v>0</v>
      </c>
      <c r="H303" t="s">
        <v>880</v>
      </c>
      <c r="J303" t="s">
        <v>338</v>
      </c>
      <c r="K303" t="s">
        <v>100</v>
      </c>
      <c r="L303" t="s">
        <v>43</v>
      </c>
      <c r="M303" t="s">
        <v>503</v>
      </c>
      <c r="N303" t="s">
        <v>520</v>
      </c>
      <c r="T303" t="s">
        <v>242</v>
      </c>
      <c r="U303" t="s">
        <v>882</v>
      </c>
      <c r="V303" t="s">
        <v>883</v>
      </c>
      <c r="W303" t="s">
        <v>884</v>
      </c>
    </row>
    <row r="304" spans="1:23" x14ac:dyDescent="0.2">
      <c r="A304" t="s">
        <v>891</v>
      </c>
      <c r="B304" s="1">
        <f>VALUE(RIGHT(A304,LEN(A304)-3))</f>
        <v>136</v>
      </c>
      <c r="C304" t="s">
        <v>32</v>
      </c>
      <c r="D304">
        <v>2</v>
      </c>
      <c r="E304" t="s">
        <v>94</v>
      </c>
      <c r="F304">
        <v>2</v>
      </c>
      <c r="G304" t="s">
        <v>123</v>
      </c>
      <c r="H304" t="s">
        <v>892</v>
      </c>
      <c r="J304" t="s">
        <v>893</v>
      </c>
      <c r="K304" t="s">
        <v>100</v>
      </c>
      <c r="L304" t="s">
        <v>43</v>
      </c>
      <c r="M304" t="s">
        <v>503</v>
      </c>
      <c r="N304" t="s">
        <v>520</v>
      </c>
      <c r="T304" t="s">
        <v>242</v>
      </c>
      <c r="U304" t="s">
        <v>681</v>
      </c>
      <c r="V304" t="s">
        <v>341</v>
      </c>
      <c r="W304" t="s">
        <v>896</v>
      </c>
    </row>
    <row r="305" spans="1:23" x14ac:dyDescent="0.2">
      <c r="A305" t="s">
        <v>903</v>
      </c>
      <c r="B305" s="1">
        <f>VALUE(RIGHT(A305,LEN(A305)-3))</f>
        <v>138</v>
      </c>
      <c r="C305" t="s">
        <v>32</v>
      </c>
      <c r="D305">
        <v>1</v>
      </c>
      <c r="E305" t="s">
        <v>35</v>
      </c>
      <c r="F305">
        <v>3</v>
      </c>
      <c r="G305" t="s">
        <v>907</v>
      </c>
      <c r="H305" t="s">
        <v>904</v>
      </c>
      <c r="J305" t="s">
        <v>27</v>
      </c>
      <c r="K305" t="s">
        <v>530</v>
      </c>
      <c r="L305" t="s">
        <v>43</v>
      </c>
      <c r="M305" t="s">
        <v>503</v>
      </c>
      <c r="N305" t="s">
        <v>520</v>
      </c>
      <c r="T305" t="s">
        <v>242</v>
      </c>
      <c r="U305" t="s">
        <v>908</v>
      </c>
      <c r="V305" t="s">
        <v>909</v>
      </c>
      <c r="W305" t="s">
        <v>910</v>
      </c>
    </row>
    <row r="306" spans="1:23" x14ac:dyDescent="0.2">
      <c r="A306" t="s">
        <v>911</v>
      </c>
      <c r="B306" s="1">
        <f>VALUE(RIGHT(A306,LEN(A306)-3))</f>
        <v>139</v>
      </c>
      <c r="C306" t="s">
        <v>32</v>
      </c>
      <c r="D306">
        <v>1</v>
      </c>
      <c r="E306" t="s">
        <v>57</v>
      </c>
      <c r="F306">
        <v>0</v>
      </c>
      <c r="H306" t="s">
        <v>912</v>
      </c>
      <c r="J306" t="s">
        <v>120</v>
      </c>
      <c r="K306" t="s">
        <v>913</v>
      </c>
      <c r="L306" t="s">
        <v>43</v>
      </c>
      <c r="M306" t="s">
        <v>503</v>
      </c>
      <c r="N306" t="s">
        <v>520</v>
      </c>
      <c r="T306" t="s">
        <v>242</v>
      </c>
      <c r="U306" t="s">
        <v>916</v>
      </c>
      <c r="V306" t="s">
        <v>61</v>
      </c>
      <c r="W306" t="s">
        <v>917</v>
      </c>
    </row>
    <row r="307" spans="1:23" hidden="1" x14ac:dyDescent="0.2">
      <c r="A307" t="s">
        <v>943</v>
      </c>
      <c r="B307" s="1">
        <f>VALUE(RIGHT(A307,LEN(A307)-3))</f>
        <v>144</v>
      </c>
      <c r="C307" t="s">
        <v>44</v>
      </c>
      <c r="D307">
        <v>0</v>
      </c>
      <c r="F307">
        <v>0</v>
      </c>
      <c r="H307" t="s">
        <v>944</v>
      </c>
      <c r="J307" t="s">
        <v>52</v>
      </c>
      <c r="K307" t="s">
        <v>259</v>
      </c>
      <c r="L307" t="s">
        <v>43</v>
      </c>
      <c r="M307" t="s">
        <v>503</v>
      </c>
      <c r="N307" t="s">
        <v>520</v>
      </c>
      <c r="T307" t="s">
        <v>103</v>
      </c>
      <c r="U307" t="s">
        <v>104</v>
      </c>
      <c r="V307" t="s">
        <v>194</v>
      </c>
    </row>
    <row r="308" spans="1:23" x14ac:dyDescent="0.2">
      <c r="A308" t="s">
        <v>953</v>
      </c>
      <c r="B308" s="1">
        <f>VALUE(RIGHT(A308,LEN(A308)-3))</f>
        <v>146</v>
      </c>
      <c r="C308" t="s">
        <v>32</v>
      </c>
      <c r="D308">
        <v>1</v>
      </c>
      <c r="E308" t="s">
        <v>35</v>
      </c>
      <c r="F308">
        <v>2</v>
      </c>
      <c r="G308" t="s">
        <v>284</v>
      </c>
      <c r="H308" t="s">
        <v>954</v>
      </c>
      <c r="J308" t="s">
        <v>893</v>
      </c>
      <c r="K308" t="s">
        <v>955</v>
      </c>
      <c r="L308" t="s">
        <v>43</v>
      </c>
      <c r="M308" t="s">
        <v>503</v>
      </c>
      <c r="N308" t="s">
        <v>520</v>
      </c>
      <c r="T308" t="s">
        <v>242</v>
      </c>
      <c r="U308" t="s">
        <v>786</v>
      </c>
      <c r="V308" t="s">
        <v>61</v>
      </c>
      <c r="W308" t="s">
        <v>958</v>
      </c>
    </row>
    <row r="309" spans="1:23" hidden="1" x14ac:dyDescent="0.2">
      <c r="A309" t="s">
        <v>959</v>
      </c>
      <c r="B309" s="1">
        <f>VALUE(RIGHT(A309,LEN(A309)-3))</f>
        <v>147</v>
      </c>
      <c r="C309" t="s">
        <v>44</v>
      </c>
      <c r="D309">
        <v>0</v>
      </c>
      <c r="F309">
        <v>0</v>
      </c>
      <c r="H309" t="s">
        <v>960</v>
      </c>
      <c r="J309" t="s">
        <v>150</v>
      </c>
      <c r="K309" t="s">
        <v>961</v>
      </c>
      <c r="L309" t="s">
        <v>43</v>
      </c>
      <c r="M309" t="s">
        <v>503</v>
      </c>
      <c r="N309" t="s">
        <v>520</v>
      </c>
      <c r="T309" t="s">
        <v>242</v>
      </c>
      <c r="U309" t="s">
        <v>963</v>
      </c>
      <c r="V309" t="s">
        <v>61</v>
      </c>
      <c r="W309" t="s">
        <v>964</v>
      </c>
    </row>
    <row r="310" spans="1:23" x14ac:dyDescent="0.2">
      <c r="A310" t="s">
        <v>965</v>
      </c>
      <c r="B310" s="1">
        <f>VALUE(RIGHT(A310,LEN(A310)-3))</f>
        <v>148</v>
      </c>
      <c r="C310" t="s">
        <v>32</v>
      </c>
      <c r="D310">
        <v>1</v>
      </c>
      <c r="E310" t="s">
        <v>57</v>
      </c>
      <c r="F310">
        <v>0</v>
      </c>
      <c r="H310" t="s">
        <v>966</v>
      </c>
      <c r="J310" t="s">
        <v>120</v>
      </c>
      <c r="K310" t="s">
        <v>764</v>
      </c>
      <c r="L310" t="s">
        <v>43</v>
      </c>
      <c r="M310" t="s">
        <v>503</v>
      </c>
      <c r="N310" t="s">
        <v>520</v>
      </c>
      <c r="T310" t="s">
        <v>103</v>
      </c>
      <c r="U310" t="s">
        <v>845</v>
      </c>
      <c r="V310" t="s">
        <v>767</v>
      </c>
      <c r="W310" t="s">
        <v>969</v>
      </c>
    </row>
    <row r="311" spans="1:23" x14ac:dyDescent="0.2">
      <c r="A311" t="s">
        <v>977</v>
      </c>
      <c r="B311" s="1">
        <f>VALUE(RIGHT(A311,LEN(A311)-3))</f>
        <v>150</v>
      </c>
      <c r="C311" t="s">
        <v>32</v>
      </c>
      <c r="D311">
        <v>2</v>
      </c>
      <c r="E311" t="s">
        <v>94</v>
      </c>
      <c r="F311">
        <v>3</v>
      </c>
      <c r="G311" t="s">
        <v>284</v>
      </c>
      <c r="H311" t="s">
        <v>978</v>
      </c>
      <c r="J311" t="s">
        <v>423</v>
      </c>
      <c r="K311" t="s">
        <v>300</v>
      </c>
      <c r="L311" t="s">
        <v>43</v>
      </c>
      <c r="M311" t="s">
        <v>503</v>
      </c>
      <c r="N311" t="s">
        <v>520</v>
      </c>
      <c r="T311" t="s">
        <v>103</v>
      </c>
      <c r="U311" t="s">
        <v>104</v>
      </c>
      <c r="V311" t="s">
        <v>61</v>
      </c>
      <c r="W311" t="s">
        <v>981</v>
      </c>
    </row>
    <row r="312" spans="1:23" x14ac:dyDescent="0.2">
      <c r="A312" t="s">
        <v>1014</v>
      </c>
      <c r="B312" s="1">
        <f>VALUE(RIGHT(A312,LEN(A312)-3))</f>
        <v>157</v>
      </c>
      <c r="C312" t="s">
        <v>32</v>
      </c>
      <c r="D312">
        <v>1</v>
      </c>
      <c r="E312" t="s">
        <v>57</v>
      </c>
      <c r="F312">
        <v>1</v>
      </c>
      <c r="G312" t="s">
        <v>291</v>
      </c>
      <c r="H312" t="s">
        <v>1015</v>
      </c>
      <c r="J312" t="s">
        <v>127</v>
      </c>
      <c r="K312" t="s">
        <v>259</v>
      </c>
      <c r="L312" t="s">
        <v>43</v>
      </c>
      <c r="M312" t="s">
        <v>503</v>
      </c>
      <c r="N312" t="s">
        <v>1016</v>
      </c>
      <c r="T312" t="s">
        <v>173</v>
      </c>
      <c r="U312" t="s">
        <v>857</v>
      </c>
      <c r="V312" t="s">
        <v>61</v>
      </c>
      <c r="W312" t="s">
        <v>1019</v>
      </c>
    </row>
    <row r="313" spans="1:23" x14ac:dyDescent="0.2">
      <c r="A313" t="s">
        <v>1031</v>
      </c>
      <c r="B313" s="1">
        <f>VALUE(RIGHT(A313,LEN(A313)-3))</f>
        <v>160</v>
      </c>
      <c r="C313" t="s">
        <v>32</v>
      </c>
      <c r="D313">
        <v>1</v>
      </c>
      <c r="E313" t="s">
        <v>57</v>
      </c>
      <c r="F313">
        <v>0</v>
      </c>
      <c r="H313" t="s">
        <v>1032</v>
      </c>
      <c r="J313" t="s">
        <v>722</v>
      </c>
      <c r="K313" t="s">
        <v>259</v>
      </c>
      <c r="L313" t="s">
        <v>43</v>
      </c>
      <c r="M313" t="s">
        <v>503</v>
      </c>
      <c r="N313" t="s">
        <v>520</v>
      </c>
      <c r="T313" t="s">
        <v>173</v>
      </c>
      <c r="U313" t="s">
        <v>845</v>
      </c>
      <c r="V313" t="s">
        <v>61</v>
      </c>
      <c r="W313" t="s">
        <v>1035</v>
      </c>
    </row>
    <row r="314" spans="1:23" x14ac:dyDescent="0.2">
      <c r="A314" t="s">
        <v>1036</v>
      </c>
      <c r="B314" s="1">
        <f>VALUE(RIGHT(A314,LEN(A314)-3))</f>
        <v>161</v>
      </c>
      <c r="C314" t="s">
        <v>32</v>
      </c>
      <c r="D314">
        <v>1</v>
      </c>
      <c r="E314" t="s">
        <v>57</v>
      </c>
      <c r="F314">
        <v>1</v>
      </c>
      <c r="G314" t="s">
        <v>123</v>
      </c>
      <c r="H314" t="s">
        <v>1037</v>
      </c>
      <c r="J314" t="s">
        <v>52</v>
      </c>
      <c r="K314" t="s">
        <v>259</v>
      </c>
      <c r="L314" t="s">
        <v>43</v>
      </c>
      <c r="M314" t="s">
        <v>503</v>
      </c>
      <c r="N314" t="s">
        <v>783</v>
      </c>
      <c r="P314">
        <v>400</v>
      </c>
      <c r="R314">
        <v>8000</v>
      </c>
      <c r="T314" t="s">
        <v>103</v>
      </c>
      <c r="U314" t="s">
        <v>845</v>
      </c>
      <c r="V314" t="s">
        <v>61</v>
      </c>
      <c r="W314" t="s">
        <v>1040</v>
      </c>
    </row>
    <row r="315" spans="1:23" x14ac:dyDescent="0.2">
      <c r="A315" t="s">
        <v>1048</v>
      </c>
      <c r="B315" s="1">
        <f>VALUE(RIGHT(A315,LEN(A315)-3))</f>
        <v>163</v>
      </c>
      <c r="C315" t="s">
        <v>32</v>
      </c>
      <c r="D315">
        <v>1</v>
      </c>
      <c r="E315" t="s">
        <v>57</v>
      </c>
      <c r="F315">
        <v>0</v>
      </c>
      <c r="H315" t="s">
        <v>1049</v>
      </c>
      <c r="I315">
        <v>23</v>
      </c>
      <c r="J315" t="s">
        <v>178</v>
      </c>
      <c r="K315" t="s">
        <v>1050</v>
      </c>
      <c r="L315" t="s">
        <v>43</v>
      </c>
      <c r="M315" t="s">
        <v>503</v>
      </c>
      <c r="N315" t="s">
        <v>1051</v>
      </c>
      <c r="P315">
        <v>120</v>
      </c>
      <c r="Q315">
        <v>50</v>
      </c>
      <c r="T315" t="s">
        <v>367</v>
      </c>
      <c r="U315" t="s">
        <v>368</v>
      </c>
      <c r="V315" t="s">
        <v>61</v>
      </c>
      <c r="W315" t="s">
        <v>1054</v>
      </c>
    </row>
    <row r="316" spans="1:23" x14ac:dyDescent="0.2">
      <c r="A316" t="s">
        <v>1060</v>
      </c>
      <c r="B316" s="1">
        <f>VALUE(RIGHT(A316,LEN(A316)-3))</f>
        <v>165</v>
      </c>
      <c r="C316" t="s">
        <v>32</v>
      </c>
      <c r="D316">
        <v>2</v>
      </c>
      <c r="E316" t="s">
        <v>94</v>
      </c>
      <c r="F316">
        <v>0</v>
      </c>
      <c r="H316" t="s">
        <v>1061</v>
      </c>
      <c r="J316" t="s">
        <v>217</v>
      </c>
      <c r="K316" t="s">
        <v>300</v>
      </c>
      <c r="L316" t="s">
        <v>43</v>
      </c>
      <c r="M316" t="s">
        <v>503</v>
      </c>
      <c r="N316" t="s">
        <v>520</v>
      </c>
      <c r="T316" t="s">
        <v>242</v>
      </c>
      <c r="U316" t="s">
        <v>1064</v>
      </c>
      <c r="V316" t="s">
        <v>61</v>
      </c>
      <c r="W316" t="s">
        <v>1065</v>
      </c>
    </row>
    <row r="317" spans="1:23" hidden="1" x14ac:dyDescent="0.2">
      <c r="A317" t="s">
        <v>1072</v>
      </c>
      <c r="B317" s="1">
        <f>VALUE(RIGHT(A317,LEN(A317)-3))</f>
        <v>167</v>
      </c>
      <c r="C317" t="s">
        <v>44</v>
      </c>
      <c r="D317">
        <v>0</v>
      </c>
      <c r="F317">
        <v>0</v>
      </c>
      <c r="H317" t="s">
        <v>1073</v>
      </c>
      <c r="J317" t="s">
        <v>178</v>
      </c>
      <c r="K317" t="s">
        <v>490</v>
      </c>
      <c r="L317" t="s">
        <v>43</v>
      </c>
      <c r="M317" t="s">
        <v>503</v>
      </c>
      <c r="N317" t="s">
        <v>520</v>
      </c>
      <c r="T317" t="s">
        <v>242</v>
      </c>
      <c r="U317" t="s">
        <v>681</v>
      </c>
      <c r="V317" t="s">
        <v>61</v>
      </c>
      <c r="W317" t="s">
        <v>1075</v>
      </c>
    </row>
    <row r="318" spans="1:23" hidden="1" x14ac:dyDescent="0.2">
      <c r="A318" t="s">
        <v>1087</v>
      </c>
      <c r="B318" s="1">
        <f>VALUE(RIGHT(A318,LEN(A318)-3))</f>
        <v>170</v>
      </c>
      <c r="C318" t="s">
        <v>1091</v>
      </c>
      <c r="D318">
        <v>0</v>
      </c>
      <c r="F318">
        <v>0</v>
      </c>
      <c r="H318" t="s">
        <v>1088</v>
      </c>
      <c r="J318" t="s">
        <v>1089</v>
      </c>
      <c r="K318" t="s">
        <v>259</v>
      </c>
      <c r="L318" t="s">
        <v>43</v>
      </c>
      <c r="M318" t="s">
        <v>503</v>
      </c>
      <c r="N318" t="s">
        <v>1090</v>
      </c>
      <c r="T318" t="s">
        <v>103</v>
      </c>
      <c r="U318" t="s">
        <v>1093</v>
      </c>
      <c r="V318" t="s">
        <v>48</v>
      </c>
      <c r="W318" t="s">
        <v>1094</v>
      </c>
    </row>
    <row r="319" spans="1:23" x14ac:dyDescent="0.2">
      <c r="A319" t="s">
        <v>1101</v>
      </c>
      <c r="B319" s="1">
        <f>VALUE(RIGHT(A319,LEN(A319)-3))</f>
        <v>172</v>
      </c>
      <c r="C319" t="s">
        <v>32</v>
      </c>
      <c r="D319">
        <v>1</v>
      </c>
      <c r="E319" t="s">
        <v>57</v>
      </c>
      <c r="F319">
        <v>1</v>
      </c>
      <c r="G319" t="s">
        <v>1105</v>
      </c>
      <c r="H319" t="s">
        <v>1102</v>
      </c>
      <c r="J319" t="s">
        <v>338</v>
      </c>
      <c r="K319" t="s">
        <v>100</v>
      </c>
      <c r="L319" t="s">
        <v>43</v>
      </c>
      <c r="M319" t="s">
        <v>503</v>
      </c>
      <c r="N319" t="s">
        <v>520</v>
      </c>
      <c r="T319" t="s">
        <v>173</v>
      </c>
      <c r="U319" t="s">
        <v>1106</v>
      </c>
      <c r="V319" t="s">
        <v>877</v>
      </c>
      <c r="W319" t="s">
        <v>1107</v>
      </c>
    </row>
    <row r="320" spans="1:23" hidden="1" x14ac:dyDescent="0.2">
      <c r="A320" t="s">
        <v>1108</v>
      </c>
      <c r="B320" s="1">
        <f>VALUE(RIGHT(A320,LEN(A320)-3))</f>
        <v>173</v>
      </c>
      <c r="C320" t="s">
        <v>44</v>
      </c>
      <c r="D320">
        <v>0</v>
      </c>
      <c r="F320">
        <v>0</v>
      </c>
      <c r="H320" t="s">
        <v>1109</v>
      </c>
      <c r="J320" t="s">
        <v>178</v>
      </c>
      <c r="K320" t="s">
        <v>1110</v>
      </c>
      <c r="L320" t="s">
        <v>43</v>
      </c>
      <c r="M320" t="s">
        <v>503</v>
      </c>
      <c r="N320" t="s">
        <v>1111</v>
      </c>
      <c r="T320" t="s">
        <v>889</v>
      </c>
      <c r="U320" t="s">
        <v>786</v>
      </c>
      <c r="V320" t="s">
        <v>61</v>
      </c>
      <c r="W320" t="s">
        <v>1113</v>
      </c>
    </row>
    <row r="321" spans="1:23" x14ac:dyDescent="0.2">
      <c r="A321" t="s">
        <v>1118</v>
      </c>
      <c r="B321" s="1">
        <f>VALUE(RIGHT(A321,LEN(A321)-3))</f>
        <v>175</v>
      </c>
      <c r="C321" t="s">
        <v>32</v>
      </c>
      <c r="D321">
        <v>1</v>
      </c>
      <c r="E321" t="s">
        <v>35</v>
      </c>
      <c r="F321">
        <v>1</v>
      </c>
      <c r="G321" t="s">
        <v>123</v>
      </c>
      <c r="H321" t="s">
        <v>1119</v>
      </c>
      <c r="J321" t="s">
        <v>1120</v>
      </c>
      <c r="K321" t="s">
        <v>1121</v>
      </c>
      <c r="L321" t="s">
        <v>43</v>
      </c>
      <c r="M321" t="s">
        <v>503</v>
      </c>
      <c r="N321" t="s">
        <v>520</v>
      </c>
      <c r="O321">
        <v>2</v>
      </c>
      <c r="P321">
        <v>150</v>
      </c>
      <c r="Q321">
        <v>50</v>
      </c>
      <c r="T321" t="s">
        <v>242</v>
      </c>
      <c r="U321" t="s">
        <v>492</v>
      </c>
      <c r="V321" t="s">
        <v>182</v>
      </c>
      <c r="W321" t="s">
        <v>1124</v>
      </c>
    </row>
    <row r="322" spans="1:23" hidden="1" x14ac:dyDescent="0.2">
      <c r="A322" t="s">
        <v>1125</v>
      </c>
      <c r="B322" s="1">
        <f>VALUE(RIGHT(A322,LEN(A322)-3))</f>
        <v>176</v>
      </c>
      <c r="C322" t="s">
        <v>44</v>
      </c>
      <c r="D322">
        <v>0</v>
      </c>
      <c r="F322">
        <v>0</v>
      </c>
      <c r="H322" t="s">
        <v>1126</v>
      </c>
      <c r="J322" t="s">
        <v>217</v>
      </c>
      <c r="K322" t="s">
        <v>552</v>
      </c>
      <c r="L322" t="s">
        <v>43</v>
      </c>
      <c r="M322" t="s">
        <v>503</v>
      </c>
      <c r="N322" t="s">
        <v>1051</v>
      </c>
      <c r="T322" t="s">
        <v>242</v>
      </c>
      <c r="U322" t="s">
        <v>47</v>
      </c>
      <c r="V322" t="s">
        <v>61</v>
      </c>
      <c r="W322" t="s">
        <v>1128</v>
      </c>
    </row>
    <row r="323" spans="1:23" x14ac:dyDescent="0.2">
      <c r="A323" t="s">
        <v>1135</v>
      </c>
      <c r="B323" s="1">
        <f>VALUE(RIGHT(A323,LEN(A323)-3))</f>
        <v>178</v>
      </c>
      <c r="C323" t="s">
        <v>32</v>
      </c>
      <c r="D323">
        <v>1</v>
      </c>
      <c r="E323" t="s">
        <v>57</v>
      </c>
      <c r="F323">
        <v>0</v>
      </c>
      <c r="H323" t="s">
        <v>1136</v>
      </c>
      <c r="J323" t="s">
        <v>27</v>
      </c>
      <c r="K323" t="s">
        <v>1137</v>
      </c>
      <c r="L323" t="s">
        <v>43</v>
      </c>
      <c r="M323" t="s">
        <v>503</v>
      </c>
      <c r="N323" t="s">
        <v>520</v>
      </c>
      <c r="T323" t="s">
        <v>242</v>
      </c>
      <c r="U323" t="s">
        <v>47</v>
      </c>
      <c r="V323" t="s">
        <v>194</v>
      </c>
      <c r="W323" t="s">
        <v>1140</v>
      </c>
    </row>
    <row r="324" spans="1:23" x14ac:dyDescent="0.2">
      <c r="A324" t="s">
        <v>1141</v>
      </c>
      <c r="B324" s="1">
        <f>VALUE(RIGHT(A324,LEN(A324)-3))</f>
        <v>179</v>
      </c>
      <c r="C324" t="s">
        <v>32</v>
      </c>
      <c r="D324">
        <v>1</v>
      </c>
      <c r="E324" t="s">
        <v>35</v>
      </c>
      <c r="F324">
        <v>1</v>
      </c>
      <c r="G324" t="s">
        <v>123</v>
      </c>
      <c r="H324" t="s">
        <v>1142</v>
      </c>
      <c r="J324" t="s">
        <v>178</v>
      </c>
      <c r="K324" t="s">
        <v>1137</v>
      </c>
      <c r="L324" t="s">
        <v>43</v>
      </c>
      <c r="M324" t="s">
        <v>503</v>
      </c>
      <c r="N324" t="s">
        <v>1143</v>
      </c>
      <c r="T324" t="s">
        <v>242</v>
      </c>
      <c r="U324" t="s">
        <v>1146</v>
      </c>
      <c r="V324" t="s">
        <v>48</v>
      </c>
      <c r="W324" t="s">
        <v>1147</v>
      </c>
    </row>
    <row r="325" spans="1:23" hidden="1" x14ac:dyDescent="0.2">
      <c r="A325" t="s">
        <v>1167</v>
      </c>
      <c r="B325" s="1">
        <f>VALUE(RIGHT(A325,LEN(A325)-3))</f>
        <v>184</v>
      </c>
      <c r="C325" t="s">
        <v>44</v>
      </c>
      <c r="D325">
        <v>0</v>
      </c>
      <c r="F325">
        <v>0</v>
      </c>
      <c r="H325" t="s">
        <v>1168</v>
      </c>
      <c r="J325" t="s">
        <v>258</v>
      </c>
      <c r="K325" t="s">
        <v>259</v>
      </c>
      <c r="L325" t="s">
        <v>43</v>
      </c>
      <c r="M325" t="s">
        <v>503</v>
      </c>
      <c r="N325" t="s">
        <v>1169</v>
      </c>
      <c r="T325" t="s">
        <v>242</v>
      </c>
      <c r="U325" t="s">
        <v>1171</v>
      </c>
      <c r="V325" t="s">
        <v>235</v>
      </c>
      <c r="W325" t="s">
        <v>1172</v>
      </c>
    </row>
    <row r="326" spans="1:23" x14ac:dyDescent="0.2">
      <c r="A326" t="s">
        <v>1179</v>
      </c>
      <c r="B326" s="1">
        <f>VALUE(RIGHT(A326,LEN(A326)-3))</f>
        <v>186</v>
      </c>
      <c r="C326" t="s">
        <v>32</v>
      </c>
      <c r="D326">
        <v>1</v>
      </c>
      <c r="E326" t="s">
        <v>130</v>
      </c>
      <c r="F326">
        <v>0</v>
      </c>
      <c r="H326" t="s">
        <v>1180</v>
      </c>
      <c r="I326">
        <v>51</v>
      </c>
      <c r="J326" t="s">
        <v>178</v>
      </c>
      <c r="K326" t="s">
        <v>1006</v>
      </c>
      <c r="L326" t="s">
        <v>43</v>
      </c>
      <c r="M326" t="s">
        <v>503</v>
      </c>
      <c r="N326" t="s">
        <v>520</v>
      </c>
      <c r="T326" t="s">
        <v>242</v>
      </c>
      <c r="U326" t="s">
        <v>1183</v>
      </c>
      <c r="V326" t="s">
        <v>61</v>
      </c>
      <c r="W326" t="s">
        <v>1184</v>
      </c>
    </row>
    <row r="327" spans="1:23" x14ac:dyDescent="0.2">
      <c r="A327" t="s">
        <v>1185</v>
      </c>
      <c r="B327" s="1">
        <f>VALUE(RIGHT(A327,LEN(A327)-3))</f>
        <v>187</v>
      </c>
      <c r="C327" t="s">
        <v>32</v>
      </c>
      <c r="D327">
        <v>1</v>
      </c>
      <c r="E327" t="s">
        <v>57</v>
      </c>
      <c r="F327">
        <v>2</v>
      </c>
      <c r="G327" t="s">
        <v>284</v>
      </c>
      <c r="H327" t="s">
        <v>1186</v>
      </c>
      <c r="J327" t="s">
        <v>112</v>
      </c>
      <c r="K327" t="s">
        <v>552</v>
      </c>
      <c r="L327" t="s">
        <v>43</v>
      </c>
      <c r="M327" t="s">
        <v>503</v>
      </c>
      <c r="N327" t="s">
        <v>1187</v>
      </c>
      <c r="T327" t="s">
        <v>242</v>
      </c>
      <c r="U327" t="s">
        <v>786</v>
      </c>
      <c r="V327" t="s">
        <v>61</v>
      </c>
      <c r="W327" t="s">
        <v>1190</v>
      </c>
    </row>
    <row r="328" spans="1:23" x14ac:dyDescent="0.2">
      <c r="A328" t="s">
        <v>1191</v>
      </c>
      <c r="B328" s="1">
        <f>VALUE(RIGHT(A328,LEN(A328)-3))</f>
        <v>188</v>
      </c>
      <c r="C328" t="s">
        <v>32</v>
      </c>
      <c r="D328">
        <v>1</v>
      </c>
      <c r="E328" t="s">
        <v>57</v>
      </c>
      <c r="F328">
        <v>0</v>
      </c>
      <c r="H328" t="s">
        <v>1192</v>
      </c>
      <c r="J328" t="s">
        <v>690</v>
      </c>
      <c r="K328" t="s">
        <v>100</v>
      </c>
      <c r="L328" t="s">
        <v>43</v>
      </c>
      <c r="M328" t="s">
        <v>503</v>
      </c>
      <c r="N328" t="s">
        <v>1193</v>
      </c>
      <c r="T328" t="s">
        <v>103</v>
      </c>
      <c r="U328" t="s">
        <v>1195</v>
      </c>
      <c r="V328" t="s">
        <v>61</v>
      </c>
      <c r="W328" t="s">
        <v>1196</v>
      </c>
    </row>
    <row r="329" spans="1:23" hidden="1" x14ac:dyDescent="0.2">
      <c r="A329" t="s">
        <v>1197</v>
      </c>
      <c r="B329" s="1">
        <f>VALUE(RIGHT(A329,LEN(A329)-3))</f>
        <v>189</v>
      </c>
      <c r="C329" t="s">
        <v>44</v>
      </c>
      <c r="D329">
        <v>0</v>
      </c>
      <c r="F329">
        <v>0</v>
      </c>
      <c r="H329" t="s">
        <v>1198</v>
      </c>
      <c r="J329" t="s">
        <v>338</v>
      </c>
      <c r="K329" t="s">
        <v>1199</v>
      </c>
      <c r="L329" t="s">
        <v>43</v>
      </c>
      <c r="M329" t="s">
        <v>503</v>
      </c>
      <c r="N329" t="s">
        <v>1187</v>
      </c>
      <c r="T329" t="s">
        <v>242</v>
      </c>
      <c r="U329" t="s">
        <v>1201</v>
      </c>
      <c r="V329" t="s">
        <v>48</v>
      </c>
      <c r="W329" t="s">
        <v>1202</v>
      </c>
    </row>
    <row r="330" spans="1:23" x14ac:dyDescent="0.2">
      <c r="A330" t="s">
        <v>1203</v>
      </c>
      <c r="B330" s="1">
        <f>VALUE(RIGHT(A330,LEN(A330)-3))</f>
        <v>190</v>
      </c>
      <c r="C330" t="s">
        <v>32</v>
      </c>
      <c r="D330">
        <v>1</v>
      </c>
      <c r="E330" t="s">
        <v>57</v>
      </c>
      <c r="F330">
        <v>0</v>
      </c>
      <c r="H330" t="s">
        <v>1204</v>
      </c>
      <c r="J330" t="s">
        <v>27</v>
      </c>
      <c r="K330" t="s">
        <v>1205</v>
      </c>
      <c r="L330" t="s">
        <v>43</v>
      </c>
      <c r="M330" t="s">
        <v>503</v>
      </c>
      <c r="N330" t="s">
        <v>1169</v>
      </c>
      <c r="T330" t="s">
        <v>242</v>
      </c>
      <c r="U330" t="s">
        <v>47</v>
      </c>
      <c r="V330" t="s">
        <v>61</v>
      </c>
      <c r="W330" t="s">
        <v>1207</v>
      </c>
    </row>
    <row r="331" spans="1:23" x14ac:dyDescent="0.2">
      <c r="A331" t="s">
        <v>1208</v>
      </c>
      <c r="B331" s="1">
        <f>VALUE(RIGHT(A331,LEN(A331)-3))</f>
        <v>191</v>
      </c>
      <c r="C331" t="s">
        <v>32</v>
      </c>
      <c r="D331">
        <v>2</v>
      </c>
      <c r="E331" t="s">
        <v>94</v>
      </c>
      <c r="F331">
        <v>4</v>
      </c>
      <c r="G331" t="s">
        <v>1213</v>
      </c>
      <c r="H331" t="s">
        <v>1209</v>
      </c>
      <c r="J331" t="s">
        <v>551</v>
      </c>
      <c r="K331" t="s">
        <v>552</v>
      </c>
      <c r="L331" t="s">
        <v>43</v>
      </c>
      <c r="M331" t="s">
        <v>503</v>
      </c>
      <c r="N331" t="s">
        <v>1210</v>
      </c>
      <c r="P331">
        <v>336</v>
      </c>
      <c r="Q331">
        <v>35</v>
      </c>
      <c r="T331" t="s">
        <v>36</v>
      </c>
      <c r="U331" t="s">
        <v>1214</v>
      </c>
      <c r="V331" t="s">
        <v>61</v>
      </c>
      <c r="W331" t="s">
        <v>1215</v>
      </c>
    </row>
    <row r="332" spans="1:23" x14ac:dyDescent="0.2">
      <c r="A332" t="s">
        <v>1221</v>
      </c>
      <c r="B332" s="1">
        <f>VALUE(RIGHT(A332,LEN(A332)-3))</f>
        <v>193</v>
      </c>
      <c r="C332" t="s">
        <v>32</v>
      </c>
      <c r="D332">
        <v>1</v>
      </c>
      <c r="E332" t="s">
        <v>57</v>
      </c>
      <c r="F332">
        <v>1</v>
      </c>
      <c r="G332" t="s">
        <v>58</v>
      </c>
      <c r="H332" t="s">
        <v>1222</v>
      </c>
      <c r="I332">
        <v>37</v>
      </c>
      <c r="J332" t="s">
        <v>1223</v>
      </c>
      <c r="K332" t="s">
        <v>259</v>
      </c>
      <c r="L332" t="s">
        <v>43</v>
      </c>
      <c r="M332" t="s">
        <v>503</v>
      </c>
      <c r="N332" t="s">
        <v>1187</v>
      </c>
      <c r="T332" t="s">
        <v>367</v>
      </c>
      <c r="U332" t="s">
        <v>368</v>
      </c>
      <c r="V332" t="s">
        <v>61</v>
      </c>
      <c r="W332" t="s">
        <v>1226</v>
      </c>
    </row>
    <row r="333" spans="1:23" x14ac:dyDescent="0.2">
      <c r="A333" t="s">
        <v>1227</v>
      </c>
      <c r="B333" s="1">
        <f>VALUE(RIGHT(A333,LEN(A333)-3))</f>
        <v>194</v>
      </c>
      <c r="C333" t="s">
        <v>32</v>
      </c>
      <c r="D333">
        <v>1</v>
      </c>
      <c r="E333" t="s">
        <v>57</v>
      </c>
      <c r="F333">
        <v>0</v>
      </c>
      <c r="H333" t="s">
        <v>1228</v>
      </c>
      <c r="J333" t="s">
        <v>112</v>
      </c>
      <c r="K333" t="s">
        <v>385</v>
      </c>
      <c r="L333" t="s">
        <v>43</v>
      </c>
      <c r="M333" t="s">
        <v>503</v>
      </c>
      <c r="N333" t="s">
        <v>520</v>
      </c>
      <c r="T333" t="s">
        <v>242</v>
      </c>
      <c r="U333" t="s">
        <v>786</v>
      </c>
      <c r="V333" t="s">
        <v>61</v>
      </c>
      <c r="W333" t="s">
        <v>1230</v>
      </c>
    </row>
    <row r="334" spans="1:23" x14ac:dyDescent="0.2">
      <c r="A334" t="s">
        <v>1231</v>
      </c>
      <c r="B334" s="1">
        <f>VALUE(RIGHT(A334,LEN(A334)-3))</f>
        <v>195</v>
      </c>
      <c r="C334" t="s">
        <v>32</v>
      </c>
      <c r="D334">
        <v>2</v>
      </c>
      <c r="E334" t="s">
        <v>57</v>
      </c>
      <c r="F334">
        <v>1</v>
      </c>
      <c r="G334" t="s">
        <v>123</v>
      </c>
      <c r="H334" t="s">
        <v>1232</v>
      </c>
      <c r="J334" t="s">
        <v>27</v>
      </c>
      <c r="K334" t="s">
        <v>530</v>
      </c>
      <c r="L334" t="s">
        <v>43</v>
      </c>
      <c r="M334" t="s">
        <v>503</v>
      </c>
      <c r="N334" t="s">
        <v>520</v>
      </c>
      <c r="T334" t="s">
        <v>242</v>
      </c>
      <c r="U334" t="s">
        <v>543</v>
      </c>
      <c r="V334" t="s">
        <v>61</v>
      </c>
      <c r="W334" t="s">
        <v>1235</v>
      </c>
    </row>
    <row r="335" spans="1:23" x14ac:dyDescent="0.2">
      <c r="A335" t="s">
        <v>1236</v>
      </c>
      <c r="B335" s="1">
        <f>VALUE(RIGHT(A335,LEN(A335)-3))</f>
        <v>196</v>
      </c>
      <c r="C335" t="s">
        <v>32</v>
      </c>
      <c r="D335">
        <v>1</v>
      </c>
      <c r="E335" t="s">
        <v>57</v>
      </c>
      <c r="F335">
        <v>2</v>
      </c>
      <c r="G335" t="s">
        <v>444</v>
      </c>
      <c r="H335" t="s">
        <v>1237</v>
      </c>
      <c r="J335" t="s">
        <v>178</v>
      </c>
      <c r="K335" t="s">
        <v>259</v>
      </c>
      <c r="L335" t="s">
        <v>43</v>
      </c>
      <c r="M335" t="s">
        <v>503</v>
      </c>
      <c r="N335" t="s">
        <v>1238</v>
      </c>
      <c r="T335" t="s">
        <v>103</v>
      </c>
      <c r="U335" t="s">
        <v>851</v>
      </c>
      <c r="V335" t="s">
        <v>61</v>
      </c>
      <c r="W335" t="s">
        <v>1241</v>
      </c>
    </row>
    <row r="336" spans="1:23" x14ac:dyDescent="0.2">
      <c r="A336" t="s">
        <v>1242</v>
      </c>
      <c r="B336" s="1">
        <f>VALUE(RIGHT(A336,LEN(A336)-3))</f>
        <v>197</v>
      </c>
      <c r="C336" t="s">
        <v>32</v>
      </c>
      <c r="D336">
        <v>1</v>
      </c>
      <c r="E336" t="s">
        <v>57</v>
      </c>
      <c r="F336">
        <v>0</v>
      </c>
      <c r="H336" t="s">
        <v>1243</v>
      </c>
      <c r="I336">
        <v>37</v>
      </c>
      <c r="J336" t="s">
        <v>338</v>
      </c>
      <c r="K336" t="s">
        <v>264</v>
      </c>
      <c r="L336" t="s">
        <v>43</v>
      </c>
      <c r="M336" t="s">
        <v>503</v>
      </c>
      <c r="N336" t="s">
        <v>1187</v>
      </c>
      <c r="O336">
        <v>4</v>
      </c>
      <c r="T336" t="s">
        <v>242</v>
      </c>
      <c r="U336" t="s">
        <v>786</v>
      </c>
      <c r="V336" t="s">
        <v>48</v>
      </c>
      <c r="W336" t="s">
        <v>1245</v>
      </c>
    </row>
    <row r="337" spans="1:23" x14ac:dyDescent="0.2">
      <c r="A337" t="s">
        <v>1246</v>
      </c>
      <c r="B337" s="1">
        <f>VALUE(RIGHT(A337,LEN(A337)-3))</f>
        <v>198</v>
      </c>
      <c r="C337" t="s">
        <v>32</v>
      </c>
      <c r="D337">
        <v>1</v>
      </c>
      <c r="E337" t="s">
        <v>57</v>
      </c>
      <c r="F337">
        <v>3</v>
      </c>
      <c r="G337" t="s">
        <v>1251</v>
      </c>
      <c r="H337" t="s">
        <v>1247</v>
      </c>
      <c r="J337" t="s">
        <v>178</v>
      </c>
      <c r="K337" t="s">
        <v>1050</v>
      </c>
      <c r="L337" t="s">
        <v>43</v>
      </c>
      <c r="M337" t="s">
        <v>503</v>
      </c>
      <c r="N337" t="s">
        <v>1248</v>
      </c>
      <c r="P337">
        <v>70</v>
      </c>
      <c r="Q337">
        <v>10</v>
      </c>
      <c r="T337" t="s">
        <v>242</v>
      </c>
      <c r="U337" t="s">
        <v>647</v>
      </c>
      <c r="V337" t="s">
        <v>48</v>
      </c>
      <c r="W337" t="s">
        <v>1252</v>
      </c>
    </row>
    <row r="338" spans="1:23" x14ac:dyDescent="0.2">
      <c r="A338" t="s">
        <v>1257</v>
      </c>
      <c r="B338" s="1">
        <f>VALUE(RIGHT(A338,LEN(A338)-3))</f>
        <v>200</v>
      </c>
      <c r="C338" t="s">
        <v>32</v>
      </c>
      <c r="D338">
        <v>1</v>
      </c>
      <c r="E338" t="s">
        <v>57</v>
      </c>
      <c r="F338">
        <v>3</v>
      </c>
      <c r="G338" t="s">
        <v>1261</v>
      </c>
      <c r="H338" t="s">
        <v>1258</v>
      </c>
      <c r="J338" t="s">
        <v>178</v>
      </c>
      <c r="K338" t="s">
        <v>259</v>
      </c>
      <c r="L338" t="s">
        <v>43</v>
      </c>
      <c r="M338" t="s">
        <v>503</v>
      </c>
      <c r="N338" t="s">
        <v>1248</v>
      </c>
      <c r="P338">
        <v>200</v>
      </c>
      <c r="Q338">
        <v>10</v>
      </c>
      <c r="R338">
        <v>1500</v>
      </c>
      <c r="S338">
        <v>40</v>
      </c>
      <c r="T338" t="s">
        <v>103</v>
      </c>
      <c r="U338" t="s">
        <v>47</v>
      </c>
      <c r="V338" t="s">
        <v>753</v>
      </c>
      <c r="W338" t="s">
        <v>1262</v>
      </c>
    </row>
    <row r="339" spans="1:23" x14ac:dyDescent="0.2">
      <c r="A339" t="s">
        <v>1263</v>
      </c>
      <c r="B339" s="1">
        <f>VALUE(RIGHT(A339,LEN(A339)-3))</f>
        <v>201</v>
      </c>
      <c r="C339" t="s">
        <v>32</v>
      </c>
      <c r="D339">
        <v>1</v>
      </c>
      <c r="E339" t="s">
        <v>57</v>
      </c>
      <c r="F339">
        <v>1</v>
      </c>
      <c r="G339" t="s">
        <v>68</v>
      </c>
      <c r="H339" t="s">
        <v>1264</v>
      </c>
      <c r="J339" t="s">
        <v>1265</v>
      </c>
      <c r="K339" t="s">
        <v>1266</v>
      </c>
      <c r="L339" t="s">
        <v>43</v>
      </c>
      <c r="M339" t="s">
        <v>503</v>
      </c>
      <c r="N339" t="s">
        <v>1169</v>
      </c>
      <c r="T339" t="s">
        <v>103</v>
      </c>
      <c r="U339" t="s">
        <v>845</v>
      </c>
      <c r="V339" t="s">
        <v>61</v>
      </c>
      <c r="W339" t="s">
        <v>1268</v>
      </c>
    </row>
    <row r="340" spans="1:23" hidden="1" x14ac:dyDescent="0.2">
      <c r="A340" t="s">
        <v>1269</v>
      </c>
      <c r="B340" s="1">
        <f>VALUE(RIGHT(A340,LEN(A340)-3))</f>
        <v>202</v>
      </c>
      <c r="C340" t="s">
        <v>44</v>
      </c>
      <c r="D340">
        <v>0</v>
      </c>
      <c r="F340">
        <v>0</v>
      </c>
      <c r="H340" t="s">
        <v>1270</v>
      </c>
      <c r="J340" t="s">
        <v>551</v>
      </c>
      <c r="K340" t="s">
        <v>1271</v>
      </c>
      <c r="L340" t="s">
        <v>43</v>
      </c>
      <c r="M340" t="s">
        <v>503</v>
      </c>
      <c r="N340" t="s">
        <v>520</v>
      </c>
      <c r="T340" t="s">
        <v>242</v>
      </c>
      <c r="U340" t="s">
        <v>1273</v>
      </c>
      <c r="V340" t="s">
        <v>1274</v>
      </c>
      <c r="W340" t="s">
        <v>1275</v>
      </c>
    </row>
    <row r="341" spans="1:23" x14ac:dyDescent="0.2">
      <c r="A341" t="s">
        <v>1276</v>
      </c>
      <c r="B341" s="1">
        <f>VALUE(RIGHT(A341,LEN(A341)-3))</f>
        <v>203</v>
      </c>
      <c r="C341" t="s">
        <v>32</v>
      </c>
      <c r="D341">
        <v>2</v>
      </c>
      <c r="E341" t="s">
        <v>94</v>
      </c>
      <c r="F341">
        <v>5</v>
      </c>
      <c r="G341" t="s">
        <v>1281</v>
      </c>
      <c r="H341" t="s">
        <v>1277</v>
      </c>
      <c r="J341" t="s">
        <v>690</v>
      </c>
      <c r="K341" t="s">
        <v>530</v>
      </c>
      <c r="L341" t="s">
        <v>43</v>
      </c>
      <c r="M341" t="s">
        <v>503</v>
      </c>
      <c r="N341" t="s">
        <v>1278</v>
      </c>
      <c r="T341" t="s">
        <v>242</v>
      </c>
      <c r="U341" t="s">
        <v>1282</v>
      </c>
      <c r="V341" t="s">
        <v>779</v>
      </c>
      <c r="W341" t="s">
        <v>1283</v>
      </c>
    </row>
    <row r="342" spans="1:23" x14ac:dyDescent="0.2">
      <c r="A342" t="s">
        <v>1284</v>
      </c>
      <c r="B342" s="1">
        <f>VALUE(RIGHT(A342,LEN(A342)-3))</f>
        <v>204</v>
      </c>
      <c r="C342" t="s">
        <v>32</v>
      </c>
      <c r="D342">
        <v>1</v>
      </c>
      <c r="E342" t="s">
        <v>57</v>
      </c>
      <c r="F342">
        <v>0</v>
      </c>
      <c r="H342" t="s">
        <v>1285</v>
      </c>
      <c r="J342" t="s">
        <v>338</v>
      </c>
      <c r="K342" t="s">
        <v>259</v>
      </c>
      <c r="L342" t="s">
        <v>43</v>
      </c>
      <c r="M342" t="s">
        <v>503</v>
      </c>
      <c r="N342" t="s">
        <v>1051</v>
      </c>
      <c r="T342" t="s">
        <v>103</v>
      </c>
      <c r="U342" t="s">
        <v>851</v>
      </c>
      <c r="V342" t="s">
        <v>48</v>
      </c>
      <c r="W342" t="s">
        <v>1288</v>
      </c>
    </row>
    <row r="343" spans="1:23" x14ac:dyDescent="0.2">
      <c r="A343" t="s">
        <v>1289</v>
      </c>
      <c r="B343" s="1">
        <f>VALUE(RIGHT(A343,LEN(A343)-3))</f>
        <v>205</v>
      </c>
      <c r="C343" t="s">
        <v>32</v>
      </c>
      <c r="D343">
        <v>1</v>
      </c>
      <c r="E343" t="s">
        <v>57</v>
      </c>
      <c r="F343">
        <v>0</v>
      </c>
      <c r="H343" t="s">
        <v>1290</v>
      </c>
      <c r="J343" t="s">
        <v>357</v>
      </c>
      <c r="K343" t="s">
        <v>1291</v>
      </c>
      <c r="L343" t="s">
        <v>43</v>
      </c>
      <c r="M343" t="s">
        <v>503</v>
      </c>
      <c r="N343" t="s">
        <v>520</v>
      </c>
      <c r="T343" t="s">
        <v>242</v>
      </c>
      <c r="U343" t="s">
        <v>786</v>
      </c>
      <c r="V343" t="s">
        <v>48</v>
      </c>
      <c r="W343" t="s">
        <v>1293</v>
      </c>
    </row>
    <row r="344" spans="1:23" x14ac:dyDescent="0.2">
      <c r="A344" t="s">
        <v>1306</v>
      </c>
      <c r="B344" s="1">
        <f>VALUE(RIGHT(A344,LEN(A344)-3))</f>
        <v>208</v>
      </c>
      <c r="C344" t="s">
        <v>32</v>
      </c>
      <c r="D344">
        <v>1</v>
      </c>
      <c r="E344" t="s">
        <v>57</v>
      </c>
      <c r="F344">
        <v>0</v>
      </c>
      <c r="H344" t="s">
        <v>1307</v>
      </c>
      <c r="J344" t="s">
        <v>178</v>
      </c>
      <c r="K344" t="s">
        <v>552</v>
      </c>
      <c r="L344" t="s">
        <v>43</v>
      </c>
      <c r="M344" t="s">
        <v>503</v>
      </c>
      <c r="N344" t="s">
        <v>520</v>
      </c>
      <c r="T344" t="s">
        <v>103</v>
      </c>
      <c r="U344" t="s">
        <v>104</v>
      </c>
      <c r="V344" t="s">
        <v>48</v>
      </c>
      <c r="W344" t="s">
        <v>1310</v>
      </c>
    </row>
    <row r="345" spans="1:23" x14ac:dyDescent="0.2">
      <c r="A345" t="s">
        <v>1311</v>
      </c>
      <c r="B345" s="1">
        <f>VALUE(RIGHT(A345,LEN(A345)-3))</f>
        <v>209</v>
      </c>
      <c r="C345" t="s">
        <v>32</v>
      </c>
      <c r="D345">
        <v>1</v>
      </c>
      <c r="E345" t="s">
        <v>35</v>
      </c>
      <c r="F345">
        <v>1</v>
      </c>
      <c r="G345" t="s">
        <v>123</v>
      </c>
      <c r="H345" t="s">
        <v>1312</v>
      </c>
      <c r="J345" t="s">
        <v>338</v>
      </c>
      <c r="K345" t="s">
        <v>1313</v>
      </c>
      <c r="L345" t="s">
        <v>43</v>
      </c>
      <c r="M345" t="s">
        <v>503</v>
      </c>
      <c r="N345" t="s">
        <v>520</v>
      </c>
      <c r="T345" t="s">
        <v>242</v>
      </c>
      <c r="U345" t="s">
        <v>47</v>
      </c>
      <c r="V345" t="s">
        <v>61</v>
      </c>
      <c r="W345" t="s">
        <v>1316</v>
      </c>
    </row>
    <row r="346" spans="1:23" x14ac:dyDescent="0.2">
      <c r="A346" t="s">
        <v>1317</v>
      </c>
      <c r="B346" s="1">
        <f>VALUE(RIGHT(A346,LEN(A346)-3))</f>
        <v>210</v>
      </c>
      <c r="C346" t="s">
        <v>32</v>
      </c>
      <c r="D346">
        <v>1</v>
      </c>
      <c r="E346" t="s">
        <v>57</v>
      </c>
      <c r="F346">
        <v>1</v>
      </c>
      <c r="G346" t="s">
        <v>68</v>
      </c>
      <c r="H346" t="s">
        <v>1318</v>
      </c>
      <c r="J346" t="s">
        <v>217</v>
      </c>
      <c r="K346" t="s">
        <v>1199</v>
      </c>
      <c r="L346" t="s">
        <v>43</v>
      </c>
      <c r="M346" t="s">
        <v>503</v>
      </c>
      <c r="N346" t="s">
        <v>1187</v>
      </c>
      <c r="T346" t="s">
        <v>242</v>
      </c>
      <c r="U346" t="s">
        <v>1320</v>
      </c>
      <c r="V346" t="s">
        <v>48</v>
      </c>
      <c r="W346" t="s">
        <v>1321</v>
      </c>
    </row>
    <row r="347" spans="1:23" x14ac:dyDescent="0.2">
      <c r="A347" t="s">
        <v>1322</v>
      </c>
      <c r="B347" s="1">
        <f>VALUE(RIGHT(A347,LEN(A347)-3))</f>
        <v>211</v>
      </c>
      <c r="C347" t="s">
        <v>32</v>
      </c>
      <c r="D347">
        <v>1</v>
      </c>
      <c r="E347" t="s">
        <v>35</v>
      </c>
      <c r="F347">
        <v>0</v>
      </c>
      <c r="H347" t="s">
        <v>1323</v>
      </c>
      <c r="J347" t="s">
        <v>178</v>
      </c>
      <c r="K347" t="s">
        <v>490</v>
      </c>
      <c r="L347" t="s">
        <v>43</v>
      </c>
      <c r="M347" t="s">
        <v>503</v>
      </c>
      <c r="N347" t="s">
        <v>1090</v>
      </c>
      <c r="T347" t="s">
        <v>242</v>
      </c>
      <c r="U347" t="s">
        <v>786</v>
      </c>
      <c r="V347" t="s">
        <v>61</v>
      </c>
      <c r="W347" t="s">
        <v>1326</v>
      </c>
    </row>
    <row r="348" spans="1:23" hidden="1" x14ac:dyDescent="0.2">
      <c r="A348" t="s">
        <v>1327</v>
      </c>
      <c r="B348" s="1">
        <f>VALUE(RIGHT(A348,LEN(A348)-3))</f>
        <v>212</v>
      </c>
      <c r="C348" t="s">
        <v>44</v>
      </c>
      <c r="D348">
        <v>0</v>
      </c>
      <c r="F348">
        <v>0</v>
      </c>
      <c r="H348" t="s">
        <v>1328</v>
      </c>
      <c r="J348" t="s">
        <v>1223</v>
      </c>
      <c r="K348" t="s">
        <v>1137</v>
      </c>
      <c r="L348" t="s">
        <v>43</v>
      </c>
      <c r="M348" t="s">
        <v>503</v>
      </c>
      <c r="N348" t="s">
        <v>520</v>
      </c>
      <c r="T348" t="s">
        <v>242</v>
      </c>
      <c r="U348" t="s">
        <v>47</v>
      </c>
      <c r="V348" t="s">
        <v>48</v>
      </c>
      <c r="W348" t="s">
        <v>1330</v>
      </c>
    </row>
    <row r="349" spans="1:23" x14ac:dyDescent="0.2">
      <c r="A349" t="s">
        <v>1331</v>
      </c>
      <c r="B349" s="1">
        <f>VALUE(RIGHT(A349,LEN(A349)-3))</f>
        <v>213</v>
      </c>
      <c r="C349" t="s">
        <v>32</v>
      </c>
      <c r="D349">
        <v>1</v>
      </c>
      <c r="E349" t="s">
        <v>57</v>
      </c>
      <c r="F349">
        <v>1</v>
      </c>
      <c r="G349" t="s">
        <v>1105</v>
      </c>
      <c r="H349" t="s">
        <v>1332</v>
      </c>
      <c r="J349" t="s">
        <v>178</v>
      </c>
      <c r="K349" t="s">
        <v>1333</v>
      </c>
      <c r="L349" t="s">
        <v>43</v>
      </c>
      <c r="M349" t="s">
        <v>503</v>
      </c>
      <c r="N349" t="s">
        <v>520</v>
      </c>
      <c r="T349" t="s">
        <v>242</v>
      </c>
      <c r="U349" t="s">
        <v>786</v>
      </c>
      <c r="V349" t="s">
        <v>48</v>
      </c>
      <c r="W349" t="s">
        <v>1335</v>
      </c>
    </row>
    <row r="350" spans="1:23" hidden="1" x14ac:dyDescent="0.2">
      <c r="A350" t="s">
        <v>1336</v>
      </c>
      <c r="B350" s="1">
        <f>VALUE(RIGHT(A350,LEN(A350)-3))</f>
        <v>214</v>
      </c>
      <c r="C350" t="s">
        <v>44</v>
      </c>
      <c r="D350">
        <v>0</v>
      </c>
      <c r="F350">
        <v>0</v>
      </c>
      <c r="H350" t="s">
        <v>1337</v>
      </c>
      <c r="J350" t="s">
        <v>127</v>
      </c>
      <c r="K350" t="s">
        <v>151</v>
      </c>
      <c r="L350" t="s">
        <v>43</v>
      </c>
      <c r="M350" t="s">
        <v>503</v>
      </c>
      <c r="N350" t="s">
        <v>1338</v>
      </c>
      <c r="T350" t="s">
        <v>242</v>
      </c>
      <c r="U350" t="s">
        <v>47</v>
      </c>
      <c r="V350" t="s">
        <v>61</v>
      </c>
      <c r="W350" t="s">
        <v>1340</v>
      </c>
    </row>
    <row r="351" spans="1:23" x14ac:dyDescent="0.2">
      <c r="A351" t="s">
        <v>1341</v>
      </c>
      <c r="B351" s="1">
        <f>VALUE(RIGHT(A351,LEN(A351)-3))</f>
        <v>215</v>
      </c>
      <c r="C351" t="s">
        <v>32</v>
      </c>
      <c r="D351">
        <v>1</v>
      </c>
      <c r="E351" t="s">
        <v>57</v>
      </c>
      <c r="F351">
        <v>0</v>
      </c>
      <c r="H351" t="s">
        <v>1342</v>
      </c>
      <c r="J351" t="s">
        <v>402</v>
      </c>
      <c r="K351" t="s">
        <v>259</v>
      </c>
      <c r="L351" t="s">
        <v>43</v>
      </c>
      <c r="M351" t="s">
        <v>503</v>
      </c>
      <c r="N351" t="s">
        <v>1238</v>
      </c>
      <c r="T351" t="s">
        <v>242</v>
      </c>
      <c r="U351" t="s">
        <v>47</v>
      </c>
      <c r="V351" t="s">
        <v>61</v>
      </c>
      <c r="W351" t="s">
        <v>1345</v>
      </c>
    </row>
    <row r="352" spans="1:23" x14ac:dyDescent="0.2">
      <c r="A352" t="s">
        <v>1346</v>
      </c>
      <c r="B352" s="1">
        <f>VALUE(RIGHT(A352,LEN(A352)-3))</f>
        <v>216</v>
      </c>
      <c r="C352" t="s">
        <v>32</v>
      </c>
      <c r="D352">
        <v>1</v>
      </c>
      <c r="E352" t="s">
        <v>35</v>
      </c>
      <c r="F352">
        <v>1</v>
      </c>
      <c r="G352" t="s">
        <v>123</v>
      </c>
      <c r="H352" t="s">
        <v>1347</v>
      </c>
      <c r="J352" t="s">
        <v>338</v>
      </c>
      <c r="K352" t="s">
        <v>1313</v>
      </c>
      <c r="L352" t="s">
        <v>43</v>
      </c>
      <c r="M352" t="s">
        <v>503</v>
      </c>
      <c r="N352" t="s">
        <v>1187</v>
      </c>
      <c r="T352" t="s">
        <v>242</v>
      </c>
      <c r="U352" t="s">
        <v>47</v>
      </c>
      <c r="V352" t="s">
        <v>61</v>
      </c>
      <c r="W352" t="s">
        <v>1349</v>
      </c>
    </row>
    <row r="353" spans="1:23" x14ac:dyDescent="0.2">
      <c r="A353" t="s">
        <v>1350</v>
      </c>
      <c r="B353" s="1">
        <f>VALUE(RIGHT(A353,LEN(A353)-3))</f>
        <v>217</v>
      </c>
      <c r="C353" t="s">
        <v>32</v>
      </c>
      <c r="D353">
        <v>1</v>
      </c>
      <c r="E353" t="s">
        <v>35</v>
      </c>
      <c r="F353">
        <v>1</v>
      </c>
      <c r="G353" t="s">
        <v>1354</v>
      </c>
      <c r="H353" t="s">
        <v>1351</v>
      </c>
      <c r="J353" t="s">
        <v>551</v>
      </c>
      <c r="K353" t="s">
        <v>697</v>
      </c>
      <c r="L353" t="s">
        <v>43</v>
      </c>
      <c r="M353" t="s">
        <v>503</v>
      </c>
      <c r="N353" t="s">
        <v>1187</v>
      </c>
      <c r="T353" t="s">
        <v>242</v>
      </c>
      <c r="U353" t="s">
        <v>47</v>
      </c>
      <c r="V353" t="s">
        <v>341</v>
      </c>
      <c r="W353" t="s">
        <v>1355</v>
      </c>
    </row>
    <row r="354" spans="1:23" x14ac:dyDescent="0.2">
      <c r="A354" t="s">
        <v>1356</v>
      </c>
      <c r="B354" s="1">
        <f>VALUE(RIGHT(A354,LEN(A354)-3))</f>
        <v>218</v>
      </c>
      <c r="C354" t="s">
        <v>32</v>
      </c>
      <c r="D354">
        <v>1</v>
      </c>
      <c r="E354" t="s">
        <v>57</v>
      </c>
      <c r="F354">
        <v>1</v>
      </c>
      <c r="G354" t="s">
        <v>291</v>
      </c>
      <c r="H354" t="s">
        <v>1357</v>
      </c>
      <c r="J354" t="s">
        <v>338</v>
      </c>
      <c r="K354" t="s">
        <v>1313</v>
      </c>
      <c r="L354" t="s">
        <v>43</v>
      </c>
      <c r="M354" t="s">
        <v>503</v>
      </c>
      <c r="N354" t="s">
        <v>1051</v>
      </c>
      <c r="T354" t="s">
        <v>242</v>
      </c>
      <c r="U354" t="s">
        <v>1359</v>
      </c>
      <c r="V354" t="s">
        <v>48</v>
      </c>
      <c r="W354" t="s">
        <v>1360</v>
      </c>
    </row>
    <row r="355" spans="1:23" x14ac:dyDescent="0.2">
      <c r="A355" t="s">
        <v>1361</v>
      </c>
      <c r="B355" s="1">
        <f>VALUE(RIGHT(A355,LEN(A355)-3))</f>
        <v>219</v>
      </c>
      <c r="C355" t="s">
        <v>32</v>
      </c>
      <c r="D355">
        <v>2</v>
      </c>
      <c r="E355" t="s">
        <v>94</v>
      </c>
      <c r="F355">
        <v>2</v>
      </c>
      <c r="G355" t="s">
        <v>123</v>
      </c>
      <c r="H355" t="s">
        <v>1362</v>
      </c>
      <c r="J355" t="s">
        <v>27</v>
      </c>
      <c r="K355" t="s">
        <v>1199</v>
      </c>
      <c r="L355" t="s">
        <v>43</v>
      </c>
      <c r="M355" t="s">
        <v>503</v>
      </c>
      <c r="N355" t="s">
        <v>1169</v>
      </c>
      <c r="T355" t="s">
        <v>103</v>
      </c>
      <c r="U355" t="s">
        <v>934</v>
      </c>
      <c r="V355" t="s">
        <v>61</v>
      </c>
      <c r="W355" t="s">
        <v>1365</v>
      </c>
    </row>
    <row r="356" spans="1:23" x14ac:dyDescent="0.2">
      <c r="A356" t="s">
        <v>1366</v>
      </c>
      <c r="B356" s="1">
        <f>VALUE(RIGHT(A356,LEN(A356)-3))</f>
        <v>220</v>
      </c>
      <c r="C356" t="s">
        <v>32</v>
      </c>
      <c r="D356">
        <v>3</v>
      </c>
      <c r="E356" t="s">
        <v>94</v>
      </c>
      <c r="F356">
        <v>4</v>
      </c>
      <c r="G356" t="s">
        <v>907</v>
      </c>
      <c r="H356" t="s">
        <v>1367</v>
      </c>
      <c r="J356" t="s">
        <v>27</v>
      </c>
      <c r="K356" t="s">
        <v>259</v>
      </c>
      <c r="L356" t="s">
        <v>43</v>
      </c>
      <c r="M356" t="s">
        <v>503</v>
      </c>
      <c r="N356" t="s">
        <v>1193</v>
      </c>
      <c r="P356">
        <v>23</v>
      </c>
      <c r="T356" t="s">
        <v>173</v>
      </c>
      <c r="U356" t="s">
        <v>647</v>
      </c>
      <c r="V356" t="s">
        <v>61</v>
      </c>
      <c r="W356" t="s">
        <v>1370</v>
      </c>
    </row>
    <row r="357" spans="1:23" x14ac:dyDescent="0.2">
      <c r="A357" t="s">
        <v>1371</v>
      </c>
      <c r="B357" s="1">
        <f>VALUE(RIGHT(A357,LEN(A357)-3))</f>
        <v>221</v>
      </c>
      <c r="C357" t="s">
        <v>32</v>
      </c>
      <c r="D357">
        <v>1</v>
      </c>
      <c r="E357" t="s">
        <v>57</v>
      </c>
      <c r="F357">
        <v>0</v>
      </c>
      <c r="H357" t="s">
        <v>1372</v>
      </c>
      <c r="J357" t="s">
        <v>722</v>
      </c>
      <c r="K357" t="s">
        <v>1373</v>
      </c>
      <c r="L357" t="s">
        <v>43</v>
      </c>
      <c r="M357" t="s">
        <v>503</v>
      </c>
      <c r="N357" t="s">
        <v>1374</v>
      </c>
      <c r="T357" t="s">
        <v>242</v>
      </c>
      <c r="U357" t="s">
        <v>786</v>
      </c>
      <c r="V357" t="s">
        <v>61</v>
      </c>
      <c r="W357" t="s">
        <v>1377</v>
      </c>
    </row>
    <row r="358" spans="1:23" x14ac:dyDescent="0.2">
      <c r="A358" t="s">
        <v>1378</v>
      </c>
      <c r="B358" s="1">
        <f>VALUE(RIGHT(A358,LEN(A358)-3))</f>
        <v>222</v>
      </c>
      <c r="C358" t="s">
        <v>32</v>
      </c>
      <c r="D358">
        <v>2</v>
      </c>
      <c r="E358" t="s">
        <v>94</v>
      </c>
      <c r="F358">
        <v>1</v>
      </c>
      <c r="G358" t="s">
        <v>58</v>
      </c>
      <c r="H358" t="s">
        <v>1379</v>
      </c>
      <c r="J358" t="s">
        <v>217</v>
      </c>
      <c r="K358" t="s">
        <v>259</v>
      </c>
      <c r="L358" t="s">
        <v>43</v>
      </c>
      <c r="M358" t="s">
        <v>503</v>
      </c>
      <c r="N358" t="s">
        <v>1380</v>
      </c>
      <c r="P358">
        <v>230</v>
      </c>
      <c r="R358">
        <v>2000</v>
      </c>
      <c r="T358" t="s">
        <v>103</v>
      </c>
      <c r="U358" t="s">
        <v>104</v>
      </c>
      <c r="V358" t="s">
        <v>61</v>
      </c>
      <c r="W358" t="s">
        <v>1383</v>
      </c>
    </row>
    <row r="359" spans="1:23" hidden="1" x14ac:dyDescent="0.2">
      <c r="A359" t="s">
        <v>1389</v>
      </c>
      <c r="B359" s="1">
        <f>VALUE(RIGHT(A359,LEN(A359)-3))</f>
        <v>224</v>
      </c>
      <c r="C359" t="s">
        <v>44</v>
      </c>
      <c r="D359">
        <v>0</v>
      </c>
      <c r="F359">
        <v>0</v>
      </c>
      <c r="H359" t="s">
        <v>1390</v>
      </c>
      <c r="J359" t="s">
        <v>127</v>
      </c>
      <c r="K359" t="s">
        <v>264</v>
      </c>
      <c r="L359" t="s">
        <v>43</v>
      </c>
      <c r="M359" t="s">
        <v>503</v>
      </c>
      <c r="N359" t="s">
        <v>1391</v>
      </c>
      <c r="T359" t="s">
        <v>242</v>
      </c>
      <c r="U359" t="s">
        <v>1393</v>
      </c>
      <c r="V359" t="s">
        <v>61</v>
      </c>
      <c r="W359" t="s">
        <v>1394</v>
      </c>
    </row>
    <row r="360" spans="1:23" x14ac:dyDescent="0.2">
      <c r="A360" t="s">
        <v>1402</v>
      </c>
      <c r="B360" s="1">
        <f>VALUE(RIGHT(A360,LEN(A360)-3))</f>
        <v>226</v>
      </c>
      <c r="C360" t="s">
        <v>32</v>
      </c>
      <c r="D360">
        <v>2</v>
      </c>
      <c r="E360" t="s">
        <v>57</v>
      </c>
      <c r="F360">
        <v>2</v>
      </c>
      <c r="G360" t="s">
        <v>241</v>
      </c>
      <c r="H360" t="s">
        <v>1403</v>
      </c>
      <c r="J360" t="s">
        <v>27</v>
      </c>
      <c r="K360" t="s">
        <v>1404</v>
      </c>
      <c r="L360" t="s">
        <v>43</v>
      </c>
      <c r="M360" t="s">
        <v>503</v>
      </c>
      <c r="N360" t="s">
        <v>520</v>
      </c>
      <c r="T360" t="s">
        <v>173</v>
      </c>
      <c r="U360" t="s">
        <v>1407</v>
      </c>
      <c r="V360" t="s">
        <v>61</v>
      </c>
      <c r="W360" t="s">
        <v>1408</v>
      </c>
    </row>
    <row r="361" spans="1:23" hidden="1" x14ac:dyDescent="0.2">
      <c r="A361" t="s">
        <v>1409</v>
      </c>
      <c r="B361" s="1">
        <f>VALUE(RIGHT(A361,LEN(A361)-3))</f>
        <v>227</v>
      </c>
      <c r="C361" t="s">
        <v>44</v>
      </c>
      <c r="D361">
        <v>0</v>
      </c>
      <c r="F361">
        <v>0</v>
      </c>
      <c r="H361" t="s">
        <v>1410</v>
      </c>
      <c r="I361">
        <v>38</v>
      </c>
      <c r="J361" t="s">
        <v>27</v>
      </c>
      <c r="K361" t="s">
        <v>530</v>
      </c>
      <c r="L361" t="s">
        <v>43</v>
      </c>
      <c r="M361" t="s">
        <v>503</v>
      </c>
      <c r="N361" t="s">
        <v>1391</v>
      </c>
      <c r="T361" t="s">
        <v>242</v>
      </c>
      <c r="U361" t="s">
        <v>194</v>
      </c>
      <c r="V361" t="s">
        <v>194</v>
      </c>
      <c r="W361" t="s">
        <v>1412</v>
      </c>
    </row>
    <row r="362" spans="1:23" x14ac:dyDescent="0.2">
      <c r="A362" t="s">
        <v>1424</v>
      </c>
      <c r="B362" s="1">
        <f>VALUE(RIGHT(A362,LEN(A362)-3))</f>
        <v>230</v>
      </c>
      <c r="C362" t="s">
        <v>32</v>
      </c>
      <c r="D362">
        <v>1</v>
      </c>
      <c r="E362" t="s">
        <v>35</v>
      </c>
      <c r="F362">
        <v>0</v>
      </c>
      <c r="H362" t="s">
        <v>1425</v>
      </c>
      <c r="J362" t="s">
        <v>258</v>
      </c>
      <c r="K362" t="s">
        <v>822</v>
      </c>
      <c r="L362" t="s">
        <v>43</v>
      </c>
      <c r="M362" t="s">
        <v>503</v>
      </c>
      <c r="N362" t="s">
        <v>520</v>
      </c>
      <c r="T362" t="s">
        <v>242</v>
      </c>
      <c r="U362" t="s">
        <v>786</v>
      </c>
      <c r="V362" t="s">
        <v>61</v>
      </c>
      <c r="W362" t="s">
        <v>1427</v>
      </c>
    </row>
    <row r="363" spans="1:23" x14ac:dyDescent="0.2">
      <c r="A363" t="s">
        <v>1449</v>
      </c>
      <c r="B363" s="1">
        <f>VALUE(RIGHT(A363,LEN(A363)-3))</f>
        <v>235</v>
      </c>
      <c r="C363" t="s">
        <v>32</v>
      </c>
      <c r="D363">
        <v>1</v>
      </c>
      <c r="E363" t="s">
        <v>35</v>
      </c>
      <c r="F363">
        <v>2</v>
      </c>
      <c r="G363" t="s">
        <v>241</v>
      </c>
      <c r="H363" t="s">
        <v>1445</v>
      </c>
      <c r="J363" t="s">
        <v>178</v>
      </c>
      <c r="K363" t="s">
        <v>1450</v>
      </c>
      <c r="L363" t="s">
        <v>43</v>
      </c>
      <c r="M363" t="s">
        <v>503</v>
      </c>
      <c r="N363" t="s">
        <v>1210</v>
      </c>
      <c r="O363">
        <v>10</v>
      </c>
      <c r="T363" t="s">
        <v>173</v>
      </c>
      <c r="U363" t="s">
        <v>916</v>
      </c>
      <c r="V363" t="s">
        <v>1453</v>
      </c>
      <c r="W363" t="s">
        <v>1454</v>
      </c>
    </row>
    <row r="364" spans="1:23" x14ac:dyDescent="0.2">
      <c r="A364" t="s">
        <v>1461</v>
      </c>
      <c r="B364" s="1">
        <f>VALUE(RIGHT(A364,LEN(A364)-3))</f>
        <v>237</v>
      </c>
      <c r="C364" t="s">
        <v>32</v>
      </c>
      <c r="D364">
        <v>2</v>
      </c>
      <c r="E364" t="s">
        <v>57</v>
      </c>
      <c r="F364">
        <v>0</v>
      </c>
      <c r="H364" t="s">
        <v>1462</v>
      </c>
      <c r="I364">
        <v>38</v>
      </c>
      <c r="J364" t="s">
        <v>402</v>
      </c>
      <c r="K364" t="s">
        <v>385</v>
      </c>
      <c r="L364" t="s">
        <v>43</v>
      </c>
      <c r="M364" t="s">
        <v>503</v>
      </c>
      <c r="N364" t="s">
        <v>1187</v>
      </c>
      <c r="T364" t="s">
        <v>242</v>
      </c>
      <c r="U364" t="s">
        <v>1183</v>
      </c>
      <c r="V364" t="s">
        <v>61</v>
      </c>
      <c r="W364" t="s">
        <v>1465</v>
      </c>
    </row>
    <row r="365" spans="1:23" x14ac:dyDescent="0.2">
      <c r="A365" t="s">
        <v>1471</v>
      </c>
      <c r="B365" s="1">
        <f>VALUE(RIGHT(A365,LEN(A365)-3))</f>
        <v>239</v>
      </c>
      <c r="C365" t="s">
        <v>32</v>
      </c>
      <c r="D365">
        <v>1</v>
      </c>
      <c r="E365" t="s">
        <v>57</v>
      </c>
      <c r="F365">
        <v>1</v>
      </c>
      <c r="G365" t="s">
        <v>123</v>
      </c>
      <c r="H365" t="s">
        <v>1467</v>
      </c>
      <c r="J365" t="s">
        <v>120</v>
      </c>
      <c r="K365" t="s">
        <v>1199</v>
      </c>
      <c r="L365" t="s">
        <v>43</v>
      </c>
      <c r="M365" t="s">
        <v>503</v>
      </c>
      <c r="N365" t="s">
        <v>520</v>
      </c>
      <c r="T365" t="s">
        <v>242</v>
      </c>
      <c r="U365" t="s">
        <v>786</v>
      </c>
      <c r="V365" t="s">
        <v>61</v>
      </c>
      <c r="W365" t="s">
        <v>1474</v>
      </c>
    </row>
    <row r="366" spans="1:23" x14ac:dyDescent="0.2">
      <c r="A366" t="s">
        <v>1475</v>
      </c>
      <c r="B366" s="1">
        <f>VALUE(RIGHT(A366,LEN(A366)-3))</f>
        <v>240</v>
      </c>
      <c r="C366" t="s">
        <v>32</v>
      </c>
      <c r="D366">
        <v>1</v>
      </c>
      <c r="E366" t="s">
        <v>57</v>
      </c>
      <c r="F366">
        <v>1</v>
      </c>
      <c r="G366" t="s">
        <v>68</v>
      </c>
      <c r="H366" t="s">
        <v>1476</v>
      </c>
      <c r="J366" t="s">
        <v>178</v>
      </c>
      <c r="K366" t="s">
        <v>259</v>
      </c>
      <c r="L366" t="s">
        <v>43</v>
      </c>
      <c r="M366" t="s">
        <v>503</v>
      </c>
      <c r="N366" t="s">
        <v>520</v>
      </c>
      <c r="T366" t="s">
        <v>103</v>
      </c>
      <c r="U366" t="s">
        <v>845</v>
      </c>
      <c r="V366" t="s">
        <v>445</v>
      </c>
      <c r="W366" t="s">
        <v>1479</v>
      </c>
    </row>
    <row r="367" spans="1:23" x14ac:dyDescent="0.2">
      <c r="A367" t="s">
        <v>1485</v>
      </c>
      <c r="B367" s="1">
        <f>VALUE(RIGHT(A367,LEN(A367)-3))</f>
        <v>242</v>
      </c>
      <c r="C367" t="s">
        <v>32</v>
      </c>
      <c r="D367">
        <v>1</v>
      </c>
      <c r="E367" t="s">
        <v>57</v>
      </c>
      <c r="F367">
        <v>0</v>
      </c>
      <c r="H367" t="s">
        <v>1486</v>
      </c>
      <c r="I367">
        <v>26</v>
      </c>
      <c r="J367" t="s">
        <v>120</v>
      </c>
      <c r="K367" t="s">
        <v>300</v>
      </c>
      <c r="L367" t="s">
        <v>43</v>
      </c>
      <c r="M367" t="s">
        <v>503</v>
      </c>
      <c r="N367" t="s">
        <v>1391</v>
      </c>
      <c r="O367">
        <v>4</v>
      </c>
      <c r="T367" t="s">
        <v>103</v>
      </c>
      <c r="U367" t="s">
        <v>851</v>
      </c>
      <c r="V367" t="s">
        <v>61</v>
      </c>
      <c r="W367" t="s">
        <v>1488</v>
      </c>
    </row>
    <row r="368" spans="1:23" x14ac:dyDescent="0.2">
      <c r="A368" t="s">
        <v>1489</v>
      </c>
      <c r="B368" s="1">
        <f>VALUE(RIGHT(A368,LEN(A368)-3))</f>
        <v>243</v>
      </c>
      <c r="C368" t="s">
        <v>32</v>
      </c>
      <c r="D368">
        <v>1</v>
      </c>
      <c r="E368" t="s">
        <v>57</v>
      </c>
      <c r="F368">
        <v>0</v>
      </c>
      <c r="H368" t="s">
        <v>1490</v>
      </c>
      <c r="J368" t="s">
        <v>357</v>
      </c>
      <c r="K368" t="s">
        <v>1121</v>
      </c>
      <c r="L368" t="s">
        <v>43</v>
      </c>
      <c r="M368" t="s">
        <v>503</v>
      </c>
      <c r="N368" t="s">
        <v>1391</v>
      </c>
      <c r="T368" t="s">
        <v>242</v>
      </c>
      <c r="U368" t="s">
        <v>786</v>
      </c>
      <c r="V368" t="s">
        <v>61</v>
      </c>
      <c r="W368" t="s">
        <v>1492</v>
      </c>
    </row>
    <row r="369" spans="1:23" x14ac:dyDescent="0.2">
      <c r="A369" t="s">
        <v>1499</v>
      </c>
      <c r="B369" s="1">
        <f>VALUE(RIGHT(A369,LEN(A369)-3))</f>
        <v>245</v>
      </c>
      <c r="C369" t="s">
        <v>32</v>
      </c>
      <c r="D369">
        <v>1</v>
      </c>
      <c r="E369" t="s">
        <v>57</v>
      </c>
      <c r="F369">
        <v>0</v>
      </c>
      <c r="H369" t="s">
        <v>1500</v>
      </c>
      <c r="J369" t="s">
        <v>1501</v>
      </c>
      <c r="K369" t="s">
        <v>1271</v>
      </c>
      <c r="L369" t="s">
        <v>43</v>
      </c>
      <c r="M369" t="s">
        <v>503</v>
      </c>
      <c r="N369" t="s">
        <v>1502</v>
      </c>
      <c r="O369">
        <v>11</v>
      </c>
      <c r="T369" t="s">
        <v>242</v>
      </c>
      <c r="U369" t="s">
        <v>786</v>
      </c>
      <c r="V369" t="s">
        <v>61</v>
      </c>
      <c r="W369" t="s">
        <v>1505</v>
      </c>
    </row>
    <row r="370" spans="1:23" x14ac:dyDescent="0.2">
      <c r="A370" t="s">
        <v>1506</v>
      </c>
      <c r="B370" s="1">
        <f>VALUE(RIGHT(A370,LEN(A370)-3))</f>
        <v>246</v>
      </c>
      <c r="C370" t="s">
        <v>32</v>
      </c>
      <c r="D370">
        <v>1</v>
      </c>
      <c r="E370" t="s">
        <v>35</v>
      </c>
      <c r="F370">
        <v>0</v>
      </c>
      <c r="H370" t="s">
        <v>1507</v>
      </c>
      <c r="J370" t="s">
        <v>1508</v>
      </c>
      <c r="K370" t="s">
        <v>1097</v>
      </c>
      <c r="L370" t="s">
        <v>43</v>
      </c>
      <c r="M370" t="s">
        <v>503</v>
      </c>
      <c r="N370" t="s">
        <v>520</v>
      </c>
      <c r="P370">
        <v>350</v>
      </c>
      <c r="R370">
        <v>700</v>
      </c>
      <c r="T370" t="s">
        <v>242</v>
      </c>
      <c r="U370" t="s">
        <v>681</v>
      </c>
      <c r="V370" t="s">
        <v>182</v>
      </c>
      <c r="W370" t="s">
        <v>1511</v>
      </c>
    </row>
    <row r="371" spans="1:23" x14ac:dyDescent="0.2">
      <c r="A371" t="s">
        <v>1512</v>
      </c>
      <c r="B371" s="1">
        <f>VALUE(RIGHT(A371,LEN(A371)-3))</f>
        <v>247</v>
      </c>
      <c r="C371" t="s">
        <v>32</v>
      </c>
      <c r="D371">
        <v>1</v>
      </c>
      <c r="E371" t="s">
        <v>57</v>
      </c>
      <c r="F371">
        <v>1</v>
      </c>
      <c r="G371" t="s">
        <v>291</v>
      </c>
      <c r="H371" t="s">
        <v>1513</v>
      </c>
      <c r="J371" t="s">
        <v>357</v>
      </c>
      <c r="K371" t="s">
        <v>1514</v>
      </c>
      <c r="L371" t="s">
        <v>43</v>
      </c>
      <c r="M371" t="s">
        <v>503</v>
      </c>
      <c r="N371" t="s">
        <v>1515</v>
      </c>
      <c r="T371" t="s">
        <v>242</v>
      </c>
      <c r="U371" t="s">
        <v>786</v>
      </c>
      <c r="V371" t="s">
        <v>61</v>
      </c>
      <c r="W371" t="s">
        <v>1518</v>
      </c>
    </row>
    <row r="372" spans="1:23" x14ac:dyDescent="0.2">
      <c r="A372" t="s">
        <v>1519</v>
      </c>
      <c r="B372" s="1">
        <f>VALUE(RIGHT(A372,LEN(A372)-3))</f>
        <v>248</v>
      </c>
      <c r="C372" t="s">
        <v>32</v>
      </c>
      <c r="D372">
        <v>1</v>
      </c>
      <c r="E372" t="s">
        <v>57</v>
      </c>
      <c r="F372">
        <v>2</v>
      </c>
      <c r="G372" t="s">
        <v>1523</v>
      </c>
      <c r="H372" t="s">
        <v>1520</v>
      </c>
      <c r="J372" t="s">
        <v>27</v>
      </c>
      <c r="K372" t="s">
        <v>1514</v>
      </c>
      <c r="L372" t="s">
        <v>43</v>
      </c>
      <c r="M372" t="s">
        <v>503</v>
      </c>
      <c r="N372" t="s">
        <v>1515</v>
      </c>
      <c r="T372" t="s">
        <v>103</v>
      </c>
      <c r="U372" t="s">
        <v>492</v>
      </c>
      <c r="V372" t="s">
        <v>341</v>
      </c>
      <c r="W372" t="s">
        <v>1524</v>
      </c>
    </row>
    <row r="373" spans="1:23" hidden="1" x14ac:dyDescent="0.2">
      <c r="A373" t="s">
        <v>1531</v>
      </c>
      <c r="B373" s="1">
        <f>VALUE(RIGHT(A373,LEN(A373)-3))</f>
        <v>250</v>
      </c>
      <c r="C373" t="s">
        <v>44</v>
      </c>
      <c r="D373">
        <v>0</v>
      </c>
      <c r="F373">
        <v>0</v>
      </c>
      <c r="H373" t="s">
        <v>1532</v>
      </c>
      <c r="J373" t="s">
        <v>27</v>
      </c>
      <c r="K373" t="s">
        <v>1533</v>
      </c>
      <c r="L373" t="s">
        <v>29</v>
      </c>
      <c r="M373" t="s">
        <v>503</v>
      </c>
      <c r="N373" t="s">
        <v>520</v>
      </c>
      <c r="T373" t="s">
        <v>173</v>
      </c>
      <c r="U373" t="s">
        <v>174</v>
      </c>
      <c r="V373" t="s">
        <v>1274</v>
      </c>
    </row>
    <row r="374" spans="1:23" x14ac:dyDescent="0.2">
      <c r="A374" t="s">
        <v>1559</v>
      </c>
      <c r="B374" s="1">
        <f>VALUE(RIGHT(A374,LEN(A374)-3))</f>
        <v>256</v>
      </c>
      <c r="C374" t="s">
        <v>32</v>
      </c>
      <c r="D374">
        <v>3</v>
      </c>
      <c r="E374" t="s">
        <v>1562</v>
      </c>
      <c r="F374">
        <v>1</v>
      </c>
      <c r="G374" t="s">
        <v>514</v>
      </c>
      <c r="H374" t="s">
        <v>1560</v>
      </c>
      <c r="I374">
        <v>29</v>
      </c>
      <c r="J374" t="s">
        <v>27</v>
      </c>
      <c r="K374" t="s">
        <v>65</v>
      </c>
      <c r="L374" t="s">
        <v>43</v>
      </c>
      <c r="M374" t="s">
        <v>503</v>
      </c>
      <c r="N374" t="s">
        <v>520</v>
      </c>
      <c r="T374" t="s">
        <v>242</v>
      </c>
      <c r="U374" t="s">
        <v>47</v>
      </c>
      <c r="V374" t="s">
        <v>329</v>
      </c>
      <c r="W374" t="s">
        <v>1563</v>
      </c>
    </row>
    <row r="375" spans="1:23" x14ac:dyDescent="0.2">
      <c r="A375" t="s">
        <v>1564</v>
      </c>
      <c r="B375" s="1">
        <f>VALUE(RIGHT(A375,LEN(A375)-3))</f>
        <v>257</v>
      </c>
      <c r="C375" t="s">
        <v>32</v>
      </c>
      <c r="D375">
        <v>2</v>
      </c>
      <c r="E375" t="s">
        <v>1562</v>
      </c>
      <c r="F375">
        <v>1</v>
      </c>
      <c r="G375" t="s">
        <v>514</v>
      </c>
      <c r="H375" t="s">
        <v>1560</v>
      </c>
      <c r="I375">
        <v>43</v>
      </c>
      <c r="J375" t="s">
        <v>27</v>
      </c>
      <c r="K375" t="s">
        <v>65</v>
      </c>
      <c r="L375" t="s">
        <v>43</v>
      </c>
      <c r="M375" t="s">
        <v>503</v>
      </c>
      <c r="N375" t="s">
        <v>520</v>
      </c>
      <c r="T375" t="s">
        <v>242</v>
      </c>
      <c r="U375" t="s">
        <v>1566</v>
      </c>
      <c r="V375" t="s">
        <v>235</v>
      </c>
      <c r="W375" t="s">
        <v>1563</v>
      </c>
    </row>
    <row r="376" spans="1:23" hidden="1" x14ac:dyDescent="0.2">
      <c r="A376" t="s">
        <v>1567</v>
      </c>
      <c r="B376" s="1">
        <f>VALUE(RIGHT(A376,LEN(A376)-3))</f>
        <v>258</v>
      </c>
      <c r="C376" t="s">
        <v>44</v>
      </c>
      <c r="D376">
        <v>0</v>
      </c>
      <c r="F376">
        <v>0</v>
      </c>
      <c r="H376" t="s">
        <v>1568</v>
      </c>
      <c r="J376" t="s">
        <v>357</v>
      </c>
      <c r="K376" t="s">
        <v>1569</v>
      </c>
      <c r="L376" t="s">
        <v>43</v>
      </c>
      <c r="M376" t="s">
        <v>503</v>
      </c>
      <c r="N376" t="s">
        <v>520</v>
      </c>
      <c r="T376" t="s">
        <v>242</v>
      </c>
      <c r="U376" t="s">
        <v>786</v>
      </c>
      <c r="V376" t="s">
        <v>48</v>
      </c>
      <c r="W376" t="s">
        <v>1571</v>
      </c>
    </row>
    <row r="377" spans="1:23" x14ac:dyDescent="0.2">
      <c r="A377" t="s">
        <v>1572</v>
      </c>
      <c r="B377" s="1">
        <f>VALUE(RIGHT(A377,LEN(A377)-3))</f>
        <v>259</v>
      </c>
      <c r="C377" t="s">
        <v>32</v>
      </c>
      <c r="D377">
        <v>2</v>
      </c>
      <c r="E377" t="s">
        <v>94</v>
      </c>
      <c r="F377">
        <v>3</v>
      </c>
      <c r="G377" t="s">
        <v>241</v>
      </c>
      <c r="H377" t="s">
        <v>1573</v>
      </c>
      <c r="J377" t="s">
        <v>690</v>
      </c>
      <c r="K377" t="s">
        <v>1266</v>
      </c>
      <c r="L377" t="s">
        <v>43</v>
      </c>
      <c r="M377" t="s">
        <v>503</v>
      </c>
      <c r="N377" t="s">
        <v>1238</v>
      </c>
      <c r="T377" t="s">
        <v>367</v>
      </c>
      <c r="U377" t="s">
        <v>934</v>
      </c>
      <c r="V377" t="s">
        <v>61</v>
      </c>
      <c r="W377" t="s">
        <v>1576</v>
      </c>
    </row>
    <row r="378" spans="1:23" x14ac:dyDescent="0.2">
      <c r="A378" t="s">
        <v>1577</v>
      </c>
      <c r="B378" s="1">
        <f>VALUE(RIGHT(A378,LEN(A378)-3))</f>
        <v>260</v>
      </c>
      <c r="C378" t="s">
        <v>32</v>
      </c>
      <c r="D378">
        <v>2</v>
      </c>
      <c r="E378" t="s">
        <v>57</v>
      </c>
      <c r="F378">
        <v>1</v>
      </c>
      <c r="G378" t="s">
        <v>123</v>
      </c>
      <c r="H378" t="s">
        <v>1578</v>
      </c>
      <c r="J378" t="s">
        <v>127</v>
      </c>
      <c r="K378" t="s">
        <v>1579</v>
      </c>
      <c r="L378" t="s">
        <v>43</v>
      </c>
      <c r="M378" t="s">
        <v>503</v>
      </c>
      <c r="N378" t="s">
        <v>1580</v>
      </c>
      <c r="T378" t="s">
        <v>242</v>
      </c>
      <c r="U378" t="s">
        <v>934</v>
      </c>
      <c r="V378" t="s">
        <v>61</v>
      </c>
      <c r="W378" t="s">
        <v>1583</v>
      </c>
    </row>
    <row r="379" spans="1:23" hidden="1" x14ac:dyDescent="0.2">
      <c r="A379" t="s">
        <v>1584</v>
      </c>
      <c r="B379" s="1">
        <f>VALUE(RIGHT(A379,LEN(A379)-3))</f>
        <v>261</v>
      </c>
      <c r="C379" t="s">
        <v>44</v>
      </c>
      <c r="D379">
        <v>0</v>
      </c>
      <c r="F379">
        <v>0</v>
      </c>
      <c r="H379" t="s">
        <v>1585</v>
      </c>
      <c r="I379">
        <v>32</v>
      </c>
      <c r="J379" t="s">
        <v>1586</v>
      </c>
      <c r="K379" t="s">
        <v>519</v>
      </c>
      <c r="L379" t="s">
        <v>43</v>
      </c>
      <c r="M379" t="s">
        <v>503</v>
      </c>
      <c r="N379" t="s">
        <v>520</v>
      </c>
      <c r="T379" t="s">
        <v>103</v>
      </c>
      <c r="U379" t="s">
        <v>1588</v>
      </c>
      <c r="V379" t="s">
        <v>635</v>
      </c>
      <c r="W379" t="s">
        <v>1589</v>
      </c>
    </row>
    <row r="380" spans="1:23" hidden="1" x14ac:dyDescent="0.2">
      <c r="A380" t="s">
        <v>1590</v>
      </c>
      <c r="B380" s="1">
        <f>VALUE(RIGHT(A380,LEN(A380)-3))</f>
        <v>262</v>
      </c>
      <c r="C380" t="s">
        <v>44</v>
      </c>
      <c r="D380">
        <v>0</v>
      </c>
      <c r="F380">
        <v>0</v>
      </c>
      <c r="H380" t="s">
        <v>1591</v>
      </c>
      <c r="I380">
        <v>49</v>
      </c>
      <c r="J380" t="s">
        <v>258</v>
      </c>
      <c r="K380" t="s">
        <v>1514</v>
      </c>
      <c r="L380" t="s">
        <v>43</v>
      </c>
      <c r="M380" t="s">
        <v>503</v>
      </c>
      <c r="N380" t="s">
        <v>520</v>
      </c>
      <c r="T380" t="s">
        <v>242</v>
      </c>
      <c r="U380" t="s">
        <v>786</v>
      </c>
      <c r="V380" t="s">
        <v>194</v>
      </c>
      <c r="W380" t="s">
        <v>1593</v>
      </c>
    </row>
    <row r="381" spans="1:23" x14ac:dyDescent="0.2">
      <c r="A381" t="s">
        <v>1594</v>
      </c>
      <c r="B381" s="1">
        <f>VALUE(RIGHT(A381,LEN(A381)-3))</f>
        <v>263</v>
      </c>
      <c r="C381" t="s">
        <v>32</v>
      </c>
      <c r="D381">
        <v>1</v>
      </c>
      <c r="E381" t="s">
        <v>130</v>
      </c>
      <c r="F381">
        <v>0</v>
      </c>
      <c r="H381" t="s">
        <v>1595</v>
      </c>
      <c r="J381" t="s">
        <v>27</v>
      </c>
      <c r="K381" t="s">
        <v>1596</v>
      </c>
      <c r="L381" t="s">
        <v>43</v>
      </c>
      <c r="M381" t="s">
        <v>503</v>
      </c>
      <c r="N381" t="s">
        <v>1391</v>
      </c>
      <c r="T381" t="s">
        <v>242</v>
      </c>
      <c r="U381" t="s">
        <v>786</v>
      </c>
      <c r="V381" t="s">
        <v>61</v>
      </c>
      <c r="W381" t="s">
        <v>1598</v>
      </c>
    </row>
    <row r="382" spans="1:23" x14ac:dyDescent="0.2">
      <c r="A382" t="s">
        <v>1599</v>
      </c>
      <c r="B382" s="1">
        <f>VALUE(RIGHT(A382,LEN(A382)-3))</f>
        <v>264</v>
      </c>
      <c r="C382" t="s">
        <v>32</v>
      </c>
      <c r="D382">
        <v>1</v>
      </c>
      <c r="E382" t="s">
        <v>57</v>
      </c>
      <c r="F382">
        <v>0</v>
      </c>
      <c r="H382" t="s">
        <v>1600</v>
      </c>
      <c r="J382" t="s">
        <v>1601</v>
      </c>
      <c r="K382" t="s">
        <v>1097</v>
      </c>
      <c r="L382" t="s">
        <v>43</v>
      </c>
      <c r="M382" t="s">
        <v>503</v>
      </c>
      <c r="N382" t="s">
        <v>1193</v>
      </c>
      <c r="P382">
        <v>300</v>
      </c>
      <c r="R382">
        <v>1400</v>
      </c>
      <c r="T382" t="s">
        <v>200</v>
      </c>
      <c r="U382" t="s">
        <v>1046</v>
      </c>
      <c r="V382" t="s">
        <v>61</v>
      </c>
      <c r="W382" t="s">
        <v>1604</v>
      </c>
    </row>
    <row r="383" spans="1:23" x14ac:dyDescent="0.2">
      <c r="A383" t="s">
        <v>1610</v>
      </c>
      <c r="B383" s="1">
        <f>VALUE(RIGHT(A383,LEN(A383)-3))</f>
        <v>266</v>
      </c>
      <c r="C383" t="s">
        <v>32</v>
      </c>
      <c r="D383">
        <v>1</v>
      </c>
      <c r="E383" t="s">
        <v>35</v>
      </c>
      <c r="F383">
        <v>0</v>
      </c>
      <c r="H383" t="s">
        <v>1611</v>
      </c>
      <c r="I383">
        <v>36</v>
      </c>
      <c r="J383" t="s">
        <v>690</v>
      </c>
      <c r="K383" t="s">
        <v>1612</v>
      </c>
      <c r="L383" t="s">
        <v>43</v>
      </c>
      <c r="M383" t="s">
        <v>503</v>
      </c>
      <c r="N383" t="s">
        <v>520</v>
      </c>
      <c r="T383" t="s">
        <v>103</v>
      </c>
      <c r="U383" t="s">
        <v>47</v>
      </c>
      <c r="V383" t="s">
        <v>61</v>
      </c>
      <c r="W383" t="s">
        <v>1615</v>
      </c>
    </row>
    <row r="384" spans="1:23" x14ac:dyDescent="0.2">
      <c r="A384" t="s">
        <v>1616</v>
      </c>
      <c r="B384" s="1">
        <f>VALUE(RIGHT(A384,LEN(A384)-3))</f>
        <v>267</v>
      </c>
      <c r="C384" t="s">
        <v>32</v>
      </c>
      <c r="D384">
        <v>1</v>
      </c>
      <c r="E384" t="s">
        <v>57</v>
      </c>
      <c r="F384">
        <v>1</v>
      </c>
      <c r="G384" t="s">
        <v>1354</v>
      </c>
      <c r="H384" t="s">
        <v>1617</v>
      </c>
      <c r="J384" t="s">
        <v>338</v>
      </c>
      <c r="K384" t="s">
        <v>1271</v>
      </c>
      <c r="L384" t="s">
        <v>43</v>
      </c>
      <c r="M384" t="s">
        <v>503</v>
      </c>
      <c r="N384" t="s">
        <v>1391</v>
      </c>
      <c r="O384">
        <v>10</v>
      </c>
      <c r="P384">
        <v>400</v>
      </c>
      <c r="T384" t="s">
        <v>242</v>
      </c>
      <c r="U384" t="s">
        <v>786</v>
      </c>
      <c r="V384" t="s">
        <v>61</v>
      </c>
      <c r="W384" t="s">
        <v>1619</v>
      </c>
    </row>
    <row r="385" spans="1:23" x14ac:dyDescent="0.2">
      <c r="A385" t="s">
        <v>1625</v>
      </c>
      <c r="B385" s="1">
        <f>VALUE(RIGHT(A385,LEN(A385)-3))</f>
        <v>269</v>
      </c>
      <c r="C385" t="s">
        <v>32</v>
      </c>
      <c r="D385">
        <v>1</v>
      </c>
      <c r="E385" t="s">
        <v>57</v>
      </c>
      <c r="F385">
        <v>0</v>
      </c>
      <c r="H385" t="s">
        <v>1626</v>
      </c>
      <c r="I385">
        <v>51</v>
      </c>
      <c r="J385" t="s">
        <v>127</v>
      </c>
      <c r="K385" t="s">
        <v>1199</v>
      </c>
      <c r="L385" t="s">
        <v>43</v>
      </c>
      <c r="M385" t="s">
        <v>503</v>
      </c>
      <c r="N385" t="s">
        <v>1391</v>
      </c>
      <c r="T385" t="s">
        <v>242</v>
      </c>
      <c r="U385" t="s">
        <v>786</v>
      </c>
      <c r="V385" t="s">
        <v>61</v>
      </c>
      <c r="W385" t="s">
        <v>1628</v>
      </c>
    </row>
    <row r="386" spans="1:23" x14ac:dyDescent="0.2">
      <c r="A386" t="s">
        <v>1629</v>
      </c>
      <c r="B386" s="1">
        <f>VALUE(RIGHT(A386,LEN(A386)-3))</f>
        <v>270</v>
      </c>
      <c r="C386" t="s">
        <v>32</v>
      </c>
      <c r="D386">
        <v>1</v>
      </c>
      <c r="E386" t="s">
        <v>57</v>
      </c>
      <c r="F386">
        <v>0</v>
      </c>
      <c r="H386" t="s">
        <v>1630</v>
      </c>
      <c r="J386" t="s">
        <v>27</v>
      </c>
      <c r="K386" t="s">
        <v>259</v>
      </c>
      <c r="L386" t="s">
        <v>43</v>
      </c>
      <c r="M386" t="s">
        <v>503</v>
      </c>
      <c r="N386" t="s">
        <v>1391</v>
      </c>
      <c r="T386" t="s">
        <v>242</v>
      </c>
      <c r="U386" t="s">
        <v>786</v>
      </c>
      <c r="V386" t="s">
        <v>61</v>
      </c>
      <c r="W386" t="s">
        <v>1632</v>
      </c>
    </row>
    <row r="387" spans="1:23" x14ac:dyDescent="0.2">
      <c r="A387" t="s">
        <v>1633</v>
      </c>
      <c r="B387" s="1">
        <f>VALUE(RIGHT(A387,LEN(A387)-3))</f>
        <v>271</v>
      </c>
      <c r="C387" t="s">
        <v>32</v>
      </c>
      <c r="D387">
        <v>1</v>
      </c>
      <c r="E387" t="s">
        <v>57</v>
      </c>
      <c r="F387">
        <v>1</v>
      </c>
      <c r="G387" t="s">
        <v>123</v>
      </c>
      <c r="H387" t="s">
        <v>1634</v>
      </c>
      <c r="J387" t="s">
        <v>1635</v>
      </c>
      <c r="K387" t="s">
        <v>1199</v>
      </c>
      <c r="L387" t="s">
        <v>43</v>
      </c>
      <c r="M387" t="s">
        <v>503</v>
      </c>
      <c r="N387" t="s">
        <v>1278</v>
      </c>
      <c r="T387" t="s">
        <v>103</v>
      </c>
      <c r="U387" t="s">
        <v>515</v>
      </c>
      <c r="V387" t="s">
        <v>48</v>
      </c>
      <c r="W387" t="s">
        <v>1638</v>
      </c>
    </row>
    <row r="388" spans="1:23" x14ac:dyDescent="0.2">
      <c r="A388" t="s">
        <v>1639</v>
      </c>
      <c r="B388" s="1">
        <f>VALUE(RIGHT(A388,LEN(A388)-3))</f>
        <v>272</v>
      </c>
      <c r="C388" t="s">
        <v>32</v>
      </c>
      <c r="D388">
        <v>2</v>
      </c>
      <c r="E388" t="s">
        <v>94</v>
      </c>
      <c r="F388">
        <v>1</v>
      </c>
      <c r="G388" t="s">
        <v>68</v>
      </c>
      <c r="H388" t="s">
        <v>1640</v>
      </c>
      <c r="I388">
        <v>23</v>
      </c>
      <c r="J388" t="s">
        <v>27</v>
      </c>
      <c r="K388" t="s">
        <v>1596</v>
      </c>
      <c r="L388" t="s">
        <v>43</v>
      </c>
      <c r="M388" t="s">
        <v>503</v>
      </c>
      <c r="N388" t="s">
        <v>520</v>
      </c>
      <c r="T388" t="s">
        <v>103</v>
      </c>
      <c r="U388" t="s">
        <v>1643</v>
      </c>
      <c r="V388" t="s">
        <v>779</v>
      </c>
      <c r="W388" t="s">
        <v>1644</v>
      </c>
    </row>
    <row r="389" spans="1:23" x14ac:dyDescent="0.2">
      <c r="A389" t="s">
        <v>1645</v>
      </c>
      <c r="B389" s="1">
        <f>VALUE(RIGHT(A389,LEN(A389)-3))</f>
        <v>273</v>
      </c>
      <c r="C389" t="s">
        <v>32</v>
      </c>
      <c r="D389">
        <v>2</v>
      </c>
      <c r="E389" t="s">
        <v>94</v>
      </c>
      <c r="F389">
        <v>1</v>
      </c>
      <c r="G389" t="s">
        <v>123</v>
      </c>
      <c r="H389" t="s">
        <v>1646</v>
      </c>
      <c r="I389">
        <v>37</v>
      </c>
      <c r="J389" t="s">
        <v>178</v>
      </c>
      <c r="K389" t="s">
        <v>1647</v>
      </c>
      <c r="L389" t="s">
        <v>43</v>
      </c>
      <c r="M389" t="s">
        <v>503</v>
      </c>
      <c r="N389" t="s">
        <v>520</v>
      </c>
      <c r="P389">
        <v>500</v>
      </c>
      <c r="R389">
        <v>3000</v>
      </c>
      <c r="T389" t="s">
        <v>103</v>
      </c>
      <c r="U389" t="s">
        <v>104</v>
      </c>
      <c r="V389" t="s">
        <v>61</v>
      </c>
      <c r="W389" t="s">
        <v>1650</v>
      </c>
    </row>
    <row r="390" spans="1:23" hidden="1" x14ac:dyDescent="0.2">
      <c r="A390" t="s">
        <v>1651</v>
      </c>
      <c r="B390" s="1">
        <f>VALUE(RIGHT(A390,LEN(A390)-3))</f>
        <v>274</v>
      </c>
      <c r="C390" t="s">
        <v>44</v>
      </c>
      <c r="D390">
        <v>0</v>
      </c>
      <c r="F390">
        <v>0</v>
      </c>
      <c r="H390" t="s">
        <v>1652</v>
      </c>
      <c r="I390">
        <v>38</v>
      </c>
      <c r="J390" t="s">
        <v>178</v>
      </c>
      <c r="K390" t="s">
        <v>1653</v>
      </c>
      <c r="L390" t="s">
        <v>43</v>
      </c>
      <c r="M390" t="s">
        <v>503</v>
      </c>
      <c r="N390" t="s">
        <v>520</v>
      </c>
      <c r="T390" t="s">
        <v>242</v>
      </c>
      <c r="U390" t="s">
        <v>1393</v>
      </c>
      <c r="V390" t="s">
        <v>61</v>
      </c>
      <c r="W390" t="s">
        <v>1655</v>
      </c>
    </row>
    <row r="391" spans="1:23" x14ac:dyDescent="0.2">
      <c r="A391" t="s">
        <v>1656</v>
      </c>
      <c r="B391" s="1">
        <f>VALUE(RIGHT(A391,LEN(A391)-3))</f>
        <v>275</v>
      </c>
      <c r="C391" t="s">
        <v>32</v>
      </c>
      <c r="D391">
        <v>1</v>
      </c>
      <c r="E391" t="s">
        <v>57</v>
      </c>
      <c r="F391">
        <v>1</v>
      </c>
      <c r="G391" t="s">
        <v>68</v>
      </c>
      <c r="H391" t="s">
        <v>1657</v>
      </c>
      <c r="I391">
        <v>43</v>
      </c>
      <c r="J391" t="s">
        <v>127</v>
      </c>
      <c r="K391" t="s">
        <v>259</v>
      </c>
      <c r="L391" t="s">
        <v>43</v>
      </c>
      <c r="M391" t="s">
        <v>503</v>
      </c>
      <c r="N391" t="s">
        <v>1658</v>
      </c>
      <c r="T391" t="s">
        <v>103</v>
      </c>
      <c r="U391" t="s">
        <v>314</v>
      </c>
      <c r="V391" t="s">
        <v>61</v>
      </c>
      <c r="W391" t="s">
        <v>1660</v>
      </c>
    </row>
    <row r="392" spans="1:23" x14ac:dyDescent="0.2">
      <c r="A392" t="s">
        <v>1661</v>
      </c>
      <c r="B392" s="1">
        <f>VALUE(RIGHT(A392,LEN(A392)-3))</f>
        <v>276</v>
      </c>
      <c r="C392" t="s">
        <v>32</v>
      </c>
      <c r="D392">
        <v>1</v>
      </c>
      <c r="E392" t="s">
        <v>57</v>
      </c>
      <c r="F392">
        <v>5</v>
      </c>
      <c r="G392" t="s">
        <v>1665</v>
      </c>
      <c r="H392" t="s">
        <v>1662</v>
      </c>
      <c r="I392">
        <v>39</v>
      </c>
      <c r="J392" t="s">
        <v>178</v>
      </c>
      <c r="K392" t="s">
        <v>1199</v>
      </c>
      <c r="L392" t="s">
        <v>43</v>
      </c>
      <c r="M392" t="s">
        <v>503</v>
      </c>
      <c r="N392" t="s">
        <v>520</v>
      </c>
      <c r="T392" t="s">
        <v>242</v>
      </c>
      <c r="U392" t="s">
        <v>1666</v>
      </c>
      <c r="V392" t="s">
        <v>767</v>
      </c>
      <c r="W392" t="s">
        <v>1667</v>
      </c>
    </row>
    <row r="393" spans="1:23" hidden="1" x14ac:dyDescent="0.2">
      <c r="A393" t="s">
        <v>1668</v>
      </c>
      <c r="B393" s="1">
        <f>VALUE(RIGHT(A393,LEN(A393)-3))</f>
        <v>277</v>
      </c>
      <c r="C393" t="s">
        <v>44</v>
      </c>
      <c r="D393">
        <v>0</v>
      </c>
      <c r="F393">
        <v>0</v>
      </c>
      <c r="H393" t="s">
        <v>1669</v>
      </c>
      <c r="I393">
        <v>29</v>
      </c>
      <c r="J393" t="s">
        <v>27</v>
      </c>
      <c r="K393" t="s">
        <v>264</v>
      </c>
      <c r="L393" t="s">
        <v>43</v>
      </c>
      <c r="M393" t="s">
        <v>503</v>
      </c>
      <c r="N393" t="s">
        <v>520</v>
      </c>
      <c r="T393" t="s">
        <v>242</v>
      </c>
      <c r="U393" t="s">
        <v>47</v>
      </c>
      <c r="V393" t="s">
        <v>61</v>
      </c>
      <c r="W393" t="s">
        <v>1671</v>
      </c>
    </row>
    <row r="394" spans="1:23" x14ac:dyDescent="0.2">
      <c r="A394" t="s">
        <v>1677</v>
      </c>
      <c r="B394" s="1">
        <f>VALUE(RIGHT(A394,LEN(A394)-3))</f>
        <v>279</v>
      </c>
      <c r="C394" t="s">
        <v>32</v>
      </c>
      <c r="D394">
        <v>1</v>
      </c>
      <c r="E394" t="s">
        <v>57</v>
      </c>
      <c r="F394">
        <v>0</v>
      </c>
      <c r="H394" t="s">
        <v>1678</v>
      </c>
      <c r="I394">
        <v>56</v>
      </c>
      <c r="J394" t="s">
        <v>217</v>
      </c>
      <c r="K394" t="s">
        <v>961</v>
      </c>
      <c r="L394" t="s">
        <v>43</v>
      </c>
      <c r="M394" t="s">
        <v>503</v>
      </c>
      <c r="N394" t="s">
        <v>1391</v>
      </c>
      <c r="P394">
        <v>468</v>
      </c>
      <c r="R394">
        <v>9700</v>
      </c>
      <c r="T394" t="s">
        <v>367</v>
      </c>
      <c r="U394" t="s">
        <v>368</v>
      </c>
      <c r="V394" t="s">
        <v>635</v>
      </c>
      <c r="W394" t="s">
        <v>1681</v>
      </c>
    </row>
    <row r="395" spans="1:23" x14ac:dyDescent="0.2">
      <c r="A395" t="s">
        <v>1682</v>
      </c>
      <c r="B395" s="1">
        <f>VALUE(RIGHT(A395,LEN(A395)-3))</f>
        <v>280</v>
      </c>
      <c r="C395" t="s">
        <v>32</v>
      </c>
      <c r="D395">
        <v>1</v>
      </c>
      <c r="E395" t="s">
        <v>35</v>
      </c>
      <c r="F395">
        <v>1</v>
      </c>
      <c r="G395" t="s">
        <v>68</v>
      </c>
      <c r="H395" t="s">
        <v>1683</v>
      </c>
      <c r="I395">
        <v>35</v>
      </c>
      <c r="J395" t="s">
        <v>258</v>
      </c>
      <c r="K395" t="s">
        <v>519</v>
      </c>
      <c r="L395" t="s">
        <v>43</v>
      </c>
      <c r="M395" t="s">
        <v>503</v>
      </c>
      <c r="N395" t="s">
        <v>520</v>
      </c>
      <c r="P395">
        <v>2000</v>
      </c>
      <c r="Q395">
        <v>1400</v>
      </c>
      <c r="T395" t="s">
        <v>242</v>
      </c>
      <c r="U395" t="s">
        <v>515</v>
      </c>
      <c r="V395" t="s">
        <v>1686</v>
      </c>
      <c r="W395" t="s">
        <v>1687</v>
      </c>
    </row>
    <row r="396" spans="1:23" hidden="1" x14ac:dyDescent="0.2">
      <c r="A396" t="s">
        <v>1694</v>
      </c>
      <c r="B396" s="1">
        <f>VALUE(RIGHT(A396,LEN(A396)-3))</f>
        <v>282</v>
      </c>
      <c r="C396" t="s">
        <v>44</v>
      </c>
      <c r="D396">
        <v>0</v>
      </c>
      <c r="F396">
        <v>0</v>
      </c>
      <c r="H396" t="s">
        <v>1695</v>
      </c>
      <c r="I396">
        <v>55</v>
      </c>
      <c r="J396" t="s">
        <v>258</v>
      </c>
      <c r="K396" t="s">
        <v>1514</v>
      </c>
      <c r="L396" t="s">
        <v>43</v>
      </c>
      <c r="M396" t="s">
        <v>503</v>
      </c>
      <c r="N396" t="s">
        <v>1696</v>
      </c>
      <c r="T396" t="s">
        <v>36</v>
      </c>
      <c r="U396" t="s">
        <v>188</v>
      </c>
      <c r="V396" t="s">
        <v>61</v>
      </c>
      <c r="W396" t="s">
        <v>1698</v>
      </c>
    </row>
    <row r="397" spans="1:23" x14ac:dyDescent="0.2">
      <c r="A397" t="s">
        <v>1711</v>
      </c>
      <c r="B397" s="1">
        <f>VALUE(RIGHT(A397,LEN(A397)-3))</f>
        <v>285</v>
      </c>
      <c r="C397" t="s">
        <v>32</v>
      </c>
      <c r="D397">
        <v>2</v>
      </c>
      <c r="E397" t="s">
        <v>94</v>
      </c>
      <c r="F397">
        <v>1</v>
      </c>
      <c r="G397" t="s">
        <v>68</v>
      </c>
      <c r="H397" t="s">
        <v>1712</v>
      </c>
      <c r="I397">
        <v>42</v>
      </c>
      <c r="J397" t="s">
        <v>690</v>
      </c>
      <c r="K397" t="s">
        <v>1612</v>
      </c>
      <c r="L397" t="s">
        <v>43</v>
      </c>
      <c r="M397" t="s">
        <v>503</v>
      </c>
      <c r="N397" t="s">
        <v>1502</v>
      </c>
      <c r="T397" t="s">
        <v>103</v>
      </c>
      <c r="U397" t="s">
        <v>1715</v>
      </c>
      <c r="V397" t="s">
        <v>635</v>
      </c>
      <c r="W397" t="s">
        <v>1716</v>
      </c>
    </row>
    <row r="398" spans="1:23" hidden="1" x14ac:dyDescent="0.2">
      <c r="A398" t="s">
        <v>1717</v>
      </c>
      <c r="B398" s="1">
        <f>VALUE(RIGHT(A398,LEN(A398)-3))</f>
        <v>286</v>
      </c>
      <c r="C398" t="s">
        <v>44</v>
      </c>
      <c r="D398">
        <v>0</v>
      </c>
      <c r="F398">
        <v>0</v>
      </c>
      <c r="H398" t="s">
        <v>1718</v>
      </c>
      <c r="I398">
        <v>33</v>
      </c>
      <c r="J398" t="s">
        <v>150</v>
      </c>
      <c r="K398" t="s">
        <v>1199</v>
      </c>
      <c r="L398" t="s">
        <v>43</v>
      </c>
      <c r="M398" t="s">
        <v>503</v>
      </c>
      <c r="N398" t="s">
        <v>520</v>
      </c>
      <c r="T398" t="s">
        <v>242</v>
      </c>
      <c r="U398" t="s">
        <v>47</v>
      </c>
      <c r="V398" t="s">
        <v>1686</v>
      </c>
      <c r="W398" t="s">
        <v>1720</v>
      </c>
    </row>
    <row r="399" spans="1:23" x14ac:dyDescent="0.2">
      <c r="A399" t="s">
        <v>1721</v>
      </c>
      <c r="B399" s="1">
        <f>VALUE(RIGHT(A399,LEN(A399)-3))</f>
        <v>287</v>
      </c>
      <c r="C399" t="s">
        <v>32</v>
      </c>
      <c r="D399">
        <v>1</v>
      </c>
      <c r="E399" t="s">
        <v>57</v>
      </c>
      <c r="F399">
        <v>0</v>
      </c>
      <c r="H399" t="s">
        <v>1722</v>
      </c>
      <c r="I399">
        <v>40</v>
      </c>
      <c r="J399" t="s">
        <v>27</v>
      </c>
      <c r="K399" t="s">
        <v>151</v>
      </c>
      <c r="L399" t="s">
        <v>43</v>
      </c>
      <c r="M399" t="s">
        <v>503</v>
      </c>
      <c r="N399" t="s">
        <v>520</v>
      </c>
      <c r="T399" t="s">
        <v>242</v>
      </c>
      <c r="U399" t="s">
        <v>786</v>
      </c>
      <c r="V399" t="s">
        <v>61</v>
      </c>
      <c r="W399" t="s">
        <v>1725</v>
      </c>
    </row>
    <row r="400" spans="1:23" x14ac:dyDescent="0.2">
      <c r="A400" t="s">
        <v>1726</v>
      </c>
      <c r="B400" s="1">
        <f>VALUE(RIGHT(A400,LEN(A400)-3))</f>
        <v>288</v>
      </c>
      <c r="C400" t="s">
        <v>32</v>
      </c>
      <c r="D400">
        <v>1</v>
      </c>
      <c r="E400" t="s">
        <v>57</v>
      </c>
      <c r="F400">
        <v>1</v>
      </c>
      <c r="G400" t="s">
        <v>58</v>
      </c>
      <c r="H400" t="s">
        <v>1727</v>
      </c>
      <c r="I400">
        <v>53</v>
      </c>
      <c r="J400" t="s">
        <v>27</v>
      </c>
      <c r="K400" t="s">
        <v>288</v>
      </c>
      <c r="L400" t="s">
        <v>43</v>
      </c>
      <c r="M400" t="s">
        <v>503</v>
      </c>
      <c r="N400" t="s">
        <v>1658</v>
      </c>
      <c r="P400">
        <v>235</v>
      </c>
      <c r="R400">
        <v>1200</v>
      </c>
      <c r="T400" t="s">
        <v>59</v>
      </c>
      <c r="U400" t="s">
        <v>139</v>
      </c>
      <c r="V400" t="s">
        <v>61</v>
      </c>
      <c r="W400" t="s">
        <v>1730</v>
      </c>
    </row>
    <row r="401" spans="1:23" x14ac:dyDescent="0.2">
      <c r="A401" t="s">
        <v>1731</v>
      </c>
      <c r="B401" s="1">
        <f>VALUE(RIGHT(A401,LEN(A401)-3))</f>
        <v>289</v>
      </c>
      <c r="C401" t="s">
        <v>32</v>
      </c>
      <c r="D401">
        <v>2</v>
      </c>
      <c r="E401" t="s">
        <v>94</v>
      </c>
      <c r="F401">
        <v>4</v>
      </c>
      <c r="G401" t="s">
        <v>1736</v>
      </c>
      <c r="H401" t="s">
        <v>1732</v>
      </c>
      <c r="I401">
        <v>30</v>
      </c>
      <c r="J401" t="s">
        <v>27</v>
      </c>
      <c r="K401" t="s">
        <v>1733</v>
      </c>
      <c r="L401" t="s">
        <v>43</v>
      </c>
      <c r="M401" t="s">
        <v>503</v>
      </c>
      <c r="N401" t="s">
        <v>1391</v>
      </c>
      <c r="O401">
        <v>6</v>
      </c>
      <c r="T401" t="s">
        <v>173</v>
      </c>
      <c r="U401" t="s">
        <v>647</v>
      </c>
      <c r="V401" t="s">
        <v>61</v>
      </c>
      <c r="W401" t="s">
        <v>1737</v>
      </c>
    </row>
    <row r="402" spans="1:23" x14ac:dyDescent="0.2">
      <c r="A402" t="s">
        <v>1738</v>
      </c>
      <c r="B402" s="1">
        <f>VALUE(RIGHT(A402,LEN(A402)-3))</f>
        <v>290</v>
      </c>
      <c r="C402" t="s">
        <v>32</v>
      </c>
      <c r="D402">
        <v>2</v>
      </c>
      <c r="E402" t="s">
        <v>94</v>
      </c>
      <c r="F402">
        <v>2</v>
      </c>
      <c r="G402" t="s">
        <v>1742</v>
      </c>
      <c r="H402" t="s">
        <v>1739</v>
      </c>
      <c r="I402">
        <v>40</v>
      </c>
      <c r="J402" t="s">
        <v>27</v>
      </c>
      <c r="K402" t="s">
        <v>1199</v>
      </c>
      <c r="L402" t="s">
        <v>43</v>
      </c>
      <c r="M402" t="s">
        <v>503</v>
      </c>
      <c r="N402" t="s">
        <v>1391</v>
      </c>
      <c r="T402" t="s">
        <v>103</v>
      </c>
      <c r="U402" t="s">
        <v>1743</v>
      </c>
      <c r="V402" t="s">
        <v>753</v>
      </c>
      <c r="W402" t="s">
        <v>1744</v>
      </c>
    </row>
    <row r="403" spans="1:23" x14ac:dyDescent="0.2">
      <c r="A403" t="s">
        <v>1745</v>
      </c>
      <c r="B403" s="1">
        <f>VALUE(RIGHT(A403,LEN(A403)-3))</f>
        <v>291</v>
      </c>
      <c r="C403" t="s">
        <v>32</v>
      </c>
      <c r="D403">
        <v>2</v>
      </c>
      <c r="E403" t="s">
        <v>94</v>
      </c>
      <c r="F403">
        <v>3</v>
      </c>
      <c r="G403" t="s">
        <v>284</v>
      </c>
      <c r="H403" t="s">
        <v>1746</v>
      </c>
      <c r="J403" t="s">
        <v>1747</v>
      </c>
      <c r="K403" t="s">
        <v>385</v>
      </c>
      <c r="L403" t="s">
        <v>43</v>
      </c>
      <c r="M403" t="s">
        <v>503</v>
      </c>
      <c r="N403" t="s">
        <v>1051</v>
      </c>
      <c r="Q403">
        <v>100</v>
      </c>
      <c r="R403">
        <v>3500</v>
      </c>
      <c r="T403" t="s">
        <v>242</v>
      </c>
      <c r="U403" t="s">
        <v>1064</v>
      </c>
      <c r="V403" t="s">
        <v>61</v>
      </c>
      <c r="W403" t="s">
        <v>1750</v>
      </c>
    </row>
    <row r="404" spans="1:23" x14ac:dyDescent="0.2">
      <c r="A404" t="s">
        <v>1759</v>
      </c>
      <c r="B404" s="1">
        <f>VALUE(RIGHT(A404,LEN(A404)-3))</f>
        <v>293</v>
      </c>
      <c r="C404" t="s">
        <v>32</v>
      </c>
      <c r="D404">
        <v>1</v>
      </c>
      <c r="E404" t="s">
        <v>35</v>
      </c>
      <c r="F404">
        <v>0</v>
      </c>
      <c r="H404" t="s">
        <v>1760</v>
      </c>
      <c r="I404">
        <v>34</v>
      </c>
      <c r="J404" t="s">
        <v>127</v>
      </c>
      <c r="K404" t="s">
        <v>1579</v>
      </c>
      <c r="L404" t="s">
        <v>43</v>
      </c>
      <c r="M404" t="s">
        <v>503</v>
      </c>
      <c r="N404" t="s">
        <v>1374</v>
      </c>
      <c r="T404" t="s">
        <v>103</v>
      </c>
      <c r="U404" t="s">
        <v>492</v>
      </c>
      <c r="V404" t="s">
        <v>445</v>
      </c>
      <c r="W404" t="s">
        <v>1763</v>
      </c>
    </row>
    <row r="405" spans="1:23" x14ac:dyDescent="0.2">
      <c r="A405" t="s">
        <v>1770</v>
      </c>
      <c r="B405" s="1">
        <f>VALUE(RIGHT(A405,LEN(A405)-3))</f>
        <v>295</v>
      </c>
      <c r="C405" t="s">
        <v>32</v>
      </c>
      <c r="D405">
        <v>2</v>
      </c>
      <c r="E405" t="s">
        <v>94</v>
      </c>
      <c r="F405">
        <v>1</v>
      </c>
      <c r="G405" t="s">
        <v>68</v>
      </c>
      <c r="H405" t="s">
        <v>1765</v>
      </c>
      <c r="I405">
        <v>25</v>
      </c>
      <c r="J405" t="s">
        <v>52</v>
      </c>
      <c r="K405" t="s">
        <v>1199</v>
      </c>
      <c r="L405" t="s">
        <v>43</v>
      </c>
      <c r="M405" t="s">
        <v>503</v>
      </c>
      <c r="N405" t="s">
        <v>1771</v>
      </c>
      <c r="T405" t="s">
        <v>242</v>
      </c>
      <c r="U405" t="s">
        <v>786</v>
      </c>
      <c r="V405" t="s">
        <v>369</v>
      </c>
      <c r="W405" t="s">
        <v>1773</v>
      </c>
    </row>
    <row r="406" spans="1:23" x14ac:dyDescent="0.2">
      <c r="A406" t="s">
        <v>1784</v>
      </c>
      <c r="B406" s="1">
        <f>VALUE(RIGHT(A406,LEN(A406)-3))</f>
        <v>298</v>
      </c>
      <c r="C406" t="s">
        <v>32</v>
      </c>
      <c r="D406">
        <v>1</v>
      </c>
      <c r="E406" t="s">
        <v>57</v>
      </c>
      <c r="F406">
        <v>1</v>
      </c>
      <c r="G406" t="s">
        <v>68</v>
      </c>
      <c r="H406" t="s">
        <v>1785</v>
      </c>
      <c r="I406">
        <v>23</v>
      </c>
      <c r="J406" t="s">
        <v>258</v>
      </c>
      <c r="K406" t="s">
        <v>519</v>
      </c>
      <c r="L406" t="s">
        <v>43</v>
      </c>
      <c r="M406" t="s">
        <v>503</v>
      </c>
      <c r="N406" t="s">
        <v>520</v>
      </c>
      <c r="T406" t="s">
        <v>103</v>
      </c>
      <c r="U406" t="s">
        <v>845</v>
      </c>
      <c r="V406" t="s">
        <v>760</v>
      </c>
      <c r="W406" t="s">
        <v>1788</v>
      </c>
    </row>
    <row r="407" spans="1:23" x14ac:dyDescent="0.2">
      <c r="A407" t="s">
        <v>1799</v>
      </c>
      <c r="B407" s="1">
        <f>VALUE(RIGHT(A407,LEN(A407)-3))</f>
        <v>301</v>
      </c>
      <c r="C407" t="s">
        <v>32</v>
      </c>
      <c r="D407">
        <v>1</v>
      </c>
      <c r="E407" t="s">
        <v>57</v>
      </c>
      <c r="F407">
        <v>0</v>
      </c>
      <c r="H407" t="s">
        <v>1800</v>
      </c>
      <c r="I407">
        <v>30</v>
      </c>
      <c r="J407" t="s">
        <v>150</v>
      </c>
      <c r="K407" t="s">
        <v>259</v>
      </c>
      <c r="L407" t="s">
        <v>43</v>
      </c>
      <c r="M407" t="s">
        <v>503</v>
      </c>
      <c r="N407" t="s">
        <v>1801</v>
      </c>
      <c r="P407">
        <v>2261</v>
      </c>
      <c r="T407" t="s">
        <v>242</v>
      </c>
      <c r="U407" t="s">
        <v>47</v>
      </c>
      <c r="V407" t="s">
        <v>61</v>
      </c>
      <c r="W407" t="s">
        <v>1804</v>
      </c>
    </row>
    <row r="408" spans="1:23" hidden="1" x14ac:dyDescent="0.2">
      <c r="A408" t="s">
        <v>1808</v>
      </c>
      <c r="B408" s="1">
        <f>VALUE(RIGHT(A408,LEN(A408)-3))</f>
        <v>303</v>
      </c>
      <c r="C408" t="s">
        <v>44</v>
      </c>
      <c r="D408">
        <v>0</v>
      </c>
      <c r="F408">
        <v>0</v>
      </c>
      <c r="H408" t="s">
        <v>1809</v>
      </c>
      <c r="I408">
        <v>27</v>
      </c>
      <c r="J408" t="s">
        <v>1810</v>
      </c>
      <c r="K408" t="s">
        <v>1811</v>
      </c>
      <c r="L408" t="s">
        <v>43</v>
      </c>
      <c r="M408" t="s">
        <v>503</v>
      </c>
      <c r="N408" t="s">
        <v>520</v>
      </c>
      <c r="T408" t="s">
        <v>242</v>
      </c>
      <c r="U408" t="s">
        <v>47</v>
      </c>
      <c r="V408" t="s">
        <v>61</v>
      </c>
      <c r="W408" t="s">
        <v>1813</v>
      </c>
    </row>
    <row r="409" spans="1:23" x14ac:dyDescent="0.2">
      <c r="A409" t="s">
        <v>1814</v>
      </c>
      <c r="B409" s="1">
        <f>VALUE(RIGHT(A409,LEN(A409)-3))</f>
        <v>304</v>
      </c>
      <c r="C409" t="s">
        <v>32</v>
      </c>
      <c r="D409">
        <v>1</v>
      </c>
      <c r="E409" t="s">
        <v>57</v>
      </c>
      <c r="F409">
        <v>0</v>
      </c>
      <c r="H409" t="s">
        <v>1815</v>
      </c>
      <c r="I409">
        <v>31</v>
      </c>
      <c r="J409" t="s">
        <v>338</v>
      </c>
      <c r="K409" t="s">
        <v>1199</v>
      </c>
      <c r="L409" t="s">
        <v>43</v>
      </c>
      <c r="M409" t="s">
        <v>503</v>
      </c>
      <c r="N409" t="s">
        <v>520</v>
      </c>
      <c r="T409" t="s">
        <v>242</v>
      </c>
      <c r="U409" t="s">
        <v>47</v>
      </c>
      <c r="V409" t="s">
        <v>61</v>
      </c>
      <c r="W409" t="s">
        <v>1818</v>
      </c>
    </row>
    <row r="410" spans="1:23" x14ac:dyDescent="0.2">
      <c r="A410" t="s">
        <v>1825</v>
      </c>
      <c r="B410" s="1">
        <f>VALUE(RIGHT(A410,LEN(A410)-3))</f>
        <v>306</v>
      </c>
      <c r="C410" t="s">
        <v>32</v>
      </c>
      <c r="D410">
        <v>1</v>
      </c>
      <c r="E410" t="s">
        <v>35</v>
      </c>
      <c r="F410">
        <v>0</v>
      </c>
      <c r="H410" t="s">
        <v>1826</v>
      </c>
      <c r="I410">
        <v>28</v>
      </c>
      <c r="J410" t="s">
        <v>150</v>
      </c>
      <c r="K410" t="s">
        <v>552</v>
      </c>
      <c r="L410" t="s">
        <v>43</v>
      </c>
      <c r="M410" t="s">
        <v>503</v>
      </c>
      <c r="N410" t="s">
        <v>1827</v>
      </c>
      <c r="O410">
        <v>1</v>
      </c>
      <c r="P410">
        <v>250</v>
      </c>
      <c r="Q410">
        <v>120</v>
      </c>
      <c r="R410">
        <v>420</v>
      </c>
      <c r="S410">
        <v>250</v>
      </c>
      <c r="T410" t="s">
        <v>242</v>
      </c>
      <c r="U410" t="s">
        <v>786</v>
      </c>
      <c r="V410" t="s">
        <v>61</v>
      </c>
      <c r="W410" t="s">
        <v>1829</v>
      </c>
    </row>
    <row r="411" spans="1:23" x14ac:dyDescent="0.2">
      <c r="A411" t="s">
        <v>1830</v>
      </c>
      <c r="B411" s="1">
        <f>VALUE(RIGHT(A411,LEN(A411)-3))</f>
        <v>307</v>
      </c>
      <c r="C411" t="s">
        <v>32</v>
      </c>
      <c r="D411">
        <v>1</v>
      </c>
      <c r="E411" t="s">
        <v>57</v>
      </c>
      <c r="F411">
        <v>3</v>
      </c>
      <c r="G411" t="s">
        <v>1834</v>
      </c>
      <c r="H411" t="s">
        <v>1831</v>
      </c>
      <c r="I411">
        <v>37</v>
      </c>
      <c r="J411" t="s">
        <v>690</v>
      </c>
      <c r="K411" t="s">
        <v>1579</v>
      </c>
      <c r="L411" t="s">
        <v>43</v>
      </c>
      <c r="M411" t="s">
        <v>503</v>
      </c>
      <c r="N411" t="s">
        <v>1832</v>
      </c>
      <c r="T411" t="s">
        <v>103</v>
      </c>
      <c r="U411" t="s">
        <v>1835</v>
      </c>
      <c r="V411" t="s">
        <v>182</v>
      </c>
      <c r="W411" t="s">
        <v>1836</v>
      </c>
    </row>
    <row r="412" spans="1:23" x14ac:dyDescent="0.2">
      <c r="A412" t="s">
        <v>1837</v>
      </c>
      <c r="B412" s="1">
        <f>VALUE(RIGHT(A412,LEN(A412)-3))</f>
        <v>308</v>
      </c>
      <c r="C412" t="s">
        <v>32</v>
      </c>
      <c r="D412">
        <v>1</v>
      </c>
      <c r="E412" t="s">
        <v>57</v>
      </c>
      <c r="F412">
        <v>2</v>
      </c>
      <c r="G412" t="s">
        <v>592</v>
      </c>
      <c r="H412" t="s">
        <v>1838</v>
      </c>
      <c r="I412">
        <v>34</v>
      </c>
      <c r="J412" t="s">
        <v>178</v>
      </c>
      <c r="K412" t="s">
        <v>1137</v>
      </c>
      <c r="L412" t="s">
        <v>43</v>
      </c>
      <c r="M412" t="s">
        <v>503</v>
      </c>
      <c r="N412" t="s">
        <v>1696</v>
      </c>
      <c r="O412">
        <v>3</v>
      </c>
      <c r="P412">
        <v>300</v>
      </c>
      <c r="Q412">
        <v>65</v>
      </c>
      <c r="T412" t="s">
        <v>242</v>
      </c>
      <c r="U412" t="s">
        <v>786</v>
      </c>
      <c r="V412" t="s">
        <v>61</v>
      </c>
      <c r="W412" t="s">
        <v>1841</v>
      </c>
    </row>
    <row r="413" spans="1:23" x14ac:dyDescent="0.2">
      <c r="A413" t="s">
        <v>1847</v>
      </c>
      <c r="B413" s="1">
        <f>VALUE(RIGHT(A413,LEN(A413)-3))</f>
        <v>310</v>
      </c>
      <c r="C413" t="s">
        <v>32</v>
      </c>
      <c r="D413">
        <v>1</v>
      </c>
      <c r="E413" t="s">
        <v>35</v>
      </c>
      <c r="F413">
        <v>0</v>
      </c>
      <c r="H413" t="s">
        <v>1848</v>
      </c>
      <c r="I413">
        <v>40</v>
      </c>
      <c r="J413" t="s">
        <v>357</v>
      </c>
      <c r="K413" t="s">
        <v>259</v>
      </c>
      <c r="L413" t="s">
        <v>43</v>
      </c>
      <c r="M413" t="s">
        <v>503</v>
      </c>
      <c r="N413" t="s">
        <v>1696</v>
      </c>
      <c r="P413">
        <v>500</v>
      </c>
      <c r="R413">
        <v>1000</v>
      </c>
      <c r="T413" t="s">
        <v>242</v>
      </c>
      <c r="U413" t="s">
        <v>786</v>
      </c>
      <c r="V413" t="s">
        <v>61</v>
      </c>
      <c r="W413" t="s">
        <v>1850</v>
      </c>
    </row>
    <row r="414" spans="1:23" hidden="1" x14ac:dyDescent="0.2">
      <c r="A414" t="s">
        <v>1851</v>
      </c>
      <c r="B414" s="1">
        <f>VALUE(RIGHT(A414,LEN(A414)-3))</f>
        <v>311</v>
      </c>
      <c r="C414" t="s">
        <v>44</v>
      </c>
      <c r="D414">
        <v>0</v>
      </c>
      <c r="F414">
        <v>0</v>
      </c>
      <c r="H414" t="s">
        <v>1852</v>
      </c>
      <c r="I414">
        <v>32</v>
      </c>
      <c r="J414" t="s">
        <v>357</v>
      </c>
      <c r="K414" t="s">
        <v>1199</v>
      </c>
      <c r="L414" t="s">
        <v>43</v>
      </c>
      <c r="M414" t="s">
        <v>503</v>
      </c>
      <c r="N414" t="s">
        <v>1832</v>
      </c>
      <c r="T414" t="s">
        <v>367</v>
      </c>
      <c r="U414" t="s">
        <v>368</v>
      </c>
      <c r="V414" t="s">
        <v>48</v>
      </c>
      <c r="W414" t="s">
        <v>1854</v>
      </c>
    </row>
    <row r="415" spans="1:23" x14ac:dyDescent="0.2">
      <c r="A415" t="s">
        <v>1855</v>
      </c>
      <c r="B415" s="1">
        <f>VALUE(RIGHT(A415,LEN(A415)-3))</f>
        <v>312</v>
      </c>
      <c r="C415" t="s">
        <v>32</v>
      </c>
      <c r="D415">
        <v>1</v>
      </c>
      <c r="E415" t="s">
        <v>35</v>
      </c>
      <c r="F415">
        <v>1</v>
      </c>
      <c r="G415" t="s">
        <v>68</v>
      </c>
      <c r="H415" t="s">
        <v>1856</v>
      </c>
      <c r="I415">
        <v>39</v>
      </c>
      <c r="J415" t="s">
        <v>338</v>
      </c>
      <c r="K415" t="s">
        <v>502</v>
      </c>
      <c r="L415" t="s">
        <v>43</v>
      </c>
      <c r="M415" t="s">
        <v>503</v>
      </c>
      <c r="N415" t="s">
        <v>520</v>
      </c>
      <c r="T415" t="s">
        <v>103</v>
      </c>
      <c r="U415" t="s">
        <v>1859</v>
      </c>
      <c r="V415" t="s">
        <v>760</v>
      </c>
      <c r="W415" t="s">
        <v>1860</v>
      </c>
    </row>
    <row r="416" spans="1:23" x14ac:dyDescent="0.2">
      <c r="A416" t="s">
        <v>1861</v>
      </c>
      <c r="B416" s="1">
        <f>VALUE(RIGHT(A416,LEN(A416)-3))</f>
        <v>313</v>
      </c>
      <c r="C416" t="s">
        <v>32</v>
      </c>
      <c r="D416">
        <v>1</v>
      </c>
      <c r="E416" t="s">
        <v>57</v>
      </c>
      <c r="F416">
        <v>0</v>
      </c>
      <c r="H416" t="s">
        <v>1862</v>
      </c>
      <c r="I416">
        <v>38</v>
      </c>
      <c r="J416" t="s">
        <v>1863</v>
      </c>
      <c r="K416" t="s">
        <v>259</v>
      </c>
      <c r="L416" t="s">
        <v>43</v>
      </c>
      <c r="M416" t="s">
        <v>503</v>
      </c>
      <c r="N416" t="s">
        <v>520</v>
      </c>
      <c r="P416">
        <v>800</v>
      </c>
      <c r="R416">
        <v>3800</v>
      </c>
      <c r="T416" t="s">
        <v>103</v>
      </c>
      <c r="U416" t="s">
        <v>1866</v>
      </c>
      <c r="V416" t="s">
        <v>182</v>
      </c>
      <c r="W416" t="s">
        <v>1867</v>
      </c>
    </row>
    <row r="417" spans="1:23" hidden="1" x14ac:dyDescent="0.2">
      <c r="A417" t="s">
        <v>1868</v>
      </c>
      <c r="B417" s="1">
        <f>VALUE(RIGHT(A417,LEN(A417)-3))</f>
        <v>314</v>
      </c>
      <c r="C417" t="s">
        <v>44</v>
      </c>
      <c r="D417">
        <v>0</v>
      </c>
      <c r="F417">
        <v>0</v>
      </c>
      <c r="H417" t="s">
        <v>1869</v>
      </c>
      <c r="I417">
        <v>29</v>
      </c>
      <c r="J417" t="s">
        <v>127</v>
      </c>
      <c r="K417" t="s">
        <v>1373</v>
      </c>
      <c r="L417" t="s">
        <v>43</v>
      </c>
      <c r="M417" t="s">
        <v>503</v>
      </c>
      <c r="N417" t="s">
        <v>520</v>
      </c>
      <c r="T417" t="s">
        <v>103</v>
      </c>
      <c r="U417" t="s">
        <v>47</v>
      </c>
      <c r="V417" t="s">
        <v>182</v>
      </c>
      <c r="W417" t="s">
        <v>1871</v>
      </c>
    </row>
    <row r="418" spans="1:23" hidden="1" x14ac:dyDescent="0.2">
      <c r="A418" t="s">
        <v>1872</v>
      </c>
      <c r="B418" s="1">
        <f>VALUE(RIGHT(A418,LEN(A418)-3))</f>
        <v>315</v>
      </c>
      <c r="C418" t="s">
        <v>44</v>
      </c>
      <c r="D418">
        <v>0</v>
      </c>
      <c r="F418">
        <v>0</v>
      </c>
      <c r="H418" t="s">
        <v>1873</v>
      </c>
      <c r="I418">
        <v>56</v>
      </c>
      <c r="J418" t="s">
        <v>217</v>
      </c>
      <c r="K418" t="s">
        <v>151</v>
      </c>
      <c r="L418" t="s">
        <v>43</v>
      </c>
      <c r="M418" t="s">
        <v>503</v>
      </c>
      <c r="N418" t="s">
        <v>1696</v>
      </c>
      <c r="P418">
        <v>2400</v>
      </c>
      <c r="Q418">
        <v>1500</v>
      </c>
      <c r="T418" t="s">
        <v>103</v>
      </c>
      <c r="U418" t="s">
        <v>104</v>
      </c>
      <c r="V418" t="s">
        <v>182</v>
      </c>
      <c r="W418" t="s">
        <v>1875</v>
      </c>
    </row>
    <row r="419" spans="1:23" x14ac:dyDescent="0.2">
      <c r="A419" t="s">
        <v>1876</v>
      </c>
      <c r="B419" s="1">
        <f>VALUE(RIGHT(A419,LEN(A419)-3))</f>
        <v>316</v>
      </c>
      <c r="C419" t="s">
        <v>32</v>
      </c>
      <c r="D419">
        <v>1</v>
      </c>
      <c r="E419" t="s">
        <v>57</v>
      </c>
      <c r="F419">
        <v>1</v>
      </c>
      <c r="G419" t="s">
        <v>123</v>
      </c>
      <c r="H419" t="s">
        <v>1877</v>
      </c>
      <c r="I419">
        <v>37</v>
      </c>
      <c r="J419" t="s">
        <v>150</v>
      </c>
      <c r="K419" t="s">
        <v>385</v>
      </c>
      <c r="L419" t="s">
        <v>43</v>
      </c>
      <c r="M419" t="s">
        <v>503</v>
      </c>
      <c r="N419" t="s">
        <v>1878</v>
      </c>
      <c r="O419">
        <v>17</v>
      </c>
      <c r="T419" t="s">
        <v>367</v>
      </c>
      <c r="U419" t="s">
        <v>368</v>
      </c>
      <c r="V419" t="s">
        <v>61</v>
      </c>
      <c r="W419" t="s">
        <v>1881</v>
      </c>
    </row>
    <row r="420" spans="1:23" x14ac:dyDescent="0.2">
      <c r="A420" t="s">
        <v>1888</v>
      </c>
      <c r="B420" s="1">
        <f>VALUE(RIGHT(A420,LEN(A420)-3))</f>
        <v>318</v>
      </c>
      <c r="C420" t="s">
        <v>32</v>
      </c>
      <c r="D420">
        <v>1</v>
      </c>
      <c r="E420" t="s">
        <v>57</v>
      </c>
      <c r="F420">
        <v>1</v>
      </c>
      <c r="G420" t="s">
        <v>68</v>
      </c>
      <c r="H420" t="s">
        <v>1889</v>
      </c>
      <c r="I420">
        <v>35</v>
      </c>
      <c r="J420" t="s">
        <v>99</v>
      </c>
      <c r="K420" t="s">
        <v>385</v>
      </c>
      <c r="L420" t="s">
        <v>43</v>
      </c>
      <c r="M420" t="s">
        <v>503</v>
      </c>
      <c r="N420" t="s">
        <v>1890</v>
      </c>
      <c r="O420">
        <v>3</v>
      </c>
      <c r="T420" t="s">
        <v>103</v>
      </c>
      <c r="U420" t="s">
        <v>1892</v>
      </c>
      <c r="V420" t="s">
        <v>635</v>
      </c>
      <c r="W420" t="s">
        <v>1893</v>
      </c>
    </row>
    <row r="421" spans="1:23" x14ac:dyDescent="0.2">
      <c r="A421" t="s">
        <v>1899</v>
      </c>
      <c r="B421" s="1">
        <f>VALUE(RIGHT(A421,LEN(A421)-3))</f>
        <v>320</v>
      </c>
      <c r="C421" t="s">
        <v>32</v>
      </c>
      <c r="D421">
        <v>2</v>
      </c>
      <c r="E421" t="s">
        <v>94</v>
      </c>
      <c r="F421">
        <v>1</v>
      </c>
      <c r="G421" t="s">
        <v>68</v>
      </c>
      <c r="H421" t="s">
        <v>1900</v>
      </c>
      <c r="I421">
        <v>32</v>
      </c>
      <c r="J421" t="s">
        <v>178</v>
      </c>
      <c r="K421" t="s">
        <v>1901</v>
      </c>
      <c r="L421" t="s">
        <v>43</v>
      </c>
      <c r="M421" t="s">
        <v>503</v>
      </c>
      <c r="N421" t="s">
        <v>1391</v>
      </c>
      <c r="O421">
        <v>5</v>
      </c>
      <c r="P421">
        <v>500</v>
      </c>
      <c r="Q421">
        <v>300</v>
      </c>
      <c r="R421">
        <v>300</v>
      </c>
      <c r="T421" t="s">
        <v>242</v>
      </c>
      <c r="U421" t="s">
        <v>786</v>
      </c>
      <c r="V421" t="s">
        <v>1904</v>
      </c>
      <c r="W421" t="s">
        <v>1905</v>
      </c>
    </row>
    <row r="422" spans="1:23" x14ac:dyDescent="0.2">
      <c r="A422" t="s">
        <v>1906</v>
      </c>
      <c r="B422" s="1">
        <f>VALUE(RIGHT(A422,LEN(A422)-3))</f>
        <v>321</v>
      </c>
      <c r="C422" t="s">
        <v>32</v>
      </c>
      <c r="D422">
        <v>1</v>
      </c>
      <c r="E422" t="s">
        <v>57</v>
      </c>
      <c r="F422">
        <v>0</v>
      </c>
      <c r="H422" t="s">
        <v>1907</v>
      </c>
      <c r="I422">
        <v>33</v>
      </c>
      <c r="J422" t="s">
        <v>27</v>
      </c>
      <c r="K422" t="s">
        <v>1313</v>
      </c>
      <c r="L422" t="s">
        <v>43</v>
      </c>
      <c r="M422" t="s">
        <v>503</v>
      </c>
      <c r="N422" t="s">
        <v>1878</v>
      </c>
      <c r="O422">
        <v>3</v>
      </c>
      <c r="P422">
        <v>470</v>
      </c>
      <c r="R422">
        <v>12400</v>
      </c>
      <c r="T422" t="s">
        <v>367</v>
      </c>
      <c r="U422" t="s">
        <v>368</v>
      </c>
      <c r="V422" t="s">
        <v>182</v>
      </c>
      <c r="W422" t="s">
        <v>1910</v>
      </c>
    </row>
    <row r="423" spans="1:23" x14ac:dyDescent="0.2">
      <c r="A423" t="s">
        <v>1911</v>
      </c>
      <c r="B423" s="1">
        <f>VALUE(RIGHT(A423,LEN(A423)-3))</f>
        <v>322</v>
      </c>
      <c r="C423" t="s">
        <v>32</v>
      </c>
      <c r="D423">
        <v>1</v>
      </c>
      <c r="E423" t="s">
        <v>35</v>
      </c>
      <c r="F423">
        <v>2</v>
      </c>
      <c r="G423" t="s">
        <v>241</v>
      </c>
      <c r="H423" t="s">
        <v>1912</v>
      </c>
      <c r="I423">
        <v>48</v>
      </c>
      <c r="J423" t="s">
        <v>551</v>
      </c>
      <c r="K423" t="s">
        <v>151</v>
      </c>
      <c r="L423" t="s">
        <v>43</v>
      </c>
      <c r="M423" t="s">
        <v>503</v>
      </c>
      <c r="N423" t="s">
        <v>1913</v>
      </c>
      <c r="O423">
        <v>10</v>
      </c>
      <c r="T423" t="s">
        <v>242</v>
      </c>
      <c r="U423" t="s">
        <v>47</v>
      </c>
      <c r="V423" t="s">
        <v>61</v>
      </c>
      <c r="W423" t="s">
        <v>1915</v>
      </c>
    </row>
    <row r="424" spans="1:23" x14ac:dyDescent="0.2">
      <c r="A424" t="s">
        <v>1916</v>
      </c>
      <c r="B424" s="1">
        <f>VALUE(RIGHT(A424,LEN(A424)-3))</f>
        <v>323</v>
      </c>
      <c r="C424" t="s">
        <v>32</v>
      </c>
      <c r="D424">
        <v>1</v>
      </c>
      <c r="E424" t="s">
        <v>35</v>
      </c>
      <c r="F424">
        <v>0</v>
      </c>
      <c r="H424" t="s">
        <v>1917</v>
      </c>
      <c r="I424">
        <v>30</v>
      </c>
      <c r="J424" t="s">
        <v>258</v>
      </c>
      <c r="K424" t="s">
        <v>1121</v>
      </c>
      <c r="L424" t="s">
        <v>43</v>
      </c>
      <c r="M424" t="s">
        <v>503</v>
      </c>
      <c r="N424" t="s">
        <v>1832</v>
      </c>
      <c r="O424">
        <v>7</v>
      </c>
      <c r="T424" t="s">
        <v>242</v>
      </c>
      <c r="U424" t="s">
        <v>786</v>
      </c>
      <c r="V424" t="s">
        <v>182</v>
      </c>
      <c r="W424" t="s">
        <v>1920</v>
      </c>
    </row>
    <row r="425" spans="1:23" hidden="1" x14ac:dyDescent="0.2">
      <c r="A425" t="s">
        <v>1938</v>
      </c>
      <c r="B425" s="1">
        <f>VALUE(RIGHT(A425,LEN(A425)-3))</f>
        <v>327</v>
      </c>
      <c r="C425" t="s">
        <v>44</v>
      </c>
      <c r="D425">
        <v>0</v>
      </c>
      <c r="F425">
        <v>0</v>
      </c>
      <c r="H425" t="s">
        <v>1939</v>
      </c>
      <c r="I425">
        <v>37</v>
      </c>
      <c r="J425" t="s">
        <v>1223</v>
      </c>
      <c r="K425" t="s">
        <v>1271</v>
      </c>
      <c r="L425" t="s">
        <v>43</v>
      </c>
      <c r="M425" t="s">
        <v>503</v>
      </c>
      <c r="N425" t="s">
        <v>1913</v>
      </c>
      <c r="R425">
        <v>900</v>
      </c>
      <c r="T425" t="s">
        <v>242</v>
      </c>
      <c r="U425" t="s">
        <v>934</v>
      </c>
      <c r="V425" t="s">
        <v>182</v>
      </c>
      <c r="W425" t="s">
        <v>1941</v>
      </c>
    </row>
    <row r="426" spans="1:23" x14ac:dyDescent="0.2">
      <c r="A426" t="s">
        <v>1942</v>
      </c>
      <c r="B426" s="1">
        <f>VALUE(RIGHT(A426,LEN(A426)-3))</f>
        <v>328</v>
      </c>
      <c r="C426" t="s">
        <v>32</v>
      </c>
      <c r="D426">
        <v>2</v>
      </c>
      <c r="E426" t="s">
        <v>94</v>
      </c>
      <c r="F426">
        <v>1</v>
      </c>
      <c r="G426" t="s">
        <v>68</v>
      </c>
      <c r="H426" t="s">
        <v>1943</v>
      </c>
      <c r="I426">
        <v>26</v>
      </c>
      <c r="J426" t="s">
        <v>120</v>
      </c>
      <c r="K426" t="s">
        <v>961</v>
      </c>
      <c r="L426" t="s">
        <v>43</v>
      </c>
      <c r="M426" t="s">
        <v>503</v>
      </c>
      <c r="N426" t="s">
        <v>1944</v>
      </c>
      <c r="O426">
        <v>2</v>
      </c>
      <c r="P426">
        <v>281</v>
      </c>
      <c r="Q426">
        <v>123</v>
      </c>
      <c r="R426">
        <v>855</v>
      </c>
      <c r="T426" t="s">
        <v>242</v>
      </c>
      <c r="U426" t="s">
        <v>1566</v>
      </c>
      <c r="V426" t="s">
        <v>635</v>
      </c>
      <c r="W426" t="s">
        <v>1947</v>
      </c>
    </row>
    <row r="427" spans="1:23" hidden="1" x14ac:dyDescent="0.2">
      <c r="A427" t="s">
        <v>1948</v>
      </c>
      <c r="B427" s="1">
        <f>VALUE(RIGHT(A427,LEN(A427)-3))</f>
        <v>329</v>
      </c>
      <c r="C427" t="s">
        <v>44</v>
      </c>
      <c r="D427">
        <v>0</v>
      </c>
      <c r="F427">
        <v>0</v>
      </c>
      <c r="H427" t="s">
        <v>1949</v>
      </c>
      <c r="J427" t="s">
        <v>357</v>
      </c>
      <c r="K427" t="s">
        <v>1514</v>
      </c>
      <c r="L427" t="s">
        <v>43</v>
      </c>
      <c r="M427" t="s">
        <v>503</v>
      </c>
      <c r="N427" t="s">
        <v>520</v>
      </c>
      <c r="T427" t="s">
        <v>103</v>
      </c>
      <c r="U427" t="s">
        <v>104</v>
      </c>
      <c r="V427" t="s">
        <v>182</v>
      </c>
      <c r="W427" t="s">
        <v>1951</v>
      </c>
    </row>
    <row r="428" spans="1:23" x14ac:dyDescent="0.2">
      <c r="A428" t="s">
        <v>1952</v>
      </c>
      <c r="B428" s="1">
        <f>VALUE(RIGHT(A428,LEN(A428)-3))</f>
        <v>330</v>
      </c>
      <c r="C428" t="s">
        <v>32</v>
      </c>
      <c r="D428">
        <v>1</v>
      </c>
      <c r="E428" t="s">
        <v>57</v>
      </c>
      <c r="F428">
        <v>0</v>
      </c>
      <c r="H428" t="s">
        <v>1953</v>
      </c>
      <c r="I428">
        <v>40</v>
      </c>
      <c r="J428" t="s">
        <v>357</v>
      </c>
      <c r="K428" t="s">
        <v>1954</v>
      </c>
      <c r="L428" t="s">
        <v>43</v>
      </c>
      <c r="M428" t="s">
        <v>503</v>
      </c>
      <c r="N428" t="s">
        <v>1832</v>
      </c>
      <c r="O428">
        <v>18</v>
      </c>
      <c r="T428" t="s">
        <v>242</v>
      </c>
      <c r="U428" t="s">
        <v>47</v>
      </c>
      <c r="V428" t="s">
        <v>182</v>
      </c>
      <c r="W428" t="s">
        <v>1957</v>
      </c>
    </row>
    <row r="429" spans="1:23" x14ac:dyDescent="0.2">
      <c r="A429" t="s">
        <v>1958</v>
      </c>
      <c r="B429" s="1">
        <f>VALUE(RIGHT(A429,LEN(A429)-3))</f>
        <v>331</v>
      </c>
      <c r="C429" t="s">
        <v>32</v>
      </c>
      <c r="D429">
        <v>1</v>
      </c>
      <c r="E429" t="s">
        <v>57</v>
      </c>
      <c r="F429">
        <v>1</v>
      </c>
      <c r="G429" t="s">
        <v>68</v>
      </c>
      <c r="H429" t="s">
        <v>1959</v>
      </c>
      <c r="I429">
        <v>52</v>
      </c>
      <c r="J429" t="s">
        <v>357</v>
      </c>
      <c r="K429" t="s">
        <v>1960</v>
      </c>
      <c r="L429" t="s">
        <v>43</v>
      </c>
      <c r="M429" t="s">
        <v>503</v>
      </c>
      <c r="N429" t="s">
        <v>520</v>
      </c>
      <c r="O429">
        <v>20</v>
      </c>
      <c r="T429" t="s">
        <v>103</v>
      </c>
      <c r="U429" t="s">
        <v>1963</v>
      </c>
      <c r="V429" t="s">
        <v>48</v>
      </c>
      <c r="W429" t="s">
        <v>1964</v>
      </c>
    </row>
    <row r="430" spans="1:23" x14ac:dyDescent="0.2">
      <c r="A430" t="s">
        <v>1965</v>
      </c>
      <c r="B430" s="1">
        <f>VALUE(RIGHT(A430,LEN(A430)-3))</f>
        <v>332</v>
      </c>
      <c r="C430" t="s">
        <v>32</v>
      </c>
      <c r="D430">
        <v>1</v>
      </c>
      <c r="E430" t="s">
        <v>57</v>
      </c>
      <c r="F430">
        <v>1</v>
      </c>
      <c r="G430" t="s">
        <v>291</v>
      </c>
      <c r="H430" t="s">
        <v>1966</v>
      </c>
      <c r="I430">
        <v>28</v>
      </c>
      <c r="J430" t="s">
        <v>338</v>
      </c>
      <c r="K430" t="s">
        <v>1967</v>
      </c>
      <c r="L430" t="s">
        <v>43</v>
      </c>
      <c r="M430" t="s">
        <v>503</v>
      </c>
      <c r="N430" t="s">
        <v>1944</v>
      </c>
      <c r="O430">
        <v>5</v>
      </c>
      <c r="T430" t="s">
        <v>367</v>
      </c>
      <c r="U430" t="s">
        <v>368</v>
      </c>
      <c r="V430" t="s">
        <v>1274</v>
      </c>
      <c r="W430" t="s">
        <v>1970</v>
      </c>
    </row>
    <row r="431" spans="1:23" x14ac:dyDescent="0.2">
      <c r="A431" t="s">
        <v>1971</v>
      </c>
      <c r="B431" s="1">
        <f>VALUE(RIGHT(A431,LEN(A431)-3))</f>
        <v>333</v>
      </c>
      <c r="C431" t="s">
        <v>32</v>
      </c>
      <c r="D431">
        <v>1</v>
      </c>
      <c r="E431" t="s">
        <v>57</v>
      </c>
      <c r="F431">
        <v>1</v>
      </c>
      <c r="G431" t="s">
        <v>123</v>
      </c>
      <c r="H431" t="s">
        <v>1972</v>
      </c>
      <c r="I431">
        <v>33</v>
      </c>
      <c r="J431" t="s">
        <v>525</v>
      </c>
      <c r="K431" t="s">
        <v>259</v>
      </c>
      <c r="L431" t="s">
        <v>43</v>
      </c>
      <c r="M431" t="s">
        <v>503</v>
      </c>
      <c r="N431" t="s">
        <v>1832</v>
      </c>
      <c r="O431">
        <v>3</v>
      </c>
      <c r="T431" t="s">
        <v>367</v>
      </c>
      <c r="U431" t="s">
        <v>368</v>
      </c>
      <c r="V431" t="s">
        <v>182</v>
      </c>
      <c r="W431" t="s">
        <v>1974</v>
      </c>
    </row>
    <row r="432" spans="1:23" x14ac:dyDescent="0.2">
      <c r="A432" t="s">
        <v>1975</v>
      </c>
      <c r="B432" s="1">
        <f>VALUE(RIGHT(A432,LEN(A432)-3))</f>
        <v>334</v>
      </c>
      <c r="C432" t="s">
        <v>32</v>
      </c>
      <c r="D432">
        <v>1</v>
      </c>
      <c r="E432" t="s">
        <v>130</v>
      </c>
      <c r="F432">
        <v>0</v>
      </c>
      <c r="H432" t="s">
        <v>1976</v>
      </c>
      <c r="I432">
        <v>45</v>
      </c>
      <c r="J432" t="s">
        <v>357</v>
      </c>
      <c r="K432" t="s">
        <v>1653</v>
      </c>
      <c r="L432" t="s">
        <v>43</v>
      </c>
      <c r="M432" t="s">
        <v>503</v>
      </c>
      <c r="N432" t="s">
        <v>1977</v>
      </c>
      <c r="O432">
        <v>3</v>
      </c>
      <c r="P432">
        <v>110</v>
      </c>
      <c r="R432">
        <v>500</v>
      </c>
      <c r="T432" t="s">
        <v>103</v>
      </c>
      <c r="U432" t="s">
        <v>104</v>
      </c>
      <c r="V432" t="s">
        <v>760</v>
      </c>
      <c r="W432" t="s">
        <v>1979</v>
      </c>
    </row>
    <row r="433" spans="1:23" x14ac:dyDescent="0.2">
      <c r="A433" t="s">
        <v>2000</v>
      </c>
      <c r="B433" s="1">
        <f>VALUE(RIGHT(A433,LEN(A433)-3))</f>
        <v>338</v>
      </c>
      <c r="C433" t="s">
        <v>32</v>
      </c>
      <c r="D433">
        <v>1</v>
      </c>
      <c r="E433" t="s">
        <v>57</v>
      </c>
      <c r="F433">
        <v>1</v>
      </c>
      <c r="G433" t="s">
        <v>1354</v>
      </c>
      <c r="H433" t="s">
        <v>2001</v>
      </c>
      <c r="I433">
        <v>49</v>
      </c>
      <c r="J433" t="s">
        <v>402</v>
      </c>
      <c r="K433" t="s">
        <v>2002</v>
      </c>
      <c r="L433" t="s">
        <v>43</v>
      </c>
      <c r="M433" t="s">
        <v>503</v>
      </c>
      <c r="N433" t="s">
        <v>2003</v>
      </c>
      <c r="O433">
        <v>7</v>
      </c>
      <c r="P433">
        <v>660</v>
      </c>
      <c r="Q433">
        <v>250</v>
      </c>
      <c r="R433">
        <v>800</v>
      </c>
      <c r="T433" t="s">
        <v>242</v>
      </c>
      <c r="U433" t="s">
        <v>47</v>
      </c>
      <c r="V433" t="s">
        <v>48</v>
      </c>
      <c r="W433" t="s">
        <v>2006</v>
      </c>
    </row>
    <row r="434" spans="1:23" x14ac:dyDescent="0.2">
      <c r="A434" t="s">
        <v>2019</v>
      </c>
      <c r="B434" s="1">
        <f>VALUE(RIGHT(A434,LEN(A434)-3))</f>
        <v>341</v>
      </c>
      <c r="C434" t="s">
        <v>32</v>
      </c>
      <c r="D434">
        <v>1</v>
      </c>
      <c r="E434" t="s">
        <v>35</v>
      </c>
      <c r="F434">
        <v>0</v>
      </c>
      <c r="H434" t="s">
        <v>2020</v>
      </c>
      <c r="I434">
        <v>38</v>
      </c>
      <c r="J434" t="s">
        <v>27</v>
      </c>
      <c r="K434" t="s">
        <v>2021</v>
      </c>
      <c r="L434" t="s">
        <v>43</v>
      </c>
      <c r="M434" t="s">
        <v>503</v>
      </c>
      <c r="N434" t="s">
        <v>2003</v>
      </c>
      <c r="O434">
        <v>5</v>
      </c>
      <c r="P434">
        <v>300</v>
      </c>
      <c r="R434">
        <v>2000</v>
      </c>
      <c r="T434" t="s">
        <v>242</v>
      </c>
      <c r="U434" t="s">
        <v>786</v>
      </c>
      <c r="V434" t="s">
        <v>48</v>
      </c>
      <c r="W434" t="s">
        <v>2023</v>
      </c>
    </row>
    <row r="435" spans="1:23" x14ac:dyDescent="0.2">
      <c r="A435" t="s">
        <v>2029</v>
      </c>
      <c r="B435" s="1">
        <f>VALUE(RIGHT(A435,LEN(A435)-3))</f>
        <v>343</v>
      </c>
      <c r="C435" t="s">
        <v>32</v>
      </c>
      <c r="D435">
        <v>1</v>
      </c>
      <c r="E435" t="s">
        <v>57</v>
      </c>
      <c r="F435">
        <v>1</v>
      </c>
      <c r="G435" t="s">
        <v>1105</v>
      </c>
      <c r="H435" t="s">
        <v>2030</v>
      </c>
      <c r="I435">
        <v>47</v>
      </c>
      <c r="J435" t="s">
        <v>52</v>
      </c>
      <c r="K435" t="s">
        <v>151</v>
      </c>
      <c r="L435" t="s">
        <v>43</v>
      </c>
      <c r="M435" t="s">
        <v>503</v>
      </c>
      <c r="N435" t="s">
        <v>1696</v>
      </c>
      <c r="O435">
        <v>10</v>
      </c>
      <c r="T435" t="s">
        <v>103</v>
      </c>
      <c r="U435" t="s">
        <v>515</v>
      </c>
      <c r="V435" t="s">
        <v>48</v>
      </c>
      <c r="W435" t="s">
        <v>2033</v>
      </c>
    </row>
    <row r="436" spans="1:23" x14ac:dyDescent="0.2">
      <c r="A436" t="s">
        <v>2034</v>
      </c>
      <c r="B436" s="1">
        <f>VALUE(RIGHT(A436,LEN(A436)-3))</f>
        <v>344</v>
      </c>
      <c r="C436" t="s">
        <v>32</v>
      </c>
      <c r="D436">
        <v>1</v>
      </c>
      <c r="E436" t="s">
        <v>35</v>
      </c>
      <c r="F436">
        <v>1</v>
      </c>
      <c r="G436" t="s">
        <v>1354</v>
      </c>
      <c r="H436" t="s">
        <v>2030</v>
      </c>
      <c r="I436">
        <v>37</v>
      </c>
      <c r="J436" t="s">
        <v>338</v>
      </c>
      <c r="K436" t="s">
        <v>100</v>
      </c>
      <c r="L436" t="s">
        <v>43</v>
      </c>
      <c r="M436" t="s">
        <v>503</v>
      </c>
      <c r="N436" t="s">
        <v>1944</v>
      </c>
      <c r="T436" t="s">
        <v>103</v>
      </c>
      <c r="U436" t="s">
        <v>432</v>
      </c>
      <c r="V436" t="s">
        <v>48</v>
      </c>
      <c r="W436" t="s">
        <v>2037</v>
      </c>
    </row>
    <row r="437" spans="1:23" x14ac:dyDescent="0.2">
      <c r="A437" t="s">
        <v>2052</v>
      </c>
      <c r="B437" s="1">
        <f>VALUE(RIGHT(A437,LEN(A437)-3))</f>
        <v>348</v>
      </c>
      <c r="C437" t="s">
        <v>32</v>
      </c>
      <c r="D437">
        <v>1</v>
      </c>
      <c r="E437" t="s">
        <v>35</v>
      </c>
      <c r="F437">
        <v>4</v>
      </c>
      <c r="G437" t="s">
        <v>267</v>
      </c>
      <c r="H437" t="s">
        <v>2049</v>
      </c>
      <c r="I437">
        <v>25</v>
      </c>
      <c r="J437" t="s">
        <v>690</v>
      </c>
      <c r="K437" t="s">
        <v>385</v>
      </c>
      <c r="L437" t="s">
        <v>43</v>
      </c>
      <c r="M437" t="s">
        <v>503</v>
      </c>
      <c r="N437" t="s">
        <v>2003</v>
      </c>
      <c r="P437">
        <v>1</v>
      </c>
      <c r="Q437">
        <v>1</v>
      </c>
      <c r="R437">
        <v>40</v>
      </c>
      <c r="T437" t="s">
        <v>138</v>
      </c>
      <c r="U437" t="s">
        <v>2055</v>
      </c>
      <c r="V437" t="s">
        <v>48</v>
      </c>
      <c r="W437" t="s">
        <v>2056</v>
      </c>
    </row>
    <row r="438" spans="1:23" x14ac:dyDescent="0.2">
      <c r="A438" t="s">
        <v>2057</v>
      </c>
      <c r="B438" s="1">
        <f>VALUE(RIGHT(A438,LEN(A438)-3))</f>
        <v>349</v>
      </c>
      <c r="C438" t="s">
        <v>32</v>
      </c>
      <c r="D438">
        <v>1</v>
      </c>
      <c r="E438" t="s">
        <v>130</v>
      </c>
      <c r="F438">
        <v>0</v>
      </c>
      <c r="H438" t="s">
        <v>2058</v>
      </c>
      <c r="I438">
        <v>37</v>
      </c>
      <c r="J438" t="s">
        <v>127</v>
      </c>
      <c r="K438" t="s">
        <v>1271</v>
      </c>
      <c r="L438" t="s">
        <v>43</v>
      </c>
      <c r="M438" t="s">
        <v>503</v>
      </c>
      <c r="N438" t="s">
        <v>2059</v>
      </c>
      <c r="O438">
        <v>11</v>
      </c>
      <c r="P438">
        <v>969</v>
      </c>
      <c r="T438" t="s">
        <v>242</v>
      </c>
      <c r="U438" t="s">
        <v>2062</v>
      </c>
      <c r="V438" t="s">
        <v>2063</v>
      </c>
      <c r="W438" t="s">
        <v>2064</v>
      </c>
    </row>
    <row r="439" spans="1:23" hidden="1" x14ac:dyDescent="0.2">
      <c r="A439" t="s">
        <v>2065</v>
      </c>
      <c r="B439" s="1">
        <f>VALUE(RIGHT(A439,LEN(A439)-3))</f>
        <v>350</v>
      </c>
      <c r="C439" t="s">
        <v>44</v>
      </c>
      <c r="D439">
        <v>0</v>
      </c>
      <c r="F439">
        <v>0</v>
      </c>
      <c r="H439" t="s">
        <v>2066</v>
      </c>
      <c r="I439">
        <v>33</v>
      </c>
      <c r="J439" t="s">
        <v>338</v>
      </c>
      <c r="K439" t="s">
        <v>496</v>
      </c>
      <c r="L439" t="s">
        <v>43</v>
      </c>
      <c r="M439" t="s">
        <v>503</v>
      </c>
      <c r="N439" t="s">
        <v>1890</v>
      </c>
      <c r="O439">
        <v>4</v>
      </c>
      <c r="P439">
        <v>200</v>
      </c>
      <c r="Q439">
        <v>170</v>
      </c>
      <c r="R439">
        <v>700</v>
      </c>
      <c r="T439" t="s">
        <v>367</v>
      </c>
      <c r="U439" t="s">
        <v>194</v>
      </c>
      <c r="V439" t="s">
        <v>61</v>
      </c>
      <c r="W439" t="s">
        <v>2068</v>
      </c>
    </row>
    <row r="440" spans="1:23" x14ac:dyDescent="0.2">
      <c r="A440" t="s">
        <v>2069</v>
      </c>
      <c r="B440" s="1">
        <f>VALUE(RIGHT(A440,LEN(A440)-3))</f>
        <v>351</v>
      </c>
      <c r="C440" t="s">
        <v>32</v>
      </c>
      <c r="D440">
        <v>1</v>
      </c>
      <c r="E440" t="s">
        <v>35</v>
      </c>
      <c r="F440">
        <v>0</v>
      </c>
      <c r="H440" t="s">
        <v>2070</v>
      </c>
      <c r="J440" t="s">
        <v>1223</v>
      </c>
      <c r="K440" t="s">
        <v>1271</v>
      </c>
      <c r="L440" t="s">
        <v>43</v>
      </c>
      <c r="M440" t="s">
        <v>503</v>
      </c>
      <c r="N440" t="s">
        <v>2003</v>
      </c>
      <c r="O440">
        <v>10</v>
      </c>
      <c r="P440">
        <v>1300</v>
      </c>
      <c r="R440">
        <v>1000</v>
      </c>
      <c r="T440" t="s">
        <v>103</v>
      </c>
      <c r="U440" t="s">
        <v>681</v>
      </c>
      <c r="V440" t="s">
        <v>61</v>
      </c>
      <c r="W440" t="s">
        <v>2073</v>
      </c>
    </row>
    <row r="441" spans="1:23" hidden="1" x14ac:dyDescent="0.2">
      <c r="A441" t="s">
        <v>2080</v>
      </c>
      <c r="B441" s="1">
        <f>VALUE(RIGHT(A441,LEN(A441)-3))</f>
        <v>353</v>
      </c>
      <c r="C441" t="s">
        <v>44</v>
      </c>
      <c r="D441">
        <v>0</v>
      </c>
      <c r="F441">
        <v>0</v>
      </c>
      <c r="H441" t="s">
        <v>2081</v>
      </c>
      <c r="I441">
        <v>52</v>
      </c>
      <c r="J441" t="s">
        <v>258</v>
      </c>
      <c r="K441" t="s">
        <v>1514</v>
      </c>
      <c r="L441" t="s">
        <v>43</v>
      </c>
      <c r="M441" t="s">
        <v>503</v>
      </c>
      <c r="N441" t="s">
        <v>2003</v>
      </c>
      <c r="O441">
        <v>7</v>
      </c>
      <c r="P441">
        <v>500</v>
      </c>
      <c r="Q441">
        <v>300</v>
      </c>
      <c r="R441">
        <v>600</v>
      </c>
      <c r="T441" t="s">
        <v>242</v>
      </c>
      <c r="U441" t="s">
        <v>47</v>
      </c>
      <c r="V441" t="s">
        <v>61</v>
      </c>
      <c r="W441" t="s">
        <v>2083</v>
      </c>
    </row>
    <row r="442" spans="1:23" x14ac:dyDescent="0.2">
      <c r="A442" t="s">
        <v>2089</v>
      </c>
      <c r="B442" s="1">
        <f>VALUE(RIGHT(A442,LEN(A442)-3))</f>
        <v>355</v>
      </c>
      <c r="C442" t="s">
        <v>32</v>
      </c>
      <c r="D442">
        <v>1</v>
      </c>
      <c r="E442" t="s">
        <v>57</v>
      </c>
      <c r="F442">
        <v>2</v>
      </c>
      <c r="G442" t="s">
        <v>444</v>
      </c>
      <c r="H442" t="s">
        <v>2090</v>
      </c>
      <c r="I442">
        <v>34</v>
      </c>
      <c r="J442" t="s">
        <v>402</v>
      </c>
      <c r="K442" t="s">
        <v>259</v>
      </c>
      <c r="L442" t="s">
        <v>43</v>
      </c>
      <c r="M442" t="s">
        <v>503</v>
      </c>
      <c r="N442" t="s">
        <v>2091</v>
      </c>
      <c r="O442">
        <v>7</v>
      </c>
      <c r="P442">
        <v>1150</v>
      </c>
      <c r="Q442">
        <v>80</v>
      </c>
      <c r="R442">
        <v>400</v>
      </c>
      <c r="T442" t="s">
        <v>103</v>
      </c>
      <c r="U442" t="s">
        <v>851</v>
      </c>
      <c r="V442" t="s">
        <v>61</v>
      </c>
      <c r="W442" t="s">
        <v>2094</v>
      </c>
    </row>
    <row r="443" spans="1:23" x14ac:dyDescent="0.2">
      <c r="A443" t="s">
        <v>2101</v>
      </c>
      <c r="B443" s="1">
        <f>VALUE(RIGHT(A443,LEN(A443)-3))</f>
        <v>357</v>
      </c>
      <c r="C443" t="s">
        <v>32</v>
      </c>
      <c r="D443">
        <v>1</v>
      </c>
      <c r="E443" t="s">
        <v>35</v>
      </c>
      <c r="F443">
        <v>2</v>
      </c>
      <c r="G443" t="s">
        <v>2106</v>
      </c>
      <c r="H443" t="s">
        <v>2102</v>
      </c>
      <c r="I443">
        <v>37</v>
      </c>
      <c r="J443" t="s">
        <v>112</v>
      </c>
      <c r="K443" t="s">
        <v>2103</v>
      </c>
      <c r="L443" t="s">
        <v>43</v>
      </c>
      <c r="M443" t="s">
        <v>503</v>
      </c>
      <c r="N443" t="s">
        <v>2003</v>
      </c>
      <c r="T443" t="s">
        <v>242</v>
      </c>
      <c r="U443" t="s">
        <v>2107</v>
      </c>
      <c r="V443" t="s">
        <v>48</v>
      </c>
      <c r="W443" t="s">
        <v>2108</v>
      </c>
    </row>
    <row r="444" spans="1:23" x14ac:dyDescent="0.2">
      <c r="A444" t="s">
        <v>2109</v>
      </c>
      <c r="B444" s="1">
        <f>VALUE(RIGHT(A444,LEN(A444)-3))</f>
        <v>358</v>
      </c>
      <c r="C444" t="s">
        <v>32</v>
      </c>
      <c r="D444">
        <v>1</v>
      </c>
      <c r="E444" t="s">
        <v>35</v>
      </c>
      <c r="F444">
        <v>0</v>
      </c>
      <c r="H444" t="s">
        <v>2110</v>
      </c>
      <c r="I444">
        <v>27</v>
      </c>
      <c r="J444" t="s">
        <v>800</v>
      </c>
      <c r="K444" t="s">
        <v>151</v>
      </c>
      <c r="L444" t="s">
        <v>43</v>
      </c>
      <c r="M444" t="s">
        <v>503</v>
      </c>
      <c r="N444" t="s">
        <v>520</v>
      </c>
      <c r="O444">
        <v>3</v>
      </c>
      <c r="P444">
        <v>400</v>
      </c>
      <c r="Q444">
        <v>150</v>
      </c>
      <c r="R444">
        <v>800</v>
      </c>
      <c r="S444">
        <v>400</v>
      </c>
      <c r="T444" t="s">
        <v>242</v>
      </c>
      <c r="U444" t="s">
        <v>47</v>
      </c>
      <c r="V444" t="s">
        <v>61</v>
      </c>
      <c r="W444" t="s">
        <v>2113</v>
      </c>
    </row>
    <row r="445" spans="1:23" x14ac:dyDescent="0.2">
      <c r="A445" t="s">
        <v>2125</v>
      </c>
      <c r="B445" s="1">
        <f>VALUE(RIGHT(A445,LEN(A445)-3))</f>
        <v>361</v>
      </c>
      <c r="C445" t="s">
        <v>32</v>
      </c>
      <c r="D445">
        <v>1</v>
      </c>
      <c r="E445" t="s">
        <v>57</v>
      </c>
      <c r="F445">
        <v>0</v>
      </c>
      <c r="H445" t="s">
        <v>2126</v>
      </c>
      <c r="J445" t="s">
        <v>178</v>
      </c>
      <c r="K445" t="s">
        <v>259</v>
      </c>
      <c r="L445" t="s">
        <v>43</v>
      </c>
      <c r="M445" t="s">
        <v>503</v>
      </c>
      <c r="N445" t="s">
        <v>2127</v>
      </c>
      <c r="P445">
        <v>650</v>
      </c>
      <c r="T445" t="s">
        <v>103</v>
      </c>
      <c r="U445" t="s">
        <v>104</v>
      </c>
      <c r="V445" t="s">
        <v>1274</v>
      </c>
      <c r="W445" t="s">
        <v>2129</v>
      </c>
    </row>
    <row r="446" spans="1:23" hidden="1" x14ac:dyDescent="0.2">
      <c r="A446" t="s">
        <v>2136</v>
      </c>
      <c r="B446" s="1">
        <f>VALUE(RIGHT(A446,LEN(A446)-3))</f>
        <v>363</v>
      </c>
      <c r="C446" t="s">
        <v>44</v>
      </c>
      <c r="D446">
        <v>0</v>
      </c>
      <c r="F446">
        <v>0</v>
      </c>
      <c r="H446" t="s">
        <v>2131</v>
      </c>
      <c r="I446">
        <v>33</v>
      </c>
      <c r="J446" t="s">
        <v>27</v>
      </c>
      <c r="K446" t="s">
        <v>1271</v>
      </c>
      <c r="L446" t="s">
        <v>43</v>
      </c>
      <c r="M446" t="s">
        <v>503</v>
      </c>
      <c r="N446" t="s">
        <v>1210</v>
      </c>
      <c r="O446">
        <v>8</v>
      </c>
      <c r="P446">
        <v>715</v>
      </c>
      <c r="R446">
        <v>500</v>
      </c>
      <c r="T446" t="s">
        <v>242</v>
      </c>
      <c r="U446" t="s">
        <v>368</v>
      </c>
      <c r="V446" t="s">
        <v>753</v>
      </c>
      <c r="W446" t="s">
        <v>2138</v>
      </c>
    </row>
    <row r="447" spans="1:23" x14ac:dyDescent="0.2">
      <c r="A447" t="s">
        <v>2145</v>
      </c>
      <c r="B447" s="1">
        <f>VALUE(RIGHT(A447,LEN(A447)-3))</f>
        <v>365</v>
      </c>
      <c r="C447" t="s">
        <v>32</v>
      </c>
      <c r="D447">
        <v>1</v>
      </c>
      <c r="E447" t="s">
        <v>57</v>
      </c>
      <c r="F447">
        <v>0</v>
      </c>
      <c r="H447" t="s">
        <v>2146</v>
      </c>
      <c r="I447">
        <v>47</v>
      </c>
      <c r="J447" t="s">
        <v>338</v>
      </c>
      <c r="K447" t="s">
        <v>961</v>
      </c>
      <c r="L447" t="s">
        <v>43</v>
      </c>
      <c r="M447" t="s">
        <v>503</v>
      </c>
      <c r="N447" t="s">
        <v>2003</v>
      </c>
      <c r="O447">
        <v>8</v>
      </c>
      <c r="T447" t="s">
        <v>367</v>
      </c>
      <c r="U447" t="s">
        <v>368</v>
      </c>
      <c r="V447" t="s">
        <v>48</v>
      </c>
      <c r="W447" t="s">
        <v>2148</v>
      </c>
    </row>
    <row r="448" spans="1:23" hidden="1" x14ac:dyDescent="0.2">
      <c r="A448" t="s">
        <v>2149</v>
      </c>
      <c r="B448" s="1">
        <f>VALUE(RIGHT(A448,LEN(A448)-3))</f>
        <v>366</v>
      </c>
      <c r="C448" t="s">
        <v>44</v>
      </c>
      <c r="D448">
        <v>0</v>
      </c>
      <c r="F448">
        <v>0</v>
      </c>
      <c r="H448" t="s">
        <v>2150</v>
      </c>
      <c r="I448">
        <v>40</v>
      </c>
      <c r="J448" t="s">
        <v>127</v>
      </c>
      <c r="K448" t="s">
        <v>639</v>
      </c>
      <c r="L448" t="s">
        <v>43</v>
      </c>
      <c r="M448" t="s">
        <v>503</v>
      </c>
      <c r="N448" t="s">
        <v>520</v>
      </c>
      <c r="T448" t="s">
        <v>242</v>
      </c>
      <c r="U448" t="s">
        <v>2107</v>
      </c>
      <c r="V448" t="s">
        <v>1081</v>
      </c>
      <c r="W448" t="s">
        <v>2152</v>
      </c>
    </row>
    <row r="449" spans="1:23" x14ac:dyDescent="0.2">
      <c r="A449" t="s">
        <v>2160</v>
      </c>
      <c r="B449" s="1">
        <f>VALUE(RIGHT(A449,LEN(A449)-3))</f>
        <v>367</v>
      </c>
      <c r="C449" t="s">
        <v>32</v>
      </c>
      <c r="D449">
        <v>1</v>
      </c>
      <c r="E449" t="s">
        <v>130</v>
      </c>
      <c r="F449">
        <v>0</v>
      </c>
      <c r="H449" t="s">
        <v>2161</v>
      </c>
      <c r="I449">
        <v>30</v>
      </c>
      <c r="J449" t="s">
        <v>52</v>
      </c>
      <c r="K449" t="s">
        <v>151</v>
      </c>
      <c r="L449" t="s">
        <v>43</v>
      </c>
      <c r="M449" t="s">
        <v>503</v>
      </c>
      <c r="N449" t="s">
        <v>1696</v>
      </c>
      <c r="O449">
        <v>4</v>
      </c>
      <c r="P449">
        <v>400</v>
      </c>
      <c r="Q449">
        <v>200</v>
      </c>
      <c r="R449">
        <v>550</v>
      </c>
      <c r="S449">
        <v>350</v>
      </c>
      <c r="T449" t="s">
        <v>242</v>
      </c>
      <c r="U449" t="s">
        <v>47</v>
      </c>
      <c r="V449" t="s">
        <v>2063</v>
      </c>
      <c r="W449" t="s">
        <v>2163</v>
      </c>
    </row>
    <row r="450" spans="1:23" x14ac:dyDescent="0.2">
      <c r="A450" t="s">
        <v>2153</v>
      </c>
      <c r="B450" s="1">
        <f>VALUE(RIGHT(A450,LEN(A450)-3))</f>
        <v>368</v>
      </c>
      <c r="C450" t="s">
        <v>32</v>
      </c>
      <c r="D450">
        <v>1</v>
      </c>
      <c r="E450" t="s">
        <v>57</v>
      </c>
      <c r="F450">
        <v>1</v>
      </c>
      <c r="G450" t="s">
        <v>291</v>
      </c>
      <c r="H450" t="s">
        <v>2154</v>
      </c>
      <c r="I450">
        <v>27</v>
      </c>
      <c r="J450" t="s">
        <v>258</v>
      </c>
      <c r="K450" t="s">
        <v>2155</v>
      </c>
      <c r="L450" t="s">
        <v>43</v>
      </c>
      <c r="M450" t="s">
        <v>503</v>
      </c>
      <c r="N450" t="s">
        <v>1771</v>
      </c>
      <c r="O450">
        <v>8</v>
      </c>
      <c r="T450" t="s">
        <v>86</v>
      </c>
      <c r="U450" t="s">
        <v>2158</v>
      </c>
      <c r="V450" t="s">
        <v>235</v>
      </c>
      <c r="W450" t="s">
        <v>2159</v>
      </c>
    </row>
    <row r="451" spans="1:23" hidden="1" x14ac:dyDescent="0.2">
      <c r="A451" t="s">
        <v>2164</v>
      </c>
      <c r="B451" s="1">
        <f>VALUE(RIGHT(A451,LEN(A451)-3))</f>
        <v>369</v>
      </c>
      <c r="C451" t="s">
        <v>44</v>
      </c>
      <c r="D451">
        <v>0</v>
      </c>
      <c r="F451">
        <v>0</v>
      </c>
      <c r="H451" t="s">
        <v>2165</v>
      </c>
      <c r="I451">
        <v>35</v>
      </c>
      <c r="J451" t="s">
        <v>1223</v>
      </c>
      <c r="K451" t="s">
        <v>2166</v>
      </c>
      <c r="L451" t="s">
        <v>43</v>
      </c>
      <c r="M451" t="s">
        <v>503</v>
      </c>
      <c r="N451" t="s">
        <v>2003</v>
      </c>
      <c r="O451">
        <v>6</v>
      </c>
      <c r="Q451">
        <v>400</v>
      </c>
      <c r="T451" t="s">
        <v>2168</v>
      </c>
      <c r="U451" t="s">
        <v>951</v>
      </c>
      <c r="V451" t="s">
        <v>61</v>
      </c>
      <c r="W451" t="s">
        <v>2169</v>
      </c>
    </row>
    <row r="452" spans="1:23" x14ac:dyDescent="0.2">
      <c r="A452" t="s">
        <v>2208</v>
      </c>
      <c r="B452" s="1">
        <f>VALUE(RIGHT(A452,LEN(A452)-3))</f>
        <v>376</v>
      </c>
      <c r="C452" t="s">
        <v>32</v>
      </c>
      <c r="D452">
        <v>1</v>
      </c>
      <c r="E452" t="s">
        <v>57</v>
      </c>
      <c r="F452">
        <v>1</v>
      </c>
      <c r="G452" t="s">
        <v>68</v>
      </c>
      <c r="H452" t="s">
        <v>2209</v>
      </c>
      <c r="I452">
        <v>34</v>
      </c>
      <c r="J452" t="s">
        <v>27</v>
      </c>
      <c r="K452" t="s">
        <v>1271</v>
      </c>
      <c r="L452" t="s">
        <v>43</v>
      </c>
      <c r="M452" t="s">
        <v>503</v>
      </c>
      <c r="N452" t="s">
        <v>1890</v>
      </c>
      <c r="O452">
        <v>5</v>
      </c>
      <c r="P452">
        <v>400</v>
      </c>
      <c r="Q452">
        <v>400</v>
      </c>
      <c r="R452">
        <v>1700</v>
      </c>
      <c r="S452">
        <v>1400</v>
      </c>
      <c r="T452" t="s">
        <v>103</v>
      </c>
      <c r="U452" t="s">
        <v>2211</v>
      </c>
      <c r="V452" t="s">
        <v>61</v>
      </c>
      <c r="W452" t="s">
        <v>2212</v>
      </c>
    </row>
    <row r="453" spans="1:23" x14ac:dyDescent="0.2">
      <c r="A453" t="s">
        <v>2244</v>
      </c>
      <c r="B453" s="1">
        <f>VALUE(RIGHT(A453,LEN(A453)-3))</f>
        <v>382</v>
      </c>
      <c r="C453" t="s">
        <v>32</v>
      </c>
      <c r="D453">
        <v>1</v>
      </c>
      <c r="E453" t="s">
        <v>57</v>
      </c>
      <c r="F453">
        <v>0</v>
      </c>
      <c r="H453" t="s">
        <v>2245</v>
      </c>
      <c r="I453">
        <v>46</v>
      </c>
      <c r="J453" t="s">
        <v>357</v>
      </c>
      <c r="K453" t="s">
        <v>1790</v>
      </c>
      <c r="L453" t="s">
        <v>43</v>
      </c>
      <c r="M453" t="s">
        <v>503</v>
      </c>
      <c r="N453" t="s">
        <v>2246</v>
      </c>
      <c r="P453">
        <v>200</v>
      </c>
      <c r="R453">
        <v>1000</v>
      </c>
      <c r="T453" t="s">
        <v>242</v>
      </c>
      <c r="U453" t="s">
        <v>934</v>
      </c>
      <c r="V453" t="s">
        <v>61</v>
      </c>
      <c r="W453" t="s">
        <v>2249</v>
      </c>
    </row>
    <row r="454" spans="1:23" x14ac:dyDescent="0.2">
      <c r="A454" t="s">
        <v>2256</v>
      </c>
      <c r="B454" s="1">
        <f>VALUE(RIGHT(A454,LEN(A454)-3))</f>
        <v>384</v>
      </c>
      <c r="C454" t="s">
        <v>32</v>
      </c>
      <c r="D454">
        <v>1</v>
      </c>
      <c r="E454" t="s">
        <v>57</v>
      </c>
      <c r="F454">
        <v>1</v>
      </c>
      <c r="G454" t="s">
        <v>1105</v>
      </c>
      <c r="H454" t="s">
        <v>2257</v>
      </c>
      <c r="I454">
        <v>38</v>
      </c>
      <c r="J454" t="s">
        <v>258</v>
      </c>
      <c r="K454" t="s">
        <v>2258</v>
      </c>
      <c r="L454" t="s">
        <v>43</v>
      </c>
      <c r="M454" t="s">
        <v>503</v>
      </c>
      <c r="N454" t="s">
        <v>2259</v>
      </c>
      <c r="O454">
        <v>14</v>
      </c>
      <c r="P454">
        <v>1400</v>
      </c>
      <c r="T454" t="s">
        <v>103</v>
      </c>
      <c r="U454" t="s">
        <v>515</v>
      </c>
      <c r="V454" t="s">
        <v>61</v>
      </c>
      <c r="W454" t="s">
        <v>2262</v>
      </c>
    </row>
    <row r="455" spans="1:23" x14ac:dyDescent="0.2">
      <c r="A455" t="s">
        <v>2263</v>
      </c>
      <c r="B455" s="1">
        <f>VALUE(RIGHT(A455,LEN(A455)-3))</f>
        <v>385</v>
      </c>
      <c r="C455" t="s">
        <v>32</v>
      </c>
      <c r="D455">
        <v>1</v>
      </c>
      <c r="E455" t="s">
        <v>57</v>
      </c>
      <c r="F455">
        <v>0</v>
      </c>
      <c r="H455" t="s">
        <v>2264</v>
      </c>
      <c r="I455">
        <v>54</v>
      </c>
      <c r="J455" t="s">
        <v>178</v>
      </c>
      <c r="K455" t="s">
        <v>1647</v>
      </c>
      <c r="L455" t="s">
        <v>43</v>
      </c>
      <c r="M455" t="s">
        <v>503</v>
      </c>
      <c r="N455" t="s">
        <v>2059</v>
      </c>
      <c r="O455">
        <v>28</v>
      </c>
      <c r="P455">
        <v>800</v>
      </c>
      <c r="Q455">
        <v>622</v>
      </c>
      <c r="T455" t="s">
        <v>242</v>
      </c>
      <c r="U455" t="s">
        <v>555</v>
      </c>
      <c r="V455" t="s">
        <v>48</v>
      </c>
      <c r="W455" t="s">
        <v>2267</v>
      </c>
    </row>
    <row r="456" spans="1:23" x14ac:dyDescent="0.2">
      <c r="A456" t="s">
        <v>2268</v>
      </c>
      <c r="B456" s="1">
        <f>VALUE(RIGHT(A456,LEN(A456)-3))</f>
        <v>386</v>
      </c>
      <c r="C456" t="s">
        <v>32</v>
      </c>
      <c r="D456">
        <v>1</v>
      </c>
      <c r="E456" t="s">
        <v>35</v>
      </c>
      <c r="F456">
        <v>0</v>
      </c>
      <c r="H456" t="s">
        <v>2269</v>
      </c>
      <c r="I456">
        <v>42</v>
      </c>
      <c r="J456" t="s">
        <v>127</v>
      </c>
      <c r="K456" t="s">
        <v>2270</v>
      </c>
      <c r="L456" t="s">
        <v>43</v>
      </c>
      <c r="M456" t="s">
        <v>503</v>
      </c>
      <c r="N456" t="s">
        <v>2003</v>
      </c>
      <c r="O456">
        <v>8</v>
      </c>
      <c r="P456">
        <v>450</v>
      </c>
      <c r="Q456">
        <v>300</v>
      </c>
      <c r="R456">
        <v>500</v>
      </c>
      <c r="T456" t="s">
        <v>242</v>
      </c>
      <c r="U456" t="s">
        <v>2273</v>
      </c>
      <c r="V456" t="s">
        <v>48</v>
      </c>
      <c r="W456" t="s">
        <v>2274</v>
      </c>
    </row>
    <row r="457" spans="1:23" x14ac:dyDescent="0.2">
      <c r="A457" t="s">
        <v>2289</v>
      </c>
      <c r="B457" s="1">
        <f>VALUE(RIGHT(A457,LEN(A457)-3))</f>
        <v>389</v>
      </c>
      <c r="C457" t="s">
        <v>32</v>
      </c>
      <c r="D457">
        <v>1</v>
      </c>
      <c r="E457" t="s">
        <v>57</v>
      </c>
      <c r="F457">
        <v>0</v>
      </c>
      <c r="H457" t="s">
        <v>2290</v>
      </c>
      <c r="I457">
        <v>33</v>
      </c>
      <c r="J457" t="s">
        <v>150</v>
      </c>
      <c r="K457" t="s">
        <v>2291</v>
      </c>
      <c r="L457" t="s">
        <v>43</v>
      </c>
      <c r="M457" t="s">
        <v>503</v>
      </c>
      <c r="N457" t="s">
        <v>2292</v>
      </c>
      <c r="O457">
        <v>2</v>
      </c>
      <c r="P457">
        <v>70</v>
      </c>
      <c r="Q457">
        <v>40</v>
      </c>
      <c r="R457">
        <v>700</v>
      </c>
      <c r="S457">
        <v>400</v>
      </c>
      <c r="T457" t="s">
        <v>242</v>
      </c>
      <c r="U457" t="s">
        <v>2295</v>
      </c>
      <c r="V457" t="s">
        <v>61</v>
      </c>
      <c r="W457" t="s">
        <v>2296</v>
      </c>
    </row>
    <row r="458" spans="1:23" x14ac:dyDescent="0.2">
      <c r="A458" t="s">
        <v>2297</v>
      </c>
      <c r="B458" s="1">
        <f>VALUE(RIGHT(A458,LEN(A458)-3))</f>
        <v>390</v>
      </c>
      <c r="C458" t="s">
        <v>32</v>
      </c>
      <c r="D458">
        <v>1</v>
      </c>
      <c r="E458" t="s">
        <v>35</v>
      </c>
      <c r="F458">
        <v>2</v>
      </c>
      <c r="G458" t="s">
        <v>241</v>
      </c>
      <c r="H458" t="s">
        <v>2290</v>
      </c>
      <c r="I458">
        <v>26</v>
      </c>
      <c r="J458" t="s">
        <v>338</v>
      </c>
      <c r="K458" t="s">
        <v>2298</v>
      </c>
      <c r="L458" t="s">
        <v>43</v>
      </c>
      <c r="M458" t="s">
        <v>503</v>
      </c>
      <c r="N458" t="s">
        <v>2299</v>
      </c>
      <c r="O458">
        <v>2</v>
      </c>
      <c r="P458">
        <v>250</v>
      </c>
      <c r="T458" t="s">
        <v>242</v>
      </c>
      <c r="U458" t="s">
        <v>368</v>
      </c>
      <c r="V458" t="s">
        <v>700</v>
      </c>
      <c r="W458" t="s">
        <v>2302</v>
      </c>
    </row>
    <row r="459" spans="1:23" x14ac:dyDescent="0.2">
      <c r="A459" t="s">
        <v>2309</v>
      </c>
      <c r="B459" s="1">
        <f>VALUE(RIGHT(A459,LEN(A459)-3))</f>
        <v>392</v>
      </c>
      <c r="C459" t="s">
        <v>32</v>
      </c>
      <c r="D459">
        <v>1</v>
      </c>
      <c r="E459" t="s">
        <v>35</v>
      </c>
      <c r="F459">
        <v>3</v>
      </c>
      <c r="G459" t="s">
        <v>1213</v>
      </c>
      <c r="H459" t="s">
        <v>2310</v>
      </c>
      <c r="I459">
        <v>23</v>
      </c>
      <c r="J459" t="s">
        <v>27</v>
      </c>
      <c r="K459" t="s">
        <v>584</v>
      </c>
      <c r="L459" t="s">
        <v>43</v>
      </c>
      <c r="M459" t="s">
        <v>503</v>
      </c>
      <c r="N459" t="s">
        <v>1890</v>
      </c>
      <c r="O459">
        <v>4</v>
      </c>
      <c r="P459">
        <v>250</v>
      </c>
      <c r="Q459">
        <v>150</v>
      </c>
      <c r="R459">
        <v>1200</v>
      </c>
      <c r="T459" t="s">
        <v>242</v>
      </c>
      <c r="U459" t="s">
        <v>586</v>
      </c>
      <c r="V459" t="s">
        <v>61</v>
      </c>
      <c r="W459" t="s">
        <v>2312</v>
      </c>
    </row>
    <row r="460" spans="1:23" x14ac:dyDescent="0.2">
      <c r="A460" t="s">
        <v>2313</v>
      </c>
      <c r="B460" s="1">
        <f>VALUE(RIGHT(A460,LEN(A460)-3))</f>
        <v>393</v>
      </c>
      <c r="C460" t="s">
        <v>32</v>
      </c>
      <c r="D460">
        <v>2</v>
      </c>
      <c r="E460" t="s">
        <v>94</v>
      </c>
      <c r="F460">
        <v>3</v>
      </c>
      <c r="G460" t="s">
        <v>444</v>
      </c>
      <c r="H460" t="s">
        <v>2314</v>
      </c>
      <c r="I460">
        <v>46</v>
      </c>
      <c r="J460" t="s">
        <v>178</v>
      </c>
      <c r="K460" t="s">
        <v>1514</v>
      </c>
      <c r="L460" t="s">
        <v>43</v>
      </c>
      <c r="M460" t="s">
        <v>503</v>
      </c>
      <c r="N460" t="s">
        <v>2315</v>
      </c>
      <c r="O460">
        <v>4</v>
      </c>
      <c r="P460">
        <v>100</v>
      </c>
      <c r="Q460">
        <v>100</v>
      </c>
      <c r="T460" t="s">
        <v>242</v>
      </c>
      <c r="U460" t="s">
        <v>1359</v>
      </c>
      <c r="V460" t="s">
        <v>2317</v>
      </c>
      <c r="W460" t="s">
        <v>2318</v>
      </c>
    </row>
    <row r="461" spans="1:23" x14ac:dyDescent="0.2">
      <c r="A461" t="s">
        <v>2319</v>
      </c>
      <c r="B461" s="1">
        <f>VALUE(RIGHT(A461,LEN(A461)-3))</f>
        <v>394</v>
      </c>
      <c r="C461" t="s">
        <v>32</v>
      </c>
      <c r="D461">
        <v>2</v>
      </c>
      <c r="E461" t="s">
        <v>94</v>
      </c>
      <c r="F461">
        <v>1</v>
      </c>
      <c r="G461" t="s">
        <v>514</v>
      </c>
      <c r="H461" t="s">
        <v>2320</v>
      </c>
      <c r="I461">
        <v>36</v>
      </c>
      <c r="J461" t="s">
        <v>27</v>
      </c>
      <c r="K461" t="s">
        <v>1271</v>
      </c>
      <c r="L461" t="s">
        <v>43</v>
      </c>
      <c r="M461" t="s">
        <v>503</v>
      </c>
      <c r="N461" t="s">
        <v>2321</v>
      </c>
      <c r="O461">
        <v>4</v>
      </c>
      <c r="P461">
        <v>440</v>
      </c>
      <c r="R461">
        <v>1077</v>
      </c>
      <c r="T461" t="s">
        <v>242</v>
      </c>
      <c r="U461" t="s">
        <v>786</v>
      </c>
      <c r="V461" t="s">
        <v>2317</v>
      </c>
      <c r="W461" t="s">
        <v>2323</v>
      </c>
    </row>
    <row r="462" spans="1:23" x14ac:dyDescent="0.2">
      <c r="A462" t="s">
        <v>2335</v>
      </c>
      <c r="B462" s="1">
        <f>VALUE(RIGHT(A462,LEN(A462)-3))</f>
        <v>397</v>
      </c>
      <c r="C462" t="s">
        <v>32</v>
      </c>
      <c r="D462">
        <v>1</v>
      </c>
      <c r="E462" t="s">
        <v>57</v>
      </c>
      <c r="F462">
        <v>1</v>
      </c>
      <c r="G462" t="s">
        <v>58</v>
      </c>
      <c r="H462" t="s">
        <v>2336</v>
      </c>
      <c r="I462">
        <v>46</v>
      </c>
      <c r="J462" t="s">
        <v>150</v>
      </c>
      <c r="K462" t="s">
        <v>2337</v>
      </c>
      <c r="L462" t="s">
        <v>43</v>
      </c>
      <c r="M462" t="s">
        <v>503</v>
      </c>
      <c r="N462" t="s">
        <v>2338</v>
      </c>
      <c r="O462">
        <v>3</v>
      </c>
      <c r="P462">
        <v>350</v>
      </c>
      <c r="Q462">
        <v>180</v>
      </c>
      <c r="R462">
        <v>900</v>
      </c>
      <c r="S462">
        <v>650</v>
      </c>
      <c r="T462" t="s">
        <v>103</v>
      </c>
      <c r="U462" t="s">
        <v>104</v>
      </c>
      <c r="V462" t="s">
        <v>61</v>
      </c>
      <c r="W462" t="s">
        <v>2341</v>
      </c>
    </row>
    <row r="463" spans="1:23" x14ac:dyDescent="0.2">
      <c r="A463" t="s">
        <v>2364</v>
      </c>
      <c r="B463" s="1">
        <f>VALUE(RIGHT(A463,LEN(A463)-3))</f>
        <v>401</v>
      </c>
      <c r="C463" t="s">
        <v>32</v>
      </c>
      <c r="D463">
        <v>1</v>
      </c>
      <c r="E463" t="s">
        <v>57</v>
      </c>
      <c r="F463">
        <v>0</v>
      </c>
      <c r="H463" t="s">
        <v>2365</v>
      </c>
      <c r="I463">
        <v>42</v>
      </c>
      <c r="J463" t="s">
        <v>2366</v>
      </c>
      <c r="K463" t="s">
        <v>1612</v>
      </c>
      <c r="L463" t="s">
        <v>43</v>
      </c>
      <c r="M463" t="s">
        <v>503</v>
      </c>
      <c r="N463" t="s">
        <v>1890</v>
      </c>
      <c r="O463">
        <v>5</v>
      </c>
      <c r="P463">
        <v>315</v>
      </c>
      <c r="R463">
        <v>3000</v>
      </c>
      <c r="T463" t="s">
        <v>242</v>
      </c>
      <c r="U463" t="s">
        <v>104</v>
      </c>
      <c r="V463" t="s">
        <v>2368</v>
      </c>
      <c r="W463" t="s">
        <v>2369</v>
      </c>
    </row>
    <row r="464" spans="1:23" x14ac:dyDescent="0.2">
      <c r="A464" t="s">
        <v>2387</v>
      </c>
      <c r="B464" s="1">
        <f>VALUE(RIGHT(A464,LEN(A464)-3))</f>
        <v>405</v>
      </c>
      <c r="C464" t="s">
        <v>32</v>
      </c>
      <c r="D464">
        <v>1</v>
      </c>
      <c r="E464" t="s">
        <v>35</v>
      </c>
      <c r="F464">
        <v>0</v>
      </c>
      <c r="H464" t="s">
        <v>2388</v>
      </c>
      <c r="I464">
        <v>24</v>
      </c>
      <c r="J464" t="s">
        <v>27</v>
      </c>
      <c r="K464" t="s">
        <v>2389</v>
      </c>
      <c r="L464" t="s">
        <v>43</v>
      </c>
      <c r="M464" t="s">
        <v>503</v>
      </c>
      <c r="N464" t="s">
        <v>2315</v>
      </c>
      <c r="O464">
        <v>6</v>
      </c>
      <c r="P464">
        <v>654</v>
      </c>
      <c r="Q464">
        <v>520</v>
      </c>
      <c r="R464">
        <v>600</v>
      </c>
      <c r="T464" t="s">
        <v>103</v>
      </c>
      <c r="U464" t="s">
        <v>2392</v>
      </c>
      <c r="V464" t="s">
        <v>48</v>
      </c>
      <c r="W464" t="s">
        <v>2393</v>
      </c>
    </row>
    <row r="465" spans="1:23" x14ac:dyDescent="0.2">
      <c r="A465" t="s">
        <v>2394</v>
      </c>
      <c r="B465" s="1">
        <f>VALUE(RIGHT(A465,LEN(A465)-3))</f>
        <v>406</v>
      </c>
      <c r="C465" t="s">
        <v>32</v>
      </c>
      <c r="D465">
        <v>1</v>
      </c>
      <c r="E465" t="s">
        <v>57</v>
      </c>
      <c r="F465">
        <v>0</v>
      </c>
      <c r="H465" t="s">
        <v>2395</v>
      </c>
      <c r="I465">
        <v>27</v>
      </c>
      <c r="J465" t="s">
        <v>893</v>
      </c>
      <c r="K465" t="s">
        <v>2396</v>
      </c>
      <c r="L465" t="s">
        <v>43</v>
      </c>
      <c r="M465" t="s">
        <v>503</v>
      </c>
      <c r="N465" t="s">
        <v>2315</v>
      </c>
      <c r="O465">
        <v>7</v>
      </c>
      <c r="T465" t="s">
        <v>242</v>
      </c>
      <c r="U465" t="s">
        <v>2107</v>
      </c>
      <c r="V465" t="s">
        <v>48</v>
      </c>
      <c r="W465" t="s">
        <v>2398</v>
      </c>
    </row>
    <row r="466" spans="1:23" x14ac:dyDescent="0.2">
      <c r="A466" t="s">
        <v>2406</v>
      </c>
      <c r="B466" s="1">
        <f>VALUE(RIGHT(A466,LEN(A466)-3))</f>
        <v>408</v>
      </c>
      <c r="C466" t="s">
        <v>32</v>
      </c>
      <c r="D466">
        <v>2</v>
      </c>
      <c r="E466" t="s">
        <v>94</v>
      </c>
      <c r="F466">
        <v>3</v>
      </c>
      <c r="G466" t="s">
        <v>146</v>
      </c>
      <c r="H466" t="s">
        <v>2407</v>
      </c>
      <c r="I466">
        <v>57</v>
      </c>
      <c r="J466" t="s">
        <v>2408</v>
      </c>
      <c r="K466" t="s">
        <v>2409</v>
      </c>
      <c r="L466" t="s">
        <v>43</v>
      </c>
      <c r="M466" t="s">
        <v>503</v>
      </c>
      <c r="N466" t="s">
        <v>1143</v>
      </c>
      <c r="O466">
        <v>9</v>
      </c>
      <c r="P466">
        <v>100</v>
      </c>
      <c r="Q466">
        <v>3</v>
      </c>
      <c r="R466">
        <v>300</v>
      </c>
      <c r="T466" t="s">
        <v>173</v>
      </c>
      <c r="U466" t="s">
        <v>2412</v>
      </c>
      <c r="V466" t="s">
        <v>369</v>
      </c>
      <c r="W466" t="s">
        <v>2413</v>
      </c>
    </row>
    <row r="467" spans="1:23" x14ac:dyDescent="0.2">
      <c r="A467" t="s">
        <v>2419</v>
      </c>
      <c r="B467" s="1">
        <f>VALUE(RIGHT(A467,LEN(A467)-3))</f>
        <v>410</v>
      </c>
      <c r="C467" t="s">
        <v>32</v>
      </c>
      <c r="D467">
        <v>2</v>
      </c>
      <c r="E467" t="s">
        <v>94</v>
      </c>
      <c r="F467">
        <v>3</v>
      </c>
      <c r="G467" t="s">
        <v>366</v>
      </c>
      <c r="H467" t="s">
        <v>2420</v>
      </c>
      <c r="I467">
        <v>38</v>
      </c>
      <c r="J467" t="s">
        <v>27</v>
      </c>
      <c r="K467" t="s">
        <v>259</v>
      </c>
      <c r="L467" t="s">
        <v>43</v>
      </c>
      <c r="M467" t="s">
        <v>503</v>
      </c>
      <c r="N467" t="s">
        <v>2315</v>
      </c>
      <c r="O467">
        <v>7</v>
      </c>
      <c r="P467">
        <v>350</v>
      </c>
      <c r="Q467">
        <v>100</v>
      </c>
      <c r="R467">
        <v>1800</v>
      </c>
      <c r="S467">
        <v>1400</v>
      </c>
      <c r="T467" t="s">
        <v>2423</v>
      </c>
      <c r="U467" t="s">
        <v>2222</v>
      </c>
      <c r="V467" t="s">
        <v>61</v>
      </c>
      <c r="W467" t="s">
        <v>2424</v>
      </c>
    </row>
    <row r="468" spans="1:23" hidden="1" x14ac:dyDescent="0.2">
      <c r="A468" t="s">
        <v>2425</v>
      </c>
      <c r="B468" s="1">
        <f>VALUE(RIGHT(A468,LEN(A468)-3))</f>
        <v>411</v>
      </c>
      <c r="C468" t="s">
        <v>44</v>
      </c>
      <c r="D468">
        <v>0</v>
      </c>
      <c r="F468">
        <v>0</v>
      </c>
      <c r="H468" t="s">
        <v>2426</v>
      </c>
      <c r="I468">
        <v>46</v>
      </c>
      <c r="J468" t="s">
        <v>150</v>
      </c>
      <c r="K468" t="s">
        <v>151</v>
      </c>
      <c r="L468" t="s">
        <v>43</v>
      </c>
      <c r="M468" t="s">
        <v>503</v>
      </c>
      <c r="N468" t="s">
        <v>2338</v>
      </c>
      <c r="O468">
        <v>6</v>
      </c>
      <c r="P468">
        <v>200</v>
      </c>
      <c r="R468">
        <v>2600</v>
      </c>
      <c r="T468" t="s">
        <v>242</v>
      </c>
      <c r="U468" t="s">
        <v>194</v>
      </c>
      <c r="V468" t="s">
        <v>194</v>
      </c>
      <c r="W468" t="s">
        <v>2428</v>
      </c>
    </row>
    <row r="469" spans="1:23" x14ac:dyDescent="0.2">
      <c r="A469" t="s">
        <v>2435</v>
      </c>
      <c r="B469" s="1">
        <f>VALUE(RIGHT(A469,LEN(A469)-3))</f>
        <v>413</v>
      </c>
      <c r="C469" t="s">
        <v>32</v>
      </c>
      <c r="D469">
        <v>1</v>
      </c>
      <c r="E469" t="s">
        <v>57</v>
      </c>
      <c r="F469">
        <v>0</v>
      </c>
      <c r="H469" t="s">
        <v>2436</v>
      </c>
      <c r="I469">
        <v>43</v>
      </c>
      <c r="J469" t="s">
        <v>1131</v>
      </c>
      <c r="K469" t="s">
        <v>2437</v>
      </c>
      <c r="L469" t="s">
        <v>43</v>
      </c>
      <c r="M469" t="s">
        <v>503</v>
      </c>
      <c r="N469" t="s">
        <v>2438</v>
      </c>
      <c r="O469">
        <v>15</v>
      </c>
      <c r="P469">
        <v>600</v>
      </c>
      <c r="Q469">
        <v>200</v>
      </c>
      <c r="R469">
        <v>3000</v>
      </c>
      <c r="T469" t="s">
        <v>103</v>
      </c>
      <c r="U469" t="s">
        <v>845</v>
      </c>
      <c r="V469" t="s">
        <v>48</v>
      </c>
      <c r="W469" t="s">
        <v>2441</v>
      </c>
    </row>
    <row r="470" spans="1:23" x14ac:dyDescent="0.2">
      <c r="A470" t="s">
        <v>2475</v>
      </c>
      <c r="B470" s="1">
        <f>VALUE(RIGHT(A470,LEN(A470)-3))</f>
        <v>420</v>
      </c>
      <c r="C470" t="s">
        <v>32</v>
      </c>
      <c r="D470">
        <v>2</v>
      </c>
      <c r="E470" t="s">
        <v>94</v>
      </c>
      <c r="F470">
        <v>2</v>
      </c>
      <c r="G470" t="s">
        <v>284</v>
      </c>
      <c r="H470" t="s">
        <v>2476</v>
      </c>
      <c r="I470">
        <v>53</v>
      </c>
      <c r="J470" t="s">
        <v>27</v>
      </c>
      <c r="K470" t="s">
        <v>1296</v>
      </c>
      <c r="L470" t="s">
        <v>43</v>
      </c>
      <c r="M470" t="s">
        <v>503</v>
      </c>
      <c r="N470" t="s">
        <v>2477</v>
      </c>
      <c r="O470">
        <v>24</v>
      </c>
      <c r="T470" t="s">
        <v>242</v>
      </c>
      <c r="U470" t="s">
        <v>2479</v>
      </c>
      <c r="V470" t="s">
        <v>61</v>
      </c>
      <c r="W470" t="s">
        <v>2480</v>
      </c>
    </row>
    <row r="471" spans="1:23" x14ac:dyDescent="0.2">
      <c r="A471" t="s">
        <v>2493</v>
      </c>
      <c r="B471" s="1">
        <f>VALUE(RIGHT(A471,LEN(A471)-3))</f>
        <v>423</v>
      </c>
      <c r="C471" t="s">
        <v>32</v>
      </c>
      <c r="D471">
        <v>1</v>
      </c>
      <c r="E471" t="s">
        <v>57</v>
      </c>
      <c r="F471">
        <v>0</v>
      </c>
      <c r="H471" t="s">
        <v>2494</v>
      </c>
      <c r="I471">
        <v>38</v>
      </c>
      <c r="J471" t="s">
        <v>690</v>
      </c>
      <c r="K471" t="s">
        <v>1266</v>
      </c>
      <c r="L471" t="s">
        <v>43</v>
      </c>
      <c r="M471" t="s">
        <v>503</v>
      </c>
      <c r="N471" t="s">
        <v>2292</v>
      </c>
      <c r="O471">
        <v>3</v>
      </c>
      <c r="P471">
        <v>300</v>
      </c>
      <c r="R471">
        <v>1000</v>
      </c>
      <c r="T471" t="s">
        <v>242</v>
      </c>
      <c r="U471" t="s">
        <v>934</v>
      </c>
      <c r="V471" t="s">
        <v>48</v>
      </c>
      <c r="W471" t="s">
        <v>2497</v>
      </c>
    </row>
    <row r="472" spans="1:23" x14ac:dyDescent="0.2">
      <c r="A472" t="s">
        <v>2498</v>
      </c>
      <c r="B472" s="1">
        <f>VALUE(RIGHT(A472,LEN(A472)-3))</f>
        <v>424</v>
      </c>
      <c r="C472" t="s">
        <v>32</v>
      </c>
      <c r="D472">
        <v>1</v>
      </c>
      <c r="E472" t="s">
        <v>35</v>
      </c>
      <c r="F472">
        <v>1</v>
      </c>
      <c r="G472" t="s">
        <v>514</v>
      </c>
      <c r="H472" t="s">
        <v>2499</v>
      </c>
      <c r="I472">
        <v>33</v>
      </c>
      <c r="J472" t="s">
        <v>178</v>
      </c>
      <c r="L472" t="s">
        <v>43</v>
      </c>
      <c r="M472" t="s">
        <v>503</v>
      </c>
      <c r="N472" t="s">
        <v>2003</v>
      </c>
      <c r="O472">
        <v>12</v>
      </c>
      <c r="P472">
        <v>800</v>
      </c>
      <c r="R472">
        <v>10000</v>
      </c>
      <c r="T472" t="s">
        <v>242</v>
      </c>
      <c r="U472" t="s">
        <v>1359</v>
      </c>
      <c r="V472" t="s">
        <v>61</v>
      </c>
      <c r="W472" t="s">
        <v>2501</v>
      </c>
    </row>
    <row r="473" spans="1:23" x14ac:dyDescent="0.2">
      <c r="A473" t="s">
        <v>2521</v>
      </c>
      <c r="B473" s="1">
        <f>VALUE(RIGHT(A473,LEN(A473)-3))</f>
        <v>429</v>
      </c>
      <c r="C473" t="s">
        <v>32</v>
      </c>
      <c r="D473">
        <v>1</v>
      </c>
      <c r="E473" t="s">
        <v>57</v>
      </c>
      <c r="F473">
        <v>0</v>
      </c>
      <c r="H473" t="s">
        <v>2522</v>
      </c>
      <c r="I473">
        <v>29</v>
      </c>
      <c r="J473" t="s">
        <v>27</v>
      </c>
      <c r="K473" t="s">
        <v>1271</v>
      </c>
      <c r="L473" t="s">
        <v>43</v>
      </c>
      <c r="M473" t="s">
        <v>503</v>
      </c>
      <c r="N473" t="s">
        <v>1890</v>
      </c>
      <c r="O473">
        <v>7</v>
      </c>
      <c r="P473">
        <v>180</v>
      </c>
      <c r="Q473">
        <v>100</v>
      </c>
      <c r="S473">
        <v>1300</v>
      </c>
      <c r="T473" t="s">
        <v>242</v>
      </c>
      <c r="U473" t="s">
        <v>1359</v>
      </c>
      <c r="V473" t="s">
        <v>369</v>
      </c>
      <c r="W473" t="s">
        <v>2524</v>
      </c>
    </row>
    <row r="474" spans="1:23" x14ac:dyDescent="0.2">
      <c r="A474" t="s">
        <v>2533</v>
      </c>
      <c r="B474" s="1">
        <f>VALUE(RIGHT(A474,LEN(A474)-3))</f>
        <v>431</v>
      </c>
      <c r="C474" t="s">
        <v>32</v>
      </c>
      <c r="D474">
        <v>1</v>
      </c>
      <c r="E474" t="s">
        <v>35</v>
      </c>
      <c r="F474">
        <v>0</v>
      </c>
      <c r="H474" t="s">
        <v>2534</v>
      </c>
      <c r="I474">
        <v>33</v>
      </c>
      <c r="J474" t="s">
        <v>52</v>
      </c>
      <c r="K474" t="s">
        <v>2535</v>
      </c>
      <c r="L474" t="s">
        <v>43</v>
      </c>
      <c r="M474" t="s">
        <v>503</v>
      </c>
      <c r="N474" t="s">
        <v>2438</v>
      </c>
      <c r="O474">
        <v>9</v>
      </c>
      <c r="P474">
        <v>1000</v>
      </c>
      <c r="R474">
        <v>1000</v>
      </c>
      <c r="T474" t="s">
        <v>242</v>
      </c>
      <c r="U474" t="s">
        <v>1359</v>
      </c>
      <c r="V474" t="s">
        <v>48</v>
      </c>
      <c r="W474" t="s">
        <v>2537</v>
      </c>
    </row>
    <row r="475" spans="1:23" hidden="1" x14ac:dyDescent="0.2">
      <c r="A475" t="s">
        <v>2549</v>
      </c>
      <c r="B475" s="1">
        <f>VALUE(RIGHT(A475,LEN(A475)-3))</f>
        <v>434</v>
      </c>
      <c r="C475" t="s">
        <v>44</v>
      </c>
      <c r="D475">
        <v>0</v>
      </c>
      <c r="F475">
        <v>0</v>
      </c>
      <c r="H475" t="s">
        <v>2550</v>
      </c>
      <c r="I475">
        <v>31</v>
      </c>
      <c r="J475" t="s">
        <v>800</v>
      </c>
      <c r="K475" t="s">
        <v>1271</v>
      </c>
      <c r="L475" t="s">
        <v>43</v>
      </c>
      <c r="M475" t="s">
        <v>503</v>
      </c>
      <c r="N475" t="s">
        <v>2551</v>
      </c>
      <c r="O475">
        <v>2</v>
      </c>
      <c r="P475">
        <v>100</v>
      </c>
      <c r="R475">
        <v>8500</v>
      </c>
      <c r="T475" t="s">
        <v>242</v>
      </c>
      <c r="U475" t="s">
        <v>1666</v>
      </c>
      <c r="V475" t="s">
        <v>2553</v>
      </c>
      <c r="W475" t="s">
        <v>2554</v>
      </c>
    </row>
    <row r="476" spans="1:23" x14ac:dyDescent="0.2">
      <c r="A476" t="s">
        <v>2555</v>
      </c>
      <c r="B476" s="1">
        <f>VALUE(RIGHT(A476,LEN(A476)-3))</f>
        <v>435</v>
      </c>
      <c r="C476" t="s">
        <v>32</v>
      </c>
      <c r="D476">
        <v>1</v>
      </c>
      <c r="E476" t="s">
        <v>35</v>
      </c>
      <c r="F476">
        <v>1</v>
      </c>
      <c r="G476" t="s">
        <v>68</v>
      </c>
      <c r="H476" t="s">
        <v>2556</v>
      </c>
      <c r="I476">
        <v>34</v>
      </c>
      <c r="J476" t="s">
        <v>120</v>
      </c>
      <c r="K476" t="s">
        <v>2557</v>
      </c>
      <c r="L476" t="s">
        <v>43</v>
      </c>
      <c r="M476" t="s">
        <v>503</v>
      </c>
      <c r="N476" t="s">
        <v>1878</v>
      </c>
      <c r="P476">
        <v>850</v>
      </c>
      <c r="R476">
        <v>1650</v>
      </c>
      <c r="T476" t="s">
        <v>242</v>
      </c>
      <c r="U476" t="s">
        <v>2107</v>
      </c>
      <c r="V476" t="s">
        <v>2317</v>
      </c>
      <c r="W476" t="s">
        <v>2559</v>
      </c>
    </row>
    <row r="477" spans="1:23" x14ac:dyDescent="0.2">
      <c r="A477" t="s">
        <v>2566</v>
      </c>
      <c r="B477" s="1">
        <f>VALUE(RIGHT(A477,LEN(A477)-3))</f>
        <v>437</v>
      </c>
      <c r="C477" t="s">
        <v>32</v>
      </c>
      <c r="D477">
        <v>1</v>
      </c>
      <c r="E477" t="s">
        <v>35</v>
      </c>
      <c r="F477">
        <v>2</v>
      </c>
      <c r="G477" t="s">
        <v>568</v>
      </c>
      <c r="H477" t="s">
        <v>2567</v>
      </c>
      <c r="I477">
        <v>45</v>
      </c>
      <c r="J477" t="s">
        <v>402</v>
      </c>
      <c r="K477" t="s">
        <v>2568</v>
      </c>
      <c r="L477" t="s">
        <v>43</v>
      </c>
      <c r="M477" t="s">
        <v>503</v>
      </c>
      <c r="N477" t="s">
        <v>2338</v>
      </c>
      <c r="O477">
        <v>8</v>
      </c>
      <c r="P477">
        <v>600</v>
      </c>
      <c r="Q477">
        <v>400</v>
      </c>
      <c r="R477">
        <v>650</v>
      </c>
      <c r="T477" t="s">
        <v>242</v>
      </c>
      <c r="U477" t="s">
        <v>2571</v>
      </c>
      <c r="V477" t="s">
        <v>48</v>
      </c>
      <c r="W477" t="s">
        <v>2572</v>
      </c>
    </row>
    <row r="478" spans="1:23" x14ac:dyDescent="0.2">
      <c r="A478" t="s">
        <v>2573</v>
      </c>
      <c r="B478" s="1">
        <f>VALUE(RIGHT(A478,LEN(A478)-3))</f>
        <v>438</v>
      </c>
      <c r="C478" t="s">
        <v>32</v>
      </c>
      <c r="D478">
        <v>1</v>
      </c>
      <c r="E478" t="s">
        <v>35</v>
      </c>
      <c r="F478">
        <v>3</v>
      </c>
      <c r="G478" t="s">
        <v>2542</v>
      </c>
      <c r="H478" t="s">
        <v>2574</v>
      </c>
      <c r="I478">
        <v>36</v>
      </c>
      <c r="J478" t="s">
        <v>258</v>
      </c>
      <c r="K478" t="s">
        <v>1514</v>
      </c>
      <c r="L478" t="s">
        <v>43</v>
      </c>
      <c r="M478" t="s">
        <v>503</v>
      </c>
      <c r="N478" t="s">
        <v>2315</v>
      </c>
      <c r="O478">
        <v>3</v>
      </c>
      <c r="P478">
        <v>80</v>
      </c>
      <c r="R478">
        <v>550</v>
      </c>
      <c r="T478" t="s">
        <v>200</v>
      </c>
      <c r="U478" t="s">
        <v>561</v>
      </c>
      <c r="V478" t="s">
        <v>48</v>
      </c>
      <c r="W478" t="s">
        <v>2577</v>
      </c>
    </row>
    <row r="479" spans="1:23" x14ac:dyDescent="0.2">
      <c r="A479" t="s">
        <v>2578</v>
      </c>
      <c r="B479" s="1">
        <f>VALUE(RIGHT(A479,LEN(A479)-3))</f>
        <v>439</v>
      </c>
      <c r="C479" t="s">
        <v>32</v>
      </c>
      <c r="D479">
        <v>1</v>
      </c>
      <c r="E479" t="s">
        <v>57</v>
      </c>
      <c r="F479">
        <v>1</v>
      </c>
      <c r="G479" t="s">
        <v>58</v>
      </c>
      <c r="H479" t="s">
        <v>2579</v>
      </c>
      <c r="I479">
        <v>47</v>
      </c>
      <c r="J479" t="s">
        <v>690</v>
      </c>
      <c r="K479" t="s">
        <v>1271</v>
      </c>
      <c r="L479" t="s">
        <v>43</v>
      </c>
      <c r="M479" t="s">
        <v>503</v>
      </c>
      <c r="N479" t="s">
        <v>2315</v>
      </c>
      <c r="P479">
        <v>800</v>
      </c>
      <c r="R479">
        <v>1800</v>
      </c>
      <c r="T479" t="s">
        <v>242</v>
      </c>
      <c r="U479" t="s">
        <v>194</v>
      </c>
      <c r="V479" t="s">
        <v>194</v>
      </c>
      <c r="W479" t="s">
        <v>2582</v>
      </c>
    </row>
    <row r="480" spans="1:23" x14ac:dyDescent="0.2">
      <c r="A480" t="s">
        <v>2588</v>
      </c>
      <c r="B480" s="1">
        <f>VALUE(RIGHT(A480,LEN(A480)-3))</f>
        <v>441</v>
      </c>
      <c r="C480" t="s">
        <v>32</v>
      </c>
      <c r="D480">
        <v>2</v>
      </c>
      <c r="E480" t="s">
        <v>94</v>
      </c>
      <c r="F480">
        <v>2</v>
      </c>
      <c r="G480" t="s">
        <v>2491</v>
      </c>
      <c r="H480" t="s">
        <v>2589</v>
      </c>
      <c r="I480">
        <v>55</v>
      </c>
      <c r="J480" t="s">
        <v>357</v>
      </c>
      <c r="K480" t="s">
        <v>1790</v>
      </c>
      <c r="L480" t="s">
        <v>43</v>
      </c>
      <c r="M480" t="s">
        <v>503</v>
      </c>
      <c r="N480" t="s">
        <v>1801</v>
      </c>
      <c r="O480">
        <v>16</v>
      </c>
      <c r="P480">
        <v>2000</v>
      </c>
      <c r="R480">
        <v>4000</v>
      </c>
      <c r="T480" t="s">
        <v>242</v>
      </c>
      <c r="U480" t="s">
        <v>515</v>
      </c>
      <c r="V480" t="s">
        <v>61</v>
      </c>
      <c r="W480" t="s">
        <v>2592</v>
      </c>
    </row>
    <row r="481" spans="1:23" hidden="1" x14ac:dyDescent="0.2">
      <c r="A481" t="s">
        <v>2604</v>
      </c>
      <c r="B481" s="1">
        <f>VALUE(RIGHT(A481,LEN(A481)-3))</f>
        <v>444</v>
      </c>
      <c r="C481" t="s">
        <v>44</v>
      </c>
      <c r="D481">
        <v>0</v>
      </c>
      <c r="F481">
        <v>0</v>
      </c>
      <c r="H481" t="s">
        <v>2605</v>
      </c>
      <c r="I481">
        <v>44</v>
      </c>
      <c r="J481" t="s">
        <v>1753</v>
      </c>
      <c r="K481" t="s">
        <v>259</v>
      </c>
      <c r="L481" t="s">
        <v>43</v>
      </c>
      <c r="M481" t="s">
        <v>503</v>
      </c>
      <c r="N481" t="s">
        <v>2606</v>
      </c>
      <c r="O481">
        <v>11</v>
      </c>
      <c r="P481">
        <v>500</v>
      </c>
      <c r="T481" t="s">
        <v>242</v>
      </c>
      <c r="U481" t="s">
        <v>2608</v>
      </c>
      <c r="V481" t="s">
        <v>48</v>
      </c>
      <c r="W481" t="s">
        <v>2609</v>
      </c>
    </row>
    <row r="482" spans="1:23" hidden="1" x14ac:dyDescent="0.2">
      <c r="A482" t="s">
        <v>2610</v>
      </c>
      <c r="B482" s="1">
        <f>VALUE(RIGHT(A482,LEN(A482)-3))</f>
        <v>445</v>
      </c>
      <c r="C482" t="s">
        <v>44</v>
      </c>
      <c r="D482">
        <v>0</v>
      </c>
      <c r="F482">
        <v>0</v>
      </c>
      <c r="H482" t="s">
        <v>2611</v>
      </c>
      <c r="I482">
        <v>34</v>
      </c>
      <c r="J482" t="s">
        <v>357</v>
      </c>
      <c r="K482" t="s">
        <v>2483</v>
      </c>
      <c r="L482" t="s">
        <v>43</v>
      </c>
      <c r="M482" t="s">
        <v>503</v>
      </c>
      <c r="N482" t="s">
        <v>2612</v>
      </c>
      <c r="O482">
        <v>4</v>
      </c>
      <c r="P482">
        <v>450</v>
      </c>
      <c r="Q482">
        <v>50</v>
      </c>
      <c r="R482">
        <v>300</v>
      </c>
      <c r="T482" t="s">
        <v>242</v>
      </c>
      <c r="U482" t="s">
        <v>194</v>
      </c>
      <c r="V482" t="s">
        <v>194</v>
      </c>
      <c r="W482" t="s">
        <v>2614</v>
      </c>
    </row>
    <row r="483" spans="1:23" x14ac:dyDescent="0.2">
      <c r="A483" t="s">
        <v>2620</v>
      </c>
      <c r="B483" s="1">
        <f>VALUE(RIGHT(A483,LEN(A483)-3))</f>
        <v>447</v>
      </c>
      <c r="C483" t="s">
        <v>32</v>
      </c>
      <c r="D483">
        <v>1</v>
      </c>
      <c r="E483" t="s">
        <v>57</v>
      </c>
      <c r="F483">
        <v>2</v>
      </c>
      <c r="G483" t="s">
        <v>146</v>
      </c>
      <c r="H483" t="s">
        <v>2621</v>
      </c>
      <c r="I483">
        <v>33</v>
      </c>
      <c r="J483" t="s">
        <v>27</v>
      </c>
      <c r="K483" t="s">
        <v>1266</v>
      </c>
      <c r="L483" t="s">
        <v>43</v>
      </c>
      <c r="M483" t="s">
        <v>503</v>
      </c>
      <c r="N483" t="s">
        <v>2622</v>
      </c>
      <c r="O483">
        <v>8</v>
      </c>
      <c r="T483" t="s">
        <v>59</v>
      </c>
      <c r="U483" t="s">
        <v>1757</v>
      </c>
      <c r="V483" t="s">
        <v>2317</v>
      </c>
      <c r="W483" t="s">
        <v>2625</v>
      </c>
    </row>
    <row r="484" spans="1:23" x14ac:dyDescent="0.2">
      <c r="A484" t="s">
        <v>2643</v>
      </c>
      <c r="B484" s="1">
        <f>VALUE(RIGHT(A484,LEN(A484)-3))</f>
        <v>451</v>
      </c>
      <c r="C484" t="s">
        <v>32</v>
      </c>
      <c r="D484">
        <v>1</v>
      </c>
      <c r="E484" t="s">
        <v>57</v>
      </c>
      <c r="F484">
        <v>0</v>
      </c>
      <c r="H484" t="s">
        <v>2644</v>
      </c>
      <c r="I484">
        <v>34</v>
      </c>
      <c r="J484" t="s">
        <v>402</v>
      </c>
      <c r="L484" t="s">
        <v>43</v>
      </c>
      <c r="M484" t="s">
        <v>503</v>
      </c>
      <c r="N484" t="s">
        <v>2645</v>
      </c>
      <c r="O484">
        <v>8</v>
      </c>
      <c r="P484">
        <v>1000</v>
      </c>
      <c r="R484">
        <v>2000</v>
      </c>
      <c r="T484" t="s">
        <v>242</v>
      </c>
      <c r="U484" t="s">
        <v>786</v>
      </c>
      <c r="V484" t="s">
        <v>48</v>
      </c>
      <c r="W484" t="s">
        <v>2648</v>
      </c>
    </row>
    <row r="485" spans="1:23" x14ac:dyDescent="0.2">
      <c r="A485" t="s">
        <v>2649</v>
      </c>
      <c r="B485" s="1">
        <f>VALUE(RIGHT(A485,LEN(A485)-3))</f>
        <v>452</v>
      </c>
      <c r="C485" t="s">
        <v>32</v>
      </c>
      <c r="D485">
        <v>2</v>
      </c>
      <c r="E485" t="s">
        <v>57</v>
      </c>
      <c r="F485">
        <v>1</v>
      </c>
      <c r="G485" t="s">
        <v>1354</v>
      </c>
      <c r="H485" t="s">
        <v>2650</v>
      </c>
      <c r="I485">
        <v>65</v>
      </c>
      <c r="J485" t="s">
        <v>52</v>
      </c>
      <c r="K485" t="s">
        <v>961</v>
      </c>
      <c r="L485" t="s">
        <v>43</v>
      </c>
      <c r="M485" t="s">
        <v>503</v>
      </c>
      <c r="N485" t="s">
        <v>2477</v>
      </c>
      <c r="O485">
        <v>9</v>
      </c>
      <c r="P485">
        <v>600</v>
      </c>
      <c r="Q485">
        <v>100</v>
      </c>
      <c r="T485" t="s">
        <v>103</v>
      </c>
      <c r="U485" t="s">
        <v>934</v>
      </c>
      <c r="V485" t="s">
        <v>48</v>
      </c>
      <c r="W485" t="s">
        <v>2653</v>
      </c>
    </row>
    <row r="486" spans="1:23" x14ac:dyDescent="0.2">
      <c r="A486" t="s">
        <v>2654</v>
      </c>
      <c r="B486" s="1">
        <f>VALUE(RIGHT(A486,LEN(A486)-3))</f>
        <v>453</v>
      </c>
      <c r="C486" t="s">
        <v>32</v>
      </c>
      <c r="D486">
        <v>2</v>
      </c>
      <c r="E486" t="s">
        <v>94</v>
      </c>
      <c r="F486">
        <v>2</v>
      </c>
      <c r="G486" t="s">
        <v>2659</v>
      </c>
      <c r="H486" t="s">
        <v>2655</v>
      </c>
      <c r="I486">
        <v>42</v>
      </c>
      <c r="J486" t="s">
        <v>551</v>
      </c>
      <c r="K486" t="s">
        <v>1271</v>
      </c>
      <c r="L486" t="s">
        <v>43</v>
      </c>
      <c r="M486" t="s">
        <v>503</v>
      </c>
      <c r="N486" t="s">
        <v>2656</v>
      </c>
      <c r="O486">
        <v>12</v>
      </c>
      <c r="P486">
        <v>1700</v>
      </c>
      <c r="R486">
        <v>500</v>
      </c>
      <c r="T486" t="s">
        <v>173</v>
      </c>
      <c r="U486" t="s">
        <v>2660</v>
      </c>
      <c r="V486" t="s">
        <v>61</v>
      </c>
      <c r="W486" t="s">
        <v>2661</v>
      </c>
    </row>
    <row r="487" spans="1:23" hidden="1" x14ac:dyDescent="0.2">
      <c r="A487" t="s">
        <v>2666</v>
      </c>
      <c r="B487" s="1">
        <f>VALUE(RIGHT(A487,LEN(A487)-3))</f>
        <v>455</v>
      </c>
      <c r="C487" t="s">
        <v>44</v>
      </c>
      <c r="D487">
        <v>0</v>
      </c>
      <c r="F487">
        <v>0</v>
      </c>
      <c r="H487" t="s">
        <v>2667</v>
      </c>
      <c r="I487">
        <v>32</v>
      </c>
      <c r="J487" t="s">
        <v>74</v>
      </c>
      <c r="K487" t="s">
        <v>2291</v>
      </c>
      <c r="L487" t="s">
        <v>43</v>
      </c>
      <c r="M487" t="s">
        <v>503</v>
      </c>
      <c r="N487" t="s">
        <v>2668</v>
      </c>
      <c r="O487">
        <v>6</v>
      </c>
      <c r="P487">
        <v>250</v>
      </c>
      <c r="R487">
        <v>1200</v>
      </c>
      <c r="T487" t="s">
        <v>242</v>
      </c>
      <c r="U487" t="s">
        <v>2273</v>
      </c>
      <c r="V487" t="s">
        <v>48</v>
      </c>
    </row>
    <row r="488" spans="1:23" x14ac:dyDescent="0.2">
      <c r="A488" t="s">
        <v>2670</v>
      </c>
      <c r="B488" s="1">
        <f>VALUE(RIGHT(A488,LEN(A488)-3))</f>
        <v>456</v>
      </c>
      <c r="C488" t="s">
        <v>32</v>
      </c>
      <c r="D488">
        <v>1</v>
      </c>
      <c r="E488" t="s">
        <v>57</v>
      </c>
      <c r="F488">
        <v>1</v>
      </c>
      <c r="G488" t="s">
        <v>291</v>
      </c>
      <c r="H488" t="s">
        <v>2671</v>
      </c>
      <c r="I488">
        <v>32</v>
      </c>
      <c r="J488" t="s">
        <v>178</v>
      </c>
      <c r="K488" t="s">
        <v>1006</v>
      </c>
      <c r="L488" t="s">
        <v>43</v>
      </c>
      <c r="M488" t="s">
        <v>503</v>
      </c>
      <c r="N488" t="s">
        <v>2672</v>
      </c>
      <c r="O488">
        <v>8</v>
      </c>
      <c r="P488">
        <v>700</v>
      </c>
      <c r="T488" t="s">
        <v>242</v>
      </c>
      <c r="U488" t="s">
        <v>2107</v>
      </c>
      <c r="V488" t="s">
        <v>61</v>
      </c>
      <c r="W488" t="s">
        <v>2675</v>
      </c>
    </row>
    <row r="489" spans="1:23" x14ac:dyDescent="0.2">
      <c r="A489" t="s">
        <v>2683</v>
      </c>
      <c r="B489" s="1">
        <f>VALUE(RIGHT(A489,LEN(A489)-3))</f>
        <v>458</v>
      </c>
      <c r="C489" t="s">
        <v>32</v>
      </c>
      <c r="D489">
        <v>1</v>
      </c>
      <c r="E489" t="s">
        <v>35</v>
      </c>
      <c r="F489">
        <v>1</v>
      </c>
      <c r="G489" t="s">
        <v>68</v>
      </c>
      <c r="H489" t="s">
        <v>2684</v>
      </c>
      <c r="I489">
        <v>36</v>
      </c>
      <c r="J489" t="s">
        <v>402</v>
      </c>
      <c r="K489" t="s">
        <v>2557</v>
      </c>
      <c r="L489" t="s">
        <v>43</v>
      </c>
      <c r="M489" t="s">
        <v>503</v>
      </c>
      <c r="N489" t="s">
        <v>2685</v>
      </c>
      <c r="O489">
        <v>13</v>
      </c>
      <c r="P489">
        <v>730</v>
      </c>
      <c r="R489">
        <v>5000</v>
      </c>
      <c r="T489" t="s">
        <v>242</v>
      </c>
      <c r="U489" t="s">
        <v>2687</v>
      </c>
      <c r="V489" t="s">
        <v>1904</v>
      </c>
      <c r="W489" t="s">
        <v>2688</v>
      </c>
    </row>
    <row r="490" spans="1:23" hidden="1" x14ac:dyDescent="0.2">
      <c r="A490" t="s">
        <v>2704</v>
      </c>
      <c r="B490" s="1">
        <f>VALUE(RIGHT(A490,LEN(A490)-3))</f>
        <v>462</v>
      </c>
      <c r="C490" t="s">
        <v>44</v>
      </c>
      <c r="D490">
        <v>0</v>
      </c>
      <c r="F490">
        <v>0</v>
      </c>
      <c r="H490" t="s">
        <v>2705</v>
      </c>
      <c r="I490">
        <v>44</v>
      </c>
      <c r="J490" t="s">
        <v>178</v>
      </c>
      <c r="K490" t="s">
        <v>1514</v>
      </c>
      <c r="L490" t="s">
        <v>43</v>
      </c>
      <c r="M490" t="s">
        <v>503</v>
      </c>
      <c r="N490" t="s">
        <v>2706</v>
      </c>
      <c r="P490">
        <v>1500</v>
      </c>
      <c r="T490" t="s">
        <v>242</v>
      </c>
      <c r="U490" t="s">
        <v>194</v>
      </c>
      <c r="V490" t="s">
        <v>194</v>
      </c>
      <c r="W490" t="s">
        <v>2708</v>
      </c>
    </row>
    <row r="491" spans="1:23" x14ac:dyDescent="0.2">
      <c r="A491" t="s">
        <v>2709</v>
      </c>
      <c r="B491" s="1">
        <f>VALUE(RIGHT(A491,LEN(A491)-3))</f>
        <v>463</v>
      </c>
      <c r="C491" t="s">
        <v>32</v>
      </c>
      <c r="D491">
        <v>1</v>
      </c>
      <c r="E491" t="s">
        <v>57</v>
      </c>
      <c r="F491">
        <v>0</v>
      </c>
      <c r="H491" t="s">
        <v>2710</v>
      </c>
      <c r="I491">
        <v>38</v>
      </c>
      <c r="J491" t="s">
        <v>120</v>
      </c>
      <c r="K491" t="s">
        <v>151</v>
      </c>
      <c r="L491" t="s">
        <v>43</v>
      </c>
      <c r="M491" t="s">
        <v>503</v>
      </c>
      <c r="N491" t="s">
        <v>2645</v>
      </c>
      <c r="O491">
        <v>8</v>
      </c>
      <c r="P491">
        <v>1000</v>
      </c>
      <c r="R491">
        <v>900</v>
      </c>
      <c r="T491" t="s">
        <v>242</v>
      </c>
      <c r="U491" t="s">
        <v>194</v>
      </c>
      <c r="V491" t="s">
        <v>194</v>
      </c>
      <c r="W491" t="s">
        <v>2713</v>
      </c>
    </row>
    <row r="492" spans="1:23" hidden="1" x14ac:dyDescent="0.2">
      <c r="A492" t="s">
        <v>2714</v>
      </c>
      <c r="B492" s="1">
        <f>VALUE(RIGHT(A492,LEN(A492)-3))</f>
        <v>464</v>
      </c>
      <c r="C492" t="s">
        <v>44</v>
      </c>
      <c r="D492">
        <v>0</v>
      </c>
      <c r="F492">
        <v>0</v>
      </c>
      <c r="H492" t="s">
        <v>2715</v>
      </c>
      <c r="I492">
        <v>29</v>
      </c>
      <c r="J492" t="s">
        <v>150</v>
      </c>
      <c r="K492" t="s">
        <v>2716</v>
      </c>
      <c r="L492" t="s">
        <v>43</v>
      </c>
      <c r="M492" t="s">
        <v>503</v>
      </c>
      <c r="N492" t="s">
        <v>2059</v>
      </c>
      <c r="T492" t="s">
        <v>103</v>
      </c>
      <c r="U492" t="s">
        <v>194</v>
      </c>
      <c r="V492" t="s">
        <v>194</v>
      </c>
    </row>
    <row r="493" spans="1:23" x14ac:dyDescent="0.2">
      <c r="A493" t="s">
        <v>2730</v>
      </c>
      <c r="B493" s="1">
        <f>VALUE(RIGHT(A493,LEN(A493)-3))</f>
        <v>467</v>
      </c>
      <c r="C493" t="s">
        <v>32</v>
      </c>
      <c r="D493">
        <v>1</v>
      </c>
      <c r="E493" t="s">
        <v>35</v>
      </c>
      <c r="F493">
        <v>1</v>
      </c>
      <c r="G493" t="s">
        <v>68</v>
      </c>
      <c r="H493" t="s">
        <v>2731</v>
      </c>
      <c r="I493">
        <v>44</v>
      </c>
      <c r="J493" t="s">
        <v>27</v>
      </c>
      <c r="K493" t="s">
        <v>1514</v>
      </c>
      <c r="L493" t="s">
        <v>43</v>
      </c>
      <c r="M493" t="s">
        <v>503</v>
      </c>
      <c r="N493" t="s">
        <v>2321</v>
      </c>
      <c r="P493">
        <v>500</v>
      </c>
      <c r="Q493">
        <v>140</v>
      </c>
      <c r="R493">
        <v>800</v>
      </c>
      <c r="S493">
        <v>250</v>
      </c>
      <c r="T493" t="s">
        <v>242</v>
      </c>
      <c r="U493" t="s">
        <v>475</v>
      </c>
      <c r="V493" t="s">
        <v>2317</v>
      </c>
      <c r="W493" t="s">
        <v>2734</v>
      </c>
    </row>
    <row r="494" spans="1:23" x14ac:dyDescent="0.2">
      <c r="A494" t="s">
        <v>2735</v>
      </c>
      <c r="B494" s="1">
        <f>VALUE(RIGHT(A494,LEN(A494)-3))</f>
        <v>468</v>
      </c>
      <c r="C494" t="s">
        <v>32</v>
      </c>
      <c r="D494">
        <v>2</v>
      </c>
      <c r="E494" t="s">
        <v>57</v>
      </c>
      <c r="F494">
        <v>0</v>
      </c>
      <c r="H494" t="s">
        <v>2736</v>
      </c>
      <c r="I494">
        <v>31</v>
      </c>
      <c r="J494" t="s">
        <v>1223</v>
      </c>
      <c r="K494" t="s">
        <v>2557</v>
      </c>
      <c r="L494" t="s">
        <v>43</v>
      </c>
      <c r="M494" t="s">
        <v>503</v>
      </c>
      <c r="N494" t="s">
        <v>2299</v>
      </c>
      <c r="O494">
        <v>4</v>
      </c>
      <c r="P494">
        <v>1476</v>
      </c>
      <c r="R494">
        <v>300</v>
      </c>
      <c r="T494" t="s">
        <v>242</v>
      </c>
      <c r="U494" t="s">
        <v>2158</v>
      </c>
      <c r="V494" t="s">
        <v>1904</v>
      </c>
      <c r="W494" t="s">
        <v>2739</v>
      </c>
    </row>
    <row r="495" spans="1:23" x14ac:dyDescent="0.2">
      <c r="A495" t="s">
        <v>2744</v>
      </c>
      <c r="B495" s="1">
        <f>VALUE(RIGHT(A495,LEN(A495)-3))</f>
        <v>470</v>
      </c>
      <c r="C495" t="s">
        <v>32</v>
      </c>
      <c r="D495">
        <v>1</v>
      </c>
      <c r="E495" t="s">
        <v>57</v>
      </c>
      <c r="F495">
        <v>2</v>
      </c>
      <c r="G495" t="s">
        <v>1544</v>
      </c>
      <c r="H495" t="s">
        <v>2745</v>
      </c>
      <c r="I495">
        <v>36</v>
      </c>
      <c r="J495" t="s">
        <v>217</v>
      </c>
      <c r="K495" t="s">
        <v>259</v>
      </c>
      <c r="L495" t="s">
        <v>43</v>
      </c>
      <c r="M495" t="s">
        <v>503</v>
      </c>
      <c r="N495" t="s">
        <v>2746</v>
      </c>
      <c r="O495">
        <v>11</v>
      </c>
      <c r="P495">
        <v>1900</v>
      </c>
      <c r="Q495">
        <v>1400</v>
      </c>
      <c r="R495">
        <v>2000</v>
      </c>
      <c r="T495" t="s">
        <v>103</v>
      </c>
      <c r="U495" t="s">
        <v>1866</v>
      </c>
      <c r="V495" t="s">
        <v>48</v>
      </c>
      <c r="W495" t="s">
        <v>2748</v>
      </c>
    </row>
    <row r="496" spans="1:23" x14ac:dyDescent="0.2">
      <c r="A496" t="s">
        <v>2767</v>
      </c>
      <c r="B496" s="1">
        <f>VALUE(RIGHT(A496,LEN(A496)-3))</f>
        <v>474</v>
      </c>
      <c r="C496" t="s">
        <v>32</v>
      </c>
      <c r="D496">
        <v>1</v>
      </c>
      <c r="E496" t="s">
        <v>57</v>
      </c>
      <c r="F496">
        <v>0</v>
      </c>
      <c r="H496" t="s">
        <v>2768</v>
      </c>
      <c r="I496">
        <v>63</v>
      </c>
      <c r="J496" t="s">
        <v>150</v>
      </c>
      <c r="K496" t="s">
        <v>2769</v>
      </c>
      <c r="L496" t="s">
        <v>43</v>
      </c>
      <c r="M496" t="s">
        <v>503</v>
      </c>
      <c r="N496" t="s">
        <v>2668</v>
      </c>
      <c r="O496">
        <v>8</v>
      </c>
      <c r="P496">
        <v>500</v>
      </c>
      <c r="R496">
        <v>2000</v>
      </c>
      <c r="T496" t="s">
        <v>367</v>
      </c>
      <c r="U496" t="s">
        <v>857</v>
      </c>
      <c r="V496" t="s">
        <v>48</v>
      </c>
      <c r="W496" t="s">
        <v>2771</v>
      </c>
    </row>
    <row r="497" spans="1:23" x14ac:dyDescent="0.2">
      <c r="A497" t="s">
        <v>2781</v>
      </c>
      <c r="B497" s="1">
        <f>VALUE(RIGHT(A497,LEN(A497)-3))</f>
        <v>477</v>
      </c>
      <c r="C497" t="s">
        <v>32</v>
      </c>
      <c r="D497">
        <v>1</v>
      </c>
      <c r="E497" t="s">
        <v>57</v>
      </c>
      <c r="F497">
        <v>4</v>
      </c>
      <c r="G497" t="s">
        <v>2380</v>
      </c>
      <c r="H497" t="s">
        <v>2782</v>
      </c>
      <c r="I497">
        <v>63</v>
      </c>
      <c r="J497" t="s">
        <v>27</v>
      </c>
      <c r="K497" t="s">
        <v>264</v>
      </c>
      <c r="L497" t="s">
        <v>43</v>
      </c>
      <c r="M497" t="s">
        <v>503</v>
      </c>
      <c r="N497" t="s">
        <v>1111</v>
      </c>
      <c r="O497">
        <v>25</v>
      </c>
      <c r="P497">
        <v>500</v>
      </c>
      <c r="R497">
        <v>1000</v>
      </c>
      <c r="T497" t="s">
        <v>242</v>
      </c>
      <c r="U497" t="s">
        <v>2785</v>
      </c>
      <c r="V497" t="s">
        <v>2317</v>
      </c>
      <c r="W497" t="s">
        <v>2786</v>
      </c>
    </row>
    <row r="498" spans="1:23" x14ac:dyDescent="0.2">
      <c r="A498" t="s">
        <v>2787</v>
      </c>
      <c r="B498" s="1">
        <f>VALUE(RIGHT(A498,LEN(A498)-3))</f>
        <v>478</v>
      </c>
      <c r="C498" t="s">
        <v>32</v>
      </c>
      <c r="D498">
        <v>2</v>
      </c>
      <c r="E498" t="s">
        <v>94</v>
      </c>
      <c r="F498">
        <v>4</v>
      </c>
      <c r="G498" t="s">
        <v>907</v>
      </c>
      <c r="H498" t="s">
        <v>2788</v>
      </c>
      <c r="I498">
        <v>40</v>
      </c>
      <c r="J498" t="s">
        <v>27</v>
      </c>
      <c r="K498" t="s">
        <v>2789</v>
      </c>
      <c r="L498" t="s">
        <v>43</v>
      </c>
      <c r="M498" t="s">
        <v>503</v>
      </c>
      <c r="N498" t="s">
        <v>2790</v>
      </c>
      <c r="O498">
        <v>20</v>
      </c>
      <c r="P498">
        <v>1500</v>
      </c>
      <c r="Q498">
        <v>200</v>
      </c>
      <c r="R498">
        <v>4300</v>
      </c>
      <c r="S498">
        <v>750</v>
      </c>
      <c r="T498" t="s">
        <v>242</v>
      </c>
      <c r="U498" t="s">
        <v>2793</v>
      </c>
      <c r="V498" t="s">
        <v>48</v>
      </c>
      <c r="W498" t="s">
        <v>2794</v>
      </c>
    </row>
    <row r="499" spans="1:23" x14ac:dyDescent="0.2">
      <c r="A499" t="s">
        <v>2795</v>
      </c>
      <c r="B499" s="1">
        <f>VALUE(RIGHT(A499,LEN(A499)-3))</f>
        <v>479</v>
      </c>
      <c r="C499" t="s">
        <v>32</v>
      </c>
      <c r="D499">
        <v>1</v>
      </c>
      <c r="E499" t="s">
        <v>35</v>
      </c>
      <c r="F499">
        <v>0</v>
      </c>
      <c r="H499" t="s">
        <v>2796</v>
      </c>
      <c r="I499">
        <v>42</v>
      </c>
      <c r="J499" t="s">
        <v>357</v>
      </c>
      <c r="K499" t="s">
        <v>2351</v>
      </c>
      <c r="L499" t="s">
        <v>43</v>
      </c>
      <c r="M499" t="s">
        <v>503</v>
      </c>
      <c r="N499" t="s">
        <v>2797</v>
      </c>
      <c r="O499">
        <v>4</v>
      </c>
      <c r="P499">
        <v>37</v>
      </c>
      <c r="T499" t="s">
        <v>242</v>
      </c>
      <c r="U499" t="s">
        <v>194</v>
      </c>
      <c r="V499" t="s">
        <v>760</v>
      </c>
      <c r="W499" t="s">
        <v>2800</v>
      </c>
    </row>
    <row r="500" spans="1:23" hidden="1" x14ac:dyDescent="0.2">
      <c r="A500" t="s">
        <v>2807</v>
      </c>
      <c r="B500" s="1">
        <f>VALUE(RIGHT(A500,LEN(A500)-3))</f>
        <v>481</v>
      </c>
      <c r="C500" t="s">
        <v>44</v>
      </c>
      <c r="D500">
        <v>0</v>
      </c>
      <c r="F500">
        <v>0</v>
      </c>
      <c r="H500" t="s">
        <v>2808</v>
      </c>
      <c r="I500">
        <v>30</v>
      </c>
      <c r="J500" t="s">
        <v>27</v>
      </c>
      <c r="K500" t="s">
        <v>2809</v>
      </c>
      <c r="L500" t="s">
        <v>43</v>
      </c>
      <c r="M500" t="s">
        <v>503</v>
      </c>
      <c r="N500" t="s">
        <v>2656</v>
      </c>
      <c r="O500">
        <v>5</v>
      </c>
      <c r="T500" t="s">
        <v>103</v>
      </c>
      <c r="U500" t="s">
        <v>347</v>
      </c>
      <c r="V500" t="s">
        <v>194</v>
      </c>
      <c r="W500" t="s">
        <v>2811</v>
      </c>
    </row>
    <row r="501" spans="1:23" x14ac:dyDescent="0.2">
      <c r="A501" t="s">
        <v>2819</v>
      </c>
      <c r="B501" s="1">
        <f>VALUE(RIGHT(A501,LEN(A501)-3))</f>
        <v>483</v>
      </c>
      <c r="C501" t="s">
        <v>32</v>
      </c>
      <c r="D501">
        <v>1</v>
      </c>
      <c r="E501" t="s">
        <v>57</v>
      </c>
      <c r="F501">
        <v>0</v>
      </c>
      <c r="H501" t="s">
        <v>2820</v>
      </c>
      <c r="I501">
        <v>39</v>
      </c>
      <c r="J501" t="s">
        <v>258</v>
      </c>
      <c r="K501" t="s">
        <v>259</v>
      </c>
      <c r="L501" t="s">
        <v>43</v>
      </c>
      <c r="M501" t="s">
        <v>503</v>
      </c>
      <c r="N501" t="s">
        <v>2656</v>
      </c>
      <c r="O501">
        <v>14</v>
      </c>
      <c r="P501">
        <v>850</v>
      </c>
      <c r="R501">
        <v>650</v>
      </c>
      <c r="T501" t="s">
        <v>242</v>
      </c>
      <c r="U501" t="s">
        <v>2822</v>
      </c>
      <c r="V501" t="s">
        <v>48</v>
      </c>
      <c r="W501" t="s">
        <v>2823</v>
      </c>
    </row>
    <row r="502" spans="1:23" x14ac:dyDescent="0.2">
      <c r="A502" t="s">
        <v>2829</v>
      </c>
      <c r="B502" s="1">
        <f>VALUE(RIGHT(A502,LEN(A502)-3))</f>
        <v>485</v>
      </c>
      <c r="C502" t="s">
        <v>32</v>
      </c>
      <c r="D502">
        <v>2</v>
      </c>
      <c r="E502" t="s">
        <v>94</v>
      </c>
      <c r="F502">
        <v>3</v>
      </c>
      <c r="G502" t="s">
        <v>2834</v>
      </c>
      <c r="H502" t="s">
        <v>2830</v>
      </c>
      <c r="I502">
        <v>36</v>
      </c>
      <c r="J502" t="s">
        <v>150</v>
      </c>
      <c r="K502" t="s">
        <v>2291</v>
      </c>
      <c r="L502" t="s">
        <v>43</v>
      </c>
      <c r="M502" t="s">
        <v>503</v>
      </c>
      <c r="N502" t="s">
        <v>2831</v>
      </c>
      <c r="O502">
        <v>4</v>
      </c>
      <c r="P502">
        <v>350</v>
      </c>
      <c r="R502">
        <v>500</v>
      </c>
      <c r="S502">
        <v>150</v>
      </c>
      <c r="T502" t="s">
        <v>242</v>
      </c>
      <c r="U502" t="s">
        <v>2107</v>
      </c>
      <c r="V502" t="s">
        <v>48</v>
      </c>
      <c r="W502" t="s">
        <v>2835</v>
      </c>
    </row>
    <row r="503" spans="1:23" x14ac:dyDescent="0.2">
      <c r="A503" t="s">
        <v>2836</v>
      </c>
      <c r="B503" s="1">
        <f>VALUE(RIGHT(A503,LEN(A503)-3))</f>
        <v>486</v>
      </c>
      <c r="C503" t="s">
        <v>32</v>
      </c>
      <c r="D503">
        <v>2</v>
      </c>
      <c r="E503" t="s">
        <v>94</v>
      </c>
      <c r="F503">
        <v>1</v>
      </c>
      <c r="G503" t="s">
        <v>123</v>
      </c>
      <c r="H503" t="s">
        <v>2837</v>
      </c>
      <c r="I503">
        <v>39</v>
      </c>
      <c r="J503" t="s">
        <v>150</v>
      </c>
      <c r="K503" t="s">
        <v>2838</v>
      </c>
      <c r="L503" t="s">
        <v>43</v>
      </c>
      <c r="M503" t="s">
        <v>503</v>
      </c>
      <c r="N503" t="s">
        <v>2790</v>
      </c>
      <c r="O503">
        <v>2</v>
      </c>
      <c r="P503">
        <v>450</v>
      </c>
      <c r="R503">
        <v>300</v>
      </c>
      <c r="T503" t="s">
        <v>242</v>
      </c>
      <c r="U503" t="s">
        <v>2273</v>
      </c>
      <c r="V503" t="s">
        <v>48</v>
      </c>
      <c r="W503" t="s">
        <v>2841</v>
      </c>
    </row>
    <row r="504" spans="1:23" x14ac:dyDescent="0.2">
      <c r="A504" t="s">
        <v>2851</v>
      </c>
      <c r="B504" s="1">
        <f>VALUE(RIGHT(A504,LEN(A504)-3))</f>
        <v>489</v>
      </c>
      <c r="C504" t="s">
        <v>32</v>
      </c>
      <c r="D504">
        <v>1</v>
      </c>
      <c r="E504" t="s">
        <v>57</v>
      </c>
      <c r="F504">
        <v>0</v>
      </c>
      <c r="H504" t="s">
        <v>2848</v>
      </c>
      <c r="I504">
        <v>36</v>
      </c>
      <c r="J504" t="s">
        <v>178</v>
      </c>
      <c r="K504" t="s">
        <v>2852</v>
      </c>
      <c r="L504" t="s">
        <v>83</v>
      </c>
      <c r="M504" t="s">
        <v>503</v>
      </c>
      <c r="N504" t="s">
        <v>2645</v>
      </c>
      <c r="O504">
        <v>15</v>
      </c>
      <c r="P504">
        <v>1500</v>
      </c>
      <c r="T504" t="s">
        <v>889</v>
      </c>
      <c r="U504" t="s">
        <v>786</v>
      </c>
      <c r="V504" t="s">
        <v>48</v>
      </c>
      <c r="W504" t="s">
        <v>2854</v>
      </c>
    </row>
    <row r="505" spans="1:23" x14ac:dyDescent="0.2">
      <c r="A505" t="s">
        <v>2855</v>
      </c>
      <c r="B505" s="1">
        <f>VALUE(RIGHT(A505,LEN(A505)-3))</f>
        <v>490</v>
      </c>
      <c r="C505" t="s">
        <v>32</v>
      </c>
      <c r="D505">
        <v>2</v>
      </c>
      <c r="E505" t="s">
        <v>57</v>
      </c>
      <c r="F505">
        <v>2</v>
      </c>
      <c r="G505" t="s">
        <v>241</v>
      </c>
      <c r="H505" t="s">
        <v>2848</v>
      </c>
      <c r="I505">
        <v>43</v>
      </c>
      <c r="J505" t="s">
        <v>402</v>
      </c>
      <c r="K505" t="s">
        <v>2856</v>
      </c>
      <c r="L505" t="s">
        <v>43</v>
      </c>
      <c r="M505" t="s">
        <v>503</v>
      </c>
      <c r="N505" t="s">
        <v>1771</v>
      </c>
      <c r="O505">
        <v>5</v>
      </c>
      <c r="P505">
        <v>200</v>
      </c>
      <c r="R505">
        <v>400</v>
      </c>
      <c r="S505">
        <v>100</v>
      </c>
      <c r="T505" t="s">
        <v>2817</v>
      </c>
      <c r="U505" t="s">
        <v>2681</v>
      </c>
      <c r="V505" t="s">
        <v>48</v>
      </c>
      <c r="W505" t="s">
        <v>2859</v>
      </c>
    </row>
    <row r="506" spans="1:23" hidden="1" x14ac:dyDescent="0.2">
      <c r="A506" t="s">
        <v>2860</v>
      </c>
      <c r="B506" s="1">
        <f>VALUE(RIGHT(A506,LEN(A506)-3))</f>
        <v>491</v>
      </c>
      <c r="C506" t="s">
        <v>44</v>
      </c>
      <c r="D506">
        <v>0</v>
      </c>
      <c r="F506">
        <v>0</v>
      </c>
      <c r="H506" t="s">
        <v>2861</v>
      </c>
      <c r="I506">
        <v>35</v>
      </c>
      <c r="J506" t="s">
        <v>150</v>
      </c>
      <c r="K506" t="s">
        <v>2862</v>
      </c>
      <c r="L506" t="s">
        <v>43</v>
      </c>
      <c r="M506" t="s">
        <v>503</v>
      </c>
      <c r="N506" t="s">
        <v>2338</v>
      </c>
      <c r="O506">
        <v>11</v>
      </c>
      <c r="T506" t="s">
        <v>242</v>
      </c>
      <c r="U506" t="s">
        <v>1393</v>
      </c>
      <c r="V506" t="s">
        <v>61</v>
      </c>
      <c r="W506" t="s">
        <v>2864</v>
      </c>
    </row>
    <row r="507" spans="1:23" hidden="1" x14ac:dyDescent="0.2">
      <c r="A507" t="s">
        <v>2865</v>
      </c>
      <c r="B507" s="1">
        <f>VALUE(RIGHT(A507,LEN(A507)-3))</f>
        <v>492</v>
      </c>
      <c r="C507" t="s">
        <v>44</v>
      </c>
      <c r="D507">
        <v>0</v>
      </c>
      <c r="F507">
        <v>0</v>
      </c>
      <c r="H507" t="s">
        <v>2866</v>
      </c>
      <c r="I507">
        <v>45</v>
      </c>
      <c r="J507" t="s">
        <v>27</v>
      </c>
      <c r="K507" t="s">
        <v>2867</v>
      </c>
      <c r="L507" t="s">
        <v>43</v>
      </c>
      <c r="M507" t="s">
        <v>503</v>
      </c>
      <c r="N507" t="s">
        <v>2706</v>
      </c>
      <c r="T507" t="s">
        <v>889</v>
      </c>
      <c r="U507" t="s">
        <v>194</v>
      </c>
      <c r="V507" t="s">
        <v>194</v>
      </c>
      <c r="W507" t="s">
        <v>2869</v>
      </c>
    </row>
    <row r="508" spans="1:23" x14ac:dyDescent="0.2">
      <c r="A508" t="s">
        <v>2879</v>
      </c>
      <c r="B508" s="1">
        <f>VALUE(RIGHT(A508,LEN(A508)-3))</f>
        <v>495</v>
      </c>
      <c r="C508" t="s">
        <v>32</v>
      </c>
      <c r="D508">
        <v>1</v>
      </c>
      <c r="E508" t="s">
        <v>35</v>
      </c>
      <c r="F508">
        <v>3</v>
      </c>
      <c r="G508" t="s">
        <v>2883</v>
      </c>
      <c r="H508" t="s">
        <v>2880</v>
      </c>
      <c r="I508">
        <v>32</v>
      </c>
      <c r="J508" t="s">
        <v>27</v>
      </c>
      <c r="K508" t="s">
        <v>2769</v>
      </c>
      <c r="L508" t="s">
        <v>43</v>
      </c>
      <c r="M508" t="s">
        <v>503</v>
      </c>
      <c r="N508" t="s">
        <v>2645</v>
      </c>
      <c r="O508">
        <v>2</v>
      </c>
      <c r="P508">
        <v>300</v>
      </c>
      <c r="Q508">
        <v>20</v>
      </c>
      <c r="R508">
        <v>1000</v>
      </c>
      <c r="S508">
        <v>600</v>
      </c>
      <c r="T508" t="s">
        <v>242</v>
      </c>
      <c r="U508" t="s">
        <v>2884</v>
      </c>
      <c r="V508" t="s">
        <v>48</v>
      </c>
      <c r="W508" t="s">
        <v>2885</v>
      </c>
    </row>
    <row r="509" spans="1:23" x14ac:dyDescent="0.2">
      <c r="A509" t="s">
        <v>2886</v>
      </c>
      <c r="B509" s="1">
        <f>VALUE(RIGHT(A509,LEN(A509)-3))</f>
        <v>496</v>
      </c>
      <c r="C509" t="s">
        <v>32</v>
      </c>
      <c r="D509">
        <v>1</v>
      </c>
      <c r="E509" t="s">
        <v>57</v>
      </c>
      <c r="F509">
        <v>4</v>
      </c>
      <c r="G509" t="s">
        <v>1251</v>
      </c>
      <c r="H509" t="s">
        <v>2887</v>
      </c>
      <c r="I509">
        <v>55</v>
      </c>
      <c r="J509" t="s">
        <v>178</v>
      </c>
      <c r="K509" t="s">
        <v>300</v>
      </c>
      <c r="L509" t="s">
        <v>43</v>
      </c>
      <c r="M509" t="s">
        <v>503</v>
      </c>
      <c r="N509" t="s">
        <v>1771</v>
      </c>
      <c r="T509" t="s">
        <v>2423</v>
      </c>
      <c r="U509" t="s">
        <v>2785</v>
      </c>
      <c r="V509" t="s">
        <v>61</v>
      </c>
      <c r="W509" t="s">
        <v>2890</v>
      </c>
    </row>
    <row r="510" spans="1:23" x14ac:dyDescent="0.2">
      <c r="A510" t="s">
        <v>2891</v>
      </c>
      <c r="B510" s="1">
        <f>VALUE(RIGHT(A510,LEN(A510)-3))</f>
        <v>497</v>
      </c>
      <c r="C510" t="s">
        <v>32</v>
      </c>
      <c r="D510">
        <v>1</v>
      </c>
      <c r="E510" t="s">
        <v>35</v>
      </c>
      <c r="F510">
        <v>1</v>
      </c>
      <c r="G510" t="s">
        <v>123</v>
      </c>
      <c r="H510" t="s">
        <v>2892</v>
      </c>
      <c r="I510">
        <v>28</v>
      </c>
      <c r="J510" t="s">
        <v>27</v>
      </c>
      <c r="K510" t="s">
        <v>2893</v>
      </c>
      <c r="L510" t="s">
        <v>43</v>
      </c>
      <c r="M510" t="s">
        <v>503</v>
      </c>
      <c r="N510" t="s">
        <v>2656</v>
      </c>
      <c r="O510">
        <v>1</v>
      </c>
      <c r="P510">
        <v>160</v>
      </c>
      <c r="R510">
        <v>3000</v>
      </c>
      <c r="S510">
        <v>1500</v>
      </c>
      <c r="T510" t="s">
        <v>2817</v>
      </c>
      <c r="U510" t="s">
        <v>2896</v>
      </c>
      <c r="V510" t="s">
        <v>61</v>
      </c>
      <c r="W510" t="s">
        <v>2897</v>
      </c>
    </row>
    <row r="511" spans="1:23" hidden="1" x14ac:dyDescent="0.2">
      <c r="A511" t="s">
        <v>2898</v>
      </c>
      <c r="B511" s="1">
        <f>VALUE(RIGHT(A511,LEN(A511)-3))</f>
        <v>498</v>
      </c>
      <c r="C511" t="s">
        <v>44</v>
      </c>
      <c r="D511">
        <v>0</v>
      </c>
      <c r="F511">
        <v>0</v>
      </c>
      <c r="H511" t="s">
        <v>2899</v>
      </c>
      <c r="I511">
        <v>38</v>
      </c>
      <c r="J511" t="s">
        <v>150</v>
      </c>
      <c r="K511" t="s">
        <v>1954</v>
      </c>
      <c r="L511" t="s">
        <v>43</v>
      </c>
      <c r="M511" t="s">
        <v>503</v>
      </c>
      <c r="N511" t="s">
        <v>2338</v>
      </c>
      <c r="T511" t="s">
        <v>2423</v>
      </c>
      <c r="U511" t="s">
        <v>2901</v>
      </c>
      <c r="V511" t="s">
        <v>61</v>
      </c>
      <c r="W511" t="s">
        <v>2902</v>
      </c>
    </row>
    <row r="512" spans="1:23" hidden="1" x14ac:dyDescent="0.2">
      <c r="A512" t="s">
        <v>2908</v>
      </c>
      <c r="B512" s="1">
        <f>VALUE(RIGHT(A512,LEN(A512)-3))</f>
        <v>500</v>
      </c>
      <c r="C512" t="s">
        <v>44</v>
      </c>
      <c r="D512">
        <v>0</v>
      </c>
      <c r="F512">
        <v>0</v>
      </c>
      <c r="H512" t="s">
        <v>2909</v>
      </c>
      <c r="I512">
        <v>53</v>
      </c>
      <c r="J512" t="s">
        <v>27</v>
      </c>
      <c r="K512" t="s">
        <v>1271</v>
      </c>
      <c r="L512" t="s">
        <v>43</v>
      </c>
      <c r="M512" t="s">
        <v>503</v>
      </c>
      <c r="N512" t="s">
        <v>2645</v>
      </c>
      <c r="O512">
        <v>10</v>
      </c>
      <c r="P512">
        <v>775</v>
      </c>
      <c r="R512">
        <v>1858</v>
      </c>
      <c r="T512" t="s">
        <v>103</v>
      </c>
      <c r="U512" t="s">
        <v>2911</v>
      </c>
      <c r="V512" t="s">
        <v>753</v>
      </c>
      <c r="W512" t="s">
        <v>2912</v>
      </c>
    </row>
    <row r="513" spans="1:23" x14ac:dyDescent="0.2">
      <c r="A513" t="s">
        <v>2913</v>
      </c>
      <c r="B513" s="1">
        <f>VALUE(RIGHT(A513,LEN(A513)-3))</f>
        <v>501</v>
      </c>
      <c r="C513" t="s">
        <v>32</v>
      </c>
      <c r="D513">
        <v>1</v>
      </c>
      <c r="E513" t="s">
        <v>57</v>
      </c>
      <c r="F513">
        <v>1</v>
      </c>
      <c r="G513" t="s">
        <v>58</v>
      </c>
      <c r="H513" t="s">
        <v>2914</v>
      </c>
      <c r="I513">
        <v>37</v>
      </c>
      <c r="J513" t="s">
        <v>178</v>
      </c>
      <c r="K513" t="s">
        <v>1468</v>
      </c>
      <c r="L513" t="s">
        <v>43</v>
      </c>
      <c r="M513" t="s">
        <v>503</v>
      </c>
      <c r="N513" t="s">
        <v>1878</v>
      </c>
      <c r="T513" t="s">
        <v>242</v>
      </c>
      <c r="U513" t="s">
        <v>2917</v>
      </c>
      <c r="V513" t="s">
        <v>61</v>
      </c>
      <c r="W513" t="s">
        <v>2918</v>
      </c>
    </row>
    <row r="514" spans="1:23" x14ac:dyDescent="0.2">
      <c r="A514" t="s">
        <v>2919</v>
      </c>
      <c r="B514" s="1">
        <f>VALUE(RIGHT(A514,LEN(A514)-3))</f>
        <v>502</v>
      </c>
      <c r="C514" t="s">
        <v>32</v>
      </c>
      <c r="D514">
        <v>1</v>
      </c>
      <c r="E514" t="s">
        <v>57</v>
      </c>
      <c r="F514">
        <v>0</v>
      </c>
      <c r="H514" t="s">
        <v>2920</v>
      </c>
      <c r="I514">
        <v>34</v>
      </c>
      <c r="J514" t="s">
        <v>127</v>
      </c>
      <c r="K514" t="s">
        <v>1733</v>
      </c>
      <c r="L514" t="s">
        <v>43</v>
      </c>
      <c r="M514" t="s">
        <v>503</v>
      </c>
      <c r="N514" t="s">
        <v>2645</v>
      </c>
      <c r="O514">
        <v>11</v>
      </c>
      <c r="P514">
        <v>550</v>
      </c>
      <c r="Q514">
        <v>550</v>
      </c>
      <c r="R514">
        <v>1100</v>
      </c>
      <c r="T514" t="s">
        <v>242</v>
      </c>
      <c r="U514" t="s">
        <v>2222</v>
      </c>
      <c r="V514" t="s">
        <v>48</v>
      </c>
      <c r="W514" t="s">
        <v>2922</v>
      </c>
    </row>
    <row r="515" spans="1:23" x14ac:dyDescent="0.2">
      <c r="A515" t="s">
        <v>2927</v>
      </c>
      <c r="B515" s="1">
        <f>VALUE(RIGHT(A515,LEN(A515)-3))</f>
        <v>504</v>
      </c>
      <c r="C515" t="s">
        <v>32</v>
      </c>
      <c r="D515">
        <v>1</v>
      </c>
      <c r="E515" t="s">
        <v>35</v>
      </c>
      <c r="F515">
        <v>3</v>
      </c>
      <c r="G515" t="s">
        <v>2933</v>
      </c>
      <c r="H515" t="s">
        <v>2928</v>
      </c>
      <c r="I515">
        <v>57</v>
      </c>
      <c r="J515" t="s">
        <v>402</v>
      </c>
      <c r="K515" t="s">
        <v>2929</v>
      </c>
      <c r="L515" t="s">
        <v>43</v>
      </c>
      <c r="M515" t="s">
        <v>503</v>
      </c>
      <c r="N515" t="s">
        <v>2930</v>
      </c>
      <c r="O515">
        <v>10</v>
      </c>
      <c r="P515">
        <v>650</v>
      </c>
      <c r="Q515">
        <v>125</v>
      </c>
      <c r="R515">
        <v>700</v>
      </c>
      <c r="S515">
        <v>130</v>
      </c>
      <c r="T515" t="s">
        <v>2817</v>
      </c>
      <c r="U515" t="s">
        <v>2934</v>
      </c>
      <c r="V515" t="s">
        <v>48</v>
      </c>
      <c r="W515" t="s">
        <v>2935</v>
      </c>
    </row>
    <row r="516" spans="1:23" x14ac:dyDescent="0.2">
      <c r="A516" t="s">
        <v>2936</v>
      </c>
      <c r="B516" s="1">
        <f>VALUE(RIGHT(A516,LEN(A516)-3))</f>
        <v>505</v>
      </c>
      <c r="C516" t="s">
        <v>32</v>
      </c>
      <c r="D516">
        <v>1</v>
      </c>
      <c r="E516" t="s">
        <v>35</v>
      </c>
      <c r="F516">
        <v>1</v>
      </c>
      <c r="G516" t="s">
        <v>1105</v>
      </c>
      <c r="H516" t="s">
        <v>2937</v>
      </c>
      <c r="I516">
        <v>35</v>
      </c>
      <c r="J516" t="s">
        <v>178</v>
      </c>
      <c r="K516" t="s">
        <v>259</v>
      </c>
      <c r="L516" t="s">
        <v>43</v>
      </c>
      <c r="M516" t="s">
        <v>503</v>
      </c>
      <c r="N516" t="s">
        <v>2790</v>
      </c>
      <c r="O516">
        <v>7</v>
      </c>
      <c r="P516">
        <v>2400</v>
      </c>
      <c r="Q516">
        <v>1000</v>
      </c>
      <c r="R516">
        <v>250</v>
      </c>
      <c r="T516" t="s">
        <v>242</v>
      </c>
      <c r="U516" t="s">
        <v>308</v>
      </c>
      <c r="V516" t="s">
        <v>1274</v>
      </c>
      <c r="W516" t="s">
        <v>2940</v>
      </c>
    </row>
    <row r="517" spans="1:23" x14ac:dyDescent="0.2">
      <c r="A517" t="s">
        <v>2947</v>
      </c>
      <c r="B517" s="1">
        <f>VALUE(RIGHT(A517,LEN(A517)-3))</f>
        <v>507</v>
      </c>
      <c r="C517" t="s">
        <v>32</v>
      </c>
      <c r="D517">
        <v>1</v>
      </c>
      <c r="E517" t="s">
        <v>35</v>
      </c>
      <c r="F517">
        <v>3</v>
      </c>
      <c r="G517" t="s">
        <v>2951</v>
      </c>
      <c r="H517" t="s">
        <v>2948</v>
      </c>
      <c r="I517">
        <v>43</v>
      </c>
      <c r="J517" t="s">
        <v>178</v>
      </c>
      <c r="K517" t="s">
        <v>1199</v>
      </c>
      <c r="L517" t="s">
        <v>43</v>
      </c>
      <c r="M517" t="s">
        <v>503</v>
      </c>
      <c r="N517" t="s">
        <v>1374</v>
      </c>
      <c r="O517">
        <v>15</v>
      </c>
      <c r="P517">
        <v>2000</v>
      </c>
      <c r="Q517">
        <v>1200</v>
      </c>
      <c r="R517">
        <v>1200</v>
      </c>
      <c r="S517">
        <v>600</v>
      </c>
      <c r="T517" t="s">
        <v>103</v>
      </c>
      <c r="U517" t="s">
        <v>515</v>
      </c>
      <c r="V517" t="s">
        <v>61</v>
      </c>
      <c r="W517" t="s">
        <v>2952</v>
      </c>
    </row>
    <row r="518" spans="1:23" hidden="1" x14ac:dyDescent="0.2">
      <c r="A518" t="s">
        <v>2957</v>
      </c>
      <c r="B518" s="1">
        <f>VALUE(RIGHT(A518,LEN(A518)-3))</f>
        <v>509</v>
      </c>
      <c r="C518" t="s">
        <v>44</v>
      </c>
      <c r="D518">
        <v>0</v>
      </c>
      <c r="F518">
        <v>0</v>
      </c>
      <c r="H518" t="s">
        <v>2958</v>
      </c>
      <c r="I518">
        <v>55</v>
      </c>
      <c r="J518" t="s">
        <v>357</v>
      </c>
      <c r="K518" t="s">
        <v>1790</v>
      </c>
      <c r="L518" t="s">
        <v>43</v>
      </c>
      <c r="M518" t="s">
        <v>503</v>
      </c>
      <c r="N518" t="s">
        <v>2959</v>
      </c>
      <c r="O518">
        <v>17</v>
      </c>
      <c r="P518">
        <v>1600</v>
      </c>
      <c r="Q518">
        <v>900</v>
      </c>
      <c r="R518">
        <v>5000</v>
      </c>
      <c r="T518" t="s">
        <v>367</v>
      </c>
      <c r="U518" t="s">
        <v>2961</v>
      </c>
      <c r="V518" t="s">
        <v>329</v>
      </c>
      <c r="W518" t="s">
        <v>2962</v>
      </c>
    </row>
    <row r="519" spans="1:23" x14ac:dyDescent="0.2">
      <c r="A519" t="s">
        <v>2963</v>
      </c>
      <c r="B519" s="1">
        <f>VALUE(RIGHT(A519,LEN(A519)-3))</f>
        <v>510</v>
      </c>
      <c r="C519" t="s">
        <v>32</v>
      </c>
      <c r="D519">
        <v>1</v>
      </c>
      <c r="E519" t="s">
        <v>57</v>
      </c>
      <c r="F519">
        <v>2</v>
      </c>
      <c r="G519" t="s">
        <v>146</v>
      </c>
      <c r="H519" t="s">
        <v>2964</v>
      </c>
      <c r="I519">
        <v>34</v>
      </c>
      <c r="J519" t="s">
        <v>258</v>
      </c>
      <c r="K519" t="s">
        <v>519</v>
      </c>
      <c r="L519" t="s">
        <v>43</v>
      </c>
      <c r="M519" t="s">
        <v>503</v>
      </c>
      <c r="N519" t="s">
        <v>2338</v>
      </c>
      <c r="O519">
        <v>7</v>
      </c>
      <c r="P519">
        <v>600</v>
      </c>
      <c r="Q519">
        <v>500</v>
      </c>
      <c r="R519">
        <v>600</v>
      </c>
      <c r="T519" t="s">
        <v>173</v>
      </c>
      <c r="U519" t="s">
        <v>2660</v>
      </c>
      <c r="V519" t="s">
        <v>61</v>
      </c>
      <c r="W519" t="s">
        <v>2967</v>
      </c>
    </row>
    <row r="520" spans="1:23" x14ac:dyDescent="0.2">
      <c r="A520" t="s">
        <v>2968</v>
      </c>
      <c r="B520" s="1">
        <f>VALUE(RIGHT(A520,LEN(A520)-3))</f>
        <v>511</v>
      </c>
      <c r="C520" t="s">
        <v>32</v>
      </c>
      <c r="D520">
        <v>1</v>
      </c>
      <c r="E520" t="s">
        <v>57</v>
      </c>
      <c r="F520">
        <v>2</v>
      </c>
      <c r="G520" t="s">
        <v>1105</v>
      </c>
      <c r="H520" t="s">
        <v>2964</v>
      </c>
      <c r="I520">
        <v>46</v>
      </c>
      <c r="J520" t="s">
        <v>1223</v>
      </c>
      <c r="K520" t="s">
        <v>2678</v>
      </c>
      <c r="L520" t="s">
        <v>43</v>
      </c>
      <c r="M520" t="s">
        <v>503</v>
      </c>
      <c r="N520" t="s">
        <v>2127</v>
      </c>
      <c r="O520">
        <v>3</v>
      </c>
      <c r="P520">
        <v>57</v>
      </c>
      <c r="Q520">
        <v>20</v>
      </c>
      <c r="R520">
        <v>300</v>
      </c>
      <c r="S520">
        <v>80</v>
      </c>
      <c r="T520" t="s">
        <v>36</v>
      </c>
      <c r="U520" t="s">
        <v>2971</v>
      </c>
      <c r="V520" t="s">
        <v>194</v>
      </c>
      <c r="W520" t="s">
        <v>2972</v>
      </c>
    </row>
    <row r="521" spans="1:23" hidden="1" x14ac:dyDescent="0.2">
      <c r="A521" t="s">
        <v>2985</v>
      </c>
      <c r="B521" s="1">
        <f>VALUE(RIGHT(A521,LEN(A521)-3))</f>
        <v>514</v>
      </c>
      <c r="C521" t="s">
        <v>44</v>
      </c>
      <c r="D521">
        <v>0</v>
      </c>
      <c r="F521">
        <v>0</v>
      </c>
      <c r="H521" t="s">
        <v>2986</v>
      </c>
      <c r="I521">
        <v>32</v>
      </c>
      <c r="J521" t="s">
        <v>178</v>
      </c>
      <c r="K521" t="s">
        <v>2987</v>
      </c>
      <c r="L521" t="s">
        <v>43</v>
      </c>
      <c r="M521" t="s">
        <v>503</v>
      </c>
      <c r="N521" t="s">
        <v>2477</v>
      </c>
      <c r="O521">
        <v>10</v>
      </c>
      <c r="P521">
        <v>800</v>
      </c>
      <c r="R521">
        <v>12</v>
      </c>
      <c r="T521" t="s">
        <v>889</v>
      </c>
      <c r="U521" t="s">
        <v>2989</v>
      </c>
      <c r="V521" t="s">
        <v>61</v>
      </c>
      <c r="W521" t="s">
        <v>2990</v>
      </c>
    </row>
    <row r="522" spans="1:23" x14ac:dyDescent="0.2">
      <c r="A522" t="s">
        <v>2991</v>
      </c>
      <c r="B522" s="1">
        <f>VALUE(RIGHT(A522,LEN(A522)-3))</f>
        <v>515</v>
      </c>
      <c r="C522" t="s">
        <v>32</v>
      </c>
      <c r="D522">
        <v>1</v>
      </c>
      <c r="E522" t="s">
        <v>57</v>
      </c>
      <c r="F522">
        <v>1</v>
      </c>
      <c r="G522" t="s">
        <v>68</v>
      </c>
      <c r="H522" t="s">
        <v>2992</v>
      </c>
      <c r="I522">
        <v>24</v>
      </c>
      <c r="J522" t="s">
        <v>52</v>
      </c>
      <c r="K522" t="s">
        <v>1596</v>
      </c>
      <c r="L522" t="s">
        <v>43</v>
      </c>
      <c r="M522" t="s">
        <v>503</v>
      </c>
      <c r="N522" t="s">
        <v>2831</v>
      </c>
      <c r="O522">
        <v>3</v>
      </c>
      <c r="P522">
        <v>400</v>
      </c>
      <c r="R522">
        <v>7000</v>
      </c>
      <c r="T522" t="s">
        <v>889</v>
      </c>
      <c r="U522" t="s">
        <v>1359</v>
      </c>
      <c r="V522" t="s">
        <v>61</v>
      </c>
      <c r="W522" t="s">
        <v>2994</v>
      </c>
    </row>
    <row r="523" spans="1:23" hidden="1" x14ac:dyDescent="0.2">
      <c r="A523" t="s">
        <v>2995</v>
      </c>
      <c r="B523" s="1">
        <f>VALUE(RIGHT(A523,LEN(A523)-3))</f>
        <v>516</v>
      </c>
      <c r="C523" t="s">
        <v>44</v>
      </c>
      <c r="D523">
        <v>0</v>
      </c>
      <c r="F523">
        <v>0</v>
      </c>
      <c r="H523" t="s">
        <v>2996</v>
      </c>
      <c r="I523">
        <v>24</v>
      </c>
      <c r="J523" t="s">
        <v>52</v>
      </c>
      <c r="K523" t="s">
        <v>2997</v>
      </c>
      <c r="L523" t="s">
        <v>43</v>
      </c>
      <c r="M523" t="s">
        <v>503</v>
      </c>
      <c r="N523" t="s">
        <v>2998</v>
      </c>
      <c r="P523">
        <v>1000</v>
      </c>
      <c r="R523">
        <v>10000</v>
      </c>
      <c r="T523" t="s">
        <v>889</v>
      </c>
      <c r="U523" t="s">
        <v>194</v>
      </c>
      <c r="V523" t="s">
        <v>194</v>
      </c>
      <c r="W523" t="s">
        <v>3000</v>
      </c>
    </row>
    <row r="524" spans="1:23" x14ac:dyDescent="0.2">
      <c r="A524" t="s">
        <v>3001</v>
      </c>
      <c r="B524" s="1">
        <f>VALUE(RIGHT(A524,LEN(A524)-3))</f>
        <v>517</v>
      </c>
      <c r="C524" t="s">
        <v>32</v>
      </c>
      <c r="D524">
        <v>1</v>
      </c>
      <c r="E524" t="s">
        <v>57</v>
      </c>
      <c r="F524">
        <v>1</v>
      </c>
      <c r="G524" t="s">
        <v>123</v>
      </c>
      <c r="H524" t="s">
        <v>3002</v>
      </c>
      <c r="I524">
        <v>34</v>
      </c>
      <c r="J524" t="s">
        <v>402</v>
      </c>
      <c r="K524" t="s">
        <v>2002</v>
      </c>
      <c r="L524" t="s">
        <v>43</v>
      </c>
      <c r="M524" t="s">
        <v>503</v>
      </c>
      <c r="N524" t="s">
        <v>2797</v>
      </c>
      <c r="P524">
        <v>400</v>
      </c>
      <c r="R524">
        <v>300</v>
      </c>
      <c r="T524" t="s">
        <v>2817</v>
      </c>
      <c r="U524" t="s">
        <v>1936</v>
      </c>
      <c r="V524" t="s">
        <v>48</v>
      </c>
      <c r="W524" t="s">
        <v>3004</v>
      </c>
    </row>
    <row r="525" spans="1:23" hidden="1" x14ac:dyDescent="0.2">
      <c r="A525" t="s">
        <v>3005</v>
      </c>
      <c r="B525" s="1">
        <f>VALUE(RIGHT(A525,LEN(A525)-3))</f>
        <v>518</v>
      </c>
      <c r="C525" t="s">
        <v>44</v>
      </c>
      <c r="D525">
        <v>0</v>
      </c>
      <c r="F525">
        <v>0</v>
      </c>
      <c r="H525" t="s">
        <v>3006</v>
      </c>
      <c r="I525">
        <v>50</v>
      </c>
      <c r="J525" t="s">
        <v>150</v>
      </c>
      <c r="K525" t="s">
        <v>1514</v>
      </c>
      <c r="L525" t="s">
        <v>43</v>
      </c>
      <c r="M525" t="s">
        <v>503</v>
      </c>
      <c r="N525" t="s">
        <v>2672</v>
      </c>
      <c r="O525">
        <v>20</v>
      </c>
      <c r="P525">
        <v>1000</v>
      </c>
      <c r="R525">
        <v>1000</v>
      </c>
      <c r="T525" t="s">
        <v>889</v>
      </c>
      <c r="U525" t="s">
        <v>194</v>
      </c>
      <c r="V525" t="s">
        <v>194</v>
      </c>
      <c r="W525" t="s">
        <v>3008</v>
      </c>
    </row>
    <row r="526" spans="1:23" x14ac:dyDescent="0.2">
      <c r="A526" t="s">
        <v>3009</v>
      </c>
      <c r="B526" s="1">
        <f>VALUE(RIGHT(A526,LEN(A526)-3))</f>
        <v>519</v>
      </c>
      <c r="C526" t="s">
        <v>32</v>
      </c>
      <c r="D526">
        <v>1</v>
      </c>
      <c r="E526" t="s">
        <v>57</v>
      </c>
      <c r="F526">
        <v>1</v>
      </c>
      <c r="G526" t="s">
        <v>58</v>
      </c>
      <c r="H526" t="s">
        <v>3006</v>
      </c>
      <c r="I526">
        <v>42</v>
      </c>
      <c r="J526" t="s">
        <v>120</v>
      </c>
      <c r="K526" t="s">
        <v>151</v>
      </c>
      <c r="L526" t="s">
        <v>43</v>
      </c>
      <c r="M526" t="s">
        <v>503</v>
      </c>
      <c r="N526" t="s">
        <v>2831</v>
      </c>
      <c r="O526">
        <v>11</v>
      </c>
      <c r="P526">
        <v>850</v>
      </c>
      <c r="R526">
        <v>1500</v>
      </c>
      <c r="T526" t="s">
        <v>2423</v>
      </c>
      <c r="U526" t="s">
        <v>3011</v>
      </c>
      <c r="V526" t="s">
        <v>61</v>
      </c>
      <c r="W526" t="s">
        <v>3012</v>
      </c>
    </row>
    <row r="527" spans="1:23" x14ac:dyDescent="0.2">
      <c r="A527" t="s">
        <v>3018</v>
      </c>
      <c r="B527" s="1">
        <f>VALUE(RIGHT(A527,LEN(A527)-3))</f>
        <v>521</v>
      </c>
      <c r="C527" t="s">
        <v>32</v>
      </c>
      <c r="D527">
        <v>1</v>
      </c>
      <c r="E527" t="s">
        <v>35</v>
      </c>
      <c r="F527">
        <v>1</v>
      </c>
      <c r="G527" t="s">
        <v>1354</v>
      </c>
      <c r="H527" t="s">
        <v>3019</v>
      </c>
      <c r="I527">
        <v>32</v>
      </c>
      <c r="J527" t="s">
        <v>27</v>
      </c>
      <c r="K527" t="s">
        <v>3020</v>
      </c>
      <c r="L527" t="s">
        <v>43</v>
      </c>
      <c r="M527" t="s">
        <v>503</v>
      </c>
      <c r="N527" t="s">
        <v>2645</v>
      </c>
      <c r="O527">
        <v>6</v>
      </c>
      <c r="T527" t="s">
        <v>103</v>
      </c>
      <c r="U527" t="s">
        <v>941</v>
      </c>
      <c r="V527" t="s">
        <v>779</v>
      </c>
      <c r="W527" t="s">
        <v>3023</v>
      </c>
    </row>
    <row r="528" spans="1:23" x14ac:dyDescent="0.2">
      <c r="A528" t="s">
        <v>3024</v>
      </c>
      <c r="B528" s="1">
        <f>VALUE(RIGHT(A528,LEN(A528)-3))</f>
        <v>522</v>
      </c>
      <c r="C528" t="s">
        <v>32</v>
      </c>
      <c r="D528">
        <v>1</v>
      </c>
      <c r="E528" t="s">
        <v>35</v>
      </c>
      <c r="F528">
        <v>0</v>
      </c>
      <c r="H528" t="s">
        <v>3025</v>
      </c>
      <c r="I528">
        <v>24</v>
      </c>
      <c r="J528" t="s">
        <v>2203</v>
      </c>
      <c r="K528" t="s">
        <v>2291</v>
      </c>
      <c r="L528" t="s">
        <v>43</v>
      </c>
      <c r="M528" t="s">
        <v>503</v>
      </c>
      <c r="N528" t="s">
        <v>2656</v>
      </c>
      <c r="O528">
        <v>3</v>
      </c>
      <c r="P528">
        <v>285</v>
      </c>
      <c r="R528">
        <v>1300</v>
      </c>
      <c r="T528" t="s">
        <v>242</v>
      </c>
      <c r="U528" t="s">
        <v>3028</v>
      </c>
      <c r="V528" t="s">
        <v>369</v>
      </c>
      <c r="W528" t="s">
        <v>3029</v>
      </c>
    </row>
    <row r="529" spans="1:23" x14ac:dyDescent="0.2">
      <c r="A529" t="s">
        <v>3030</v>
      </c>
      <c r="B529" s="1">
        <f>VALUE(RIGHT(A529,LEN(A529)-3))</f>
        <v>523</v>
      </c>
      <c r="C529" t="s">
        <v>32</v>
      </c>
      <c r="D529">
        <v>1</v>
      </c>
      <c r="E529" t="s">
        <v>130</v>
      </c>
      <c r="F529">
        <v>0</v>
      </c>
      <c r="H529" t="s">
        <v>3031</v>
      </c>
      <c r="I529">
        <v>34</v>
      </c>
      <c r="J529" t="s">
        <v>258</v>
      </c>
      <c r="K529" t="s">
        <v>1097</v>
      </c>
      <c r="L529" t="s">
        <v>43</v>
      </c>
      <c r="M529" t="s">
        <v>503</v>
      </c>
      <c r="N529" t="s">
        <v>2645</v>
      </c>
      <c r="O529">
        <v>8</v>
      </c>
      <c r="P529">
        <v>1000</v>
      </c>
      <c r="T529" t="s">
        <v>242</v>
      </c>
      <c r="U529" t="s">
        <v>1407</v>
      </c>
      <c r="V529" t="s">
        <v>61</v>
      </c>
      <c r="W529" t="s">
        <v>3034</v>
      </c>
    </row>
    <row r="530" spans="1:23" x14ac:dyDescent="0.2">
      <c r="A530" t="s">
        <v>3035</v>
      </c>
      <c r="B530" s="1">
        <f>VALUE(RIGHT(A530,LEN(A530)-3))</f>
        <v>524</v>
      </c>
      <c r="C530" t="s">
        <v>32</v>
      </c>
      <c r="D530">
        <v>1</v>
      </c>
      <c r="E530" t="s">
        <v>57</v>
      </c>
      <c r="F530">
        <v>1</v>
      </c>
      <c r="G530" t="s">
        <v>123</v>
      </c>
      <c r="H530" t="s">
        <v>3036</v>
      </c>
      <c r="I530">
        <v>40</v>
      </c>
      <c r="J530" t="s">
        <v>27</v>
      </c>
      <c r="K530" t="s">
        <v>584</v>
      </c>
      <c r="L530" t="s">
        <v>43</v>
      </c>
      <c r="M530" t="s">
        <v>503</v>
      </c>
      <c r="N530" t="s">
        <v>3037</v>
      </c>
      <c r="O530">
        <v>2</v>
      </c>
      <c r="Q530">
        <v>1</v>
      </c>
      <c r="R530">
        <v>450</v>
      </c>
      <c r="T530" t="s">
        <v>242</v>
      </c>
      <c r="U530" t="s">
        <v>3040</v>
      </c>
      <c r="V530" t="s">
        <v>235</v>
      </c>
      <c r="W530" t="s">
        <v>3041</v>
      </c>
    </row>
    <row r="531" spans="1:23" x14ac:dyDescent="0.2">
      <c r="A531" t="s">
        <v>3050</v>
      </c>
      <c r="B531" s="1">
        <f>VALUE(RIGHT(A531,LEN(A531)-3))</f>
        <v>526</v>
      </c>
      <c r="C531" t="s">
        <v>32</v>
      </c>
      <c r="D531">
        <v>1</v>
      </c>
      <c r="E531" t="s">
        <v>130</v>
      </c>
      <c r="F531">
        <v>0</v>
      </c>
      <c r="H531" t="s">
        <v>3051</v>
      </c>
      <c r="I531">
        <v>40</v>
      </c>
      <c r="J531" t="s">
        <v>690</v>
      </c>
      <c r="K531" t="s">
        <v>3052</v>
      </c>
      <c r="L531" t="s">
        <v>43</v>
      </c>
      <c r="M531" t="s">
        <v>503</v>
      </c>
      <c r="N531" t="s">
        <v>2656</v>
      </c>
      <c r="T531" t="s">
        <v>242</v>
      </c>
      <c r="U531" t="s">
        <v>1359</v>
      </c>
      <c r="V531" t="s">
        <v>61</v>
      </c>
      <c r="W531" t="s">
        <v>3054</v>
      </c>
    </row>
    <row r="532" spans="1:23" hidden="1" x14ac:dyDescent="0.2">
      <c r="A532" t="s">
        <v>3055</v>
      </c>
      <c r="B532" s="1">
        <f>VALUE(RIGHT(A532,LEN(A532)-3))</f>
        <v>527</v>
      </c>
      <c r="C532" t="s">
        <v>44</v>
      </c>
      <c r="D532">
        <v>0</v>
      </c>
      <c r="F532">
        <v>0</v>
      </c>
      <c r="H532" t="s">
        <v>3056</v>
      </c>
      <c r="I532">
        <v>43</v>
      </c>
      <c r="J532" t="s">
        <v>150</v>
      </c>
      <c r="K532" t="s">
        <v>961</v>
      </c>
      <c r="L532" t="s">
        <v>43</v>
      </c>
      <c r="M532" t="s">
        <v>503</v>
      </c>
      <c r="N532" t="s">
        <v>1374</v>
      </c>
      <c r="T532" t="s">
        <v>242</v>
      </c>
      <c r="U532" t="s">
        <v>194</v>
      </c>
      <c r="V532" t="s">
        <v>194</v>
      </c>
      <c r="W532" t="s">
        <v>3058</v>
      </c>
    </row>
    <row r="533" spans="1:23" x14ac:dyDescent="0.2">
      <c r="A533" t="s">
        <v>3059</v>
      </c>
      <c r="B533" s="1">
        <f>VALUE(RIGHT(A533,LEN(A533)-3))</f>
        <v>528</v>
      </c>
      <c r="C533" t="s">
        <v>32</v>
      </c>
      <c r="D533">
        <v>1</v>
      </c>
      <c r="E533" t="s">
        <v>57</v>
      </c>
      <c r="F533">
        <v>1</v>
      </c>
      <c r="G533" t="s">
        <v>291</v>
      </c>
      <c r="H533" t="s">
        <v>3060</v>
      </c>
      <c r="I533">
        <v>31</v>
      </c>
      <c r="J533" t="s">
        <v>178</v>
      </c>
      <c r="K533" t="s">
        <v>259</v>
      </c>
      <c r="L533" t="s">
        <v>43</v>
      </c>
      <c r="M533" t="s">
        <v>503</v>
      </c>
      <c r="N533" t="s">
        <v>2656</v>
      </c>
      <c r="O533">
        <v>2</v>
      </c>
      <c r="P533">
        <v>300</v>
      </c>
      <c r="R533">
        <v>2800</v>
      </c>
      <c r="T533" t="s">
        <v>367</v>
      </c>
      <c r="U533" t="s">
        <v>3063</v>
      </c>
      <c r="V533" t="s">
        <v>182</v>
      </c>
      <c r="W533" t="s">
        <v>3064</v>
      </c>
    </row>
    <row r="534" spans="1:23" x14ac:dyDescent="0.2">
      <c r="A534" t="s">
        <v>3072</v>
      </c>
      <c r="B534" s="1">
        <f>VALUE(RIGHT(A534,LEN(A534)-3))</f>
        <v>530</v>
      </c>
      <c r="C534" t="s">
        <v>32</v>
      </c>
      <c r="D534">
        <v>1</v>
      </c>
      <c r="E534" t="s">
        <v>57</v>
      </c>
      <c r="F534">
        <v>2</v>
      </c>
      <c r="G534" t="s">
        <v>2285</v>
      </c>
      <c r="H534" t="s">
        <v>3073</v>
      </c>
      <c r="I534">
        <v>34</v>
      </c>
      <c r="J534" t="s">
        <v>127</v>
      </c>
      <c r="K534" t="s">
        <v>1296</v>
      </c>
      <c r="L534" t="s">
        <v>43</v>
      </c>
      <c r="M534" t="s">
        <v>503</v>
      </c>
      <c r="N534" t="s">
        <v>2299</v>
      </c>
      <c r="O534">
        <v>2</v>
      </c>
      <c r="T534" t="s">
        <v>367</v>
      </c>
      <c r="U534" t="s">
        <v>857</v>
      </c>
      <c r="V534" t="s">
        <v>48</v>
      </c>
      <c r="W534" t="s">
        <v>3075</v>
      </c>
    </row>
    <row r="535" spans="1:23" x14ac:dyDescent="0.2">
      <c r="A535" t="s">
        <v>3082</v>
      </c>
      <c r="B535" s="1">
        <f>VALUE(RIGHT(A535,LEN(A535)-3))</f>
        <v>532</v>
      </c>
      <c r="C535" t="s">
        <v>32</v>
      </c>
      <c r="D535">
        <v>1</v>
      </c>
      <c r="E535" t="s">
        <v>57</v>
      </c>
      <c r="F535">
        <v>0</v>
      </c>
      <c r="H535" t="s">
        <v>3077</v>
      </c>
      <c r="I535">
        <v>39</v>
      </c>
      <c r="J535" t="s">
        <v>178</v>
      </c>
      <c r="K535" t="s">
        <v>1006</v>
      </c>
      <c r="L535" t="s">
        <v>43</v>
      </c>
      <c r="M535" t="s">
        <v>503</v>
      </c>
      <c r="N535" t="s">
        <v>2672</v>
      </c>
      <c r="O535">
        <v>4</v>
      </c>
      <c r="P535">
        <v>450</v>
      </c>
      <c r="Q535">
        <v>70</v>
      </c>
      <c r="R535">
        <v>550</v>
      </c>
      <c r="T535" t="s">
        <v>103</v>
      </c>
      <c r="U535" t="s">
        <v>3084</v>
      </c>
      <c r="V535" t="s">
        <v>48</v>
      </c>
      <c r="W535" t="s">
        <v>3085</v>
      </c>
    </row>
    <row r="536" spans="1:23" hidden="1" x14ac:dyDescent="0.2">
      <c r="A536" t="s">
        <v>3098</v>
      </c>
      <c r="B536" s="1">
        <f>VALUE(RIGHT(A536,LEN(A536)-3))</f>
        <v>535</v>
      </c>
      <c r="C536" t="s">
        <v>44</v>
      </c>
      <c r="D536">
        <v>0</v>
      </c>
      <c r="F536">
        <v>0</v>
      </c>
      <c r="H536" t="s">
        <v>3099</v>
      </c>
      <c r="I536">
        <v>34</v>
      </c>
      <c r="J536" t="s">
        <v>27</v>
      </c>
      <c r="K536" t="s">
        <v>3100</v>
      </c>
      <c r="L536" t="s">
        <v>43</v>
      </c>
      <c r="M536" t="s">
        <v>503</v>
      </c>
      <c r="N536" t="s">
        <v>520</v>
      </c>
      <c r="P536">
        <v>1300</v>
      </c>
      <c r="R536">
        <v>1200</v>
      </c>
      <c r="T536" t="s">
        <v>103</v>
      </c>
      <c r="U536" t="s">
        <v>194</v>
      </c>
      <c r="V536" t="s">
        <v>194</v>
      </c>
      <c r="W536" t="s">
        <v>3102</v>
      </c>
    </row>
    <row r="537" spans="1:23" x14ac:dyDescent="0.2">
      <c r="A537" t="s">
        <v>3103</v>
      </c>
      <c r="B537" s="1">
        <f>VALUE(RIGHT(A537,LEN(A537)-3))</f>
        <v>536</v>
      </c>
      <c r="C537" t="s">
        <v>32</v>
      </c>
      <c r="D537">
        <v>2</v>
      </c>
      <c r="E537" t="s">
        <v>35</v>
      </c>
      <c r="F537">
        <v>4</v>
      </c>
      <c r="G537" t="s">
        <v>3106</v>
      </c>
      <c r="H537" t="s">
        <v>3099</v>
      </c>
      <c r="I537">
        <v>44</v>
      </c>
      <c r="J537" t="s">
        <v>551</v>
      </c>
      <c r="K537" t="s">
        <v>961</v>
      </c>
      <c r="L537" t="s">
        <v>83</v>
      </c>
      <c r="M537" t="s">
        <v>503</v>
      </c>
      <c r="N537" t="s">
        <v>2656</v>
      </c>
      <c r="O537">
        <v>3</v>
      </c>
      <c r="P537">
        <v>600</v>
      </c>
      <c r="Q537">
        <v>300</v>
      </c>
      <c r="T537" t="s">
        <v>242</v>
      </c>
      <c r="U537" t="s">
        <v>2107</v>
      </c>
      <c r="V537" t="s">
        <v>48</v>
      </c>
      <c r="W537" t="s">
        <v>3107</v>
      </c>
    </row>
    <row r="538" spans="1:23" x14ac:dyDescent="0.2">
      <c r="A538" t="s">
        <v>3108</v>
      </c>
      <c r="B538" s="1">
        <f>VALUE(RIGHT(A538,LEN(A538)-3))</f>
        <v>537</v>
      </c>
      <c r="C538" t="s">
        <v>32</v>
      </c>
      <c r="D538">
        <v>1</v>
      </c>
      <c r="E538" t="s">
        <v>57</v>
      </c>
      <c r="F538">
        <v>1</v>
      </c>
      <c r="G538" t="s">
        <v>68</v>
      </c>
      <c r="H538" t="s">
        <v>3109</v>
      </c>
      <c r="I538">
        <v>33</v>
      </c>
      <c r="J538" t="s">
        <v>178</v>
      </c>
      <c r="K538" t="s">
        <v>3044</v>
      </c>
      <c r="L538" t="s">
        <v>43</v>
      </c>
      <c r="M538" t="s">
        <v>503</v>
      </c>
      <c r="N538" t="s">
        <v>2645</v>
      </c>
      <c r="O538">
        <v>10</v>
      </c>
      <c r="P538">
        <v>750</v>
      </c>
      <c r="Q538">
        <v>500</v>
      </c>
      <c r="R538">
        <v>350</v>
      </c>
      <c r="T538" t="s">
        <v>3112</v>
      </c>
      <c r="U538" t="s">
        <v>104</v>
      </c>
      <c r="V538" t="s">
        <v>753</v>
      </c>
      <c r="W538" t="s">
        <v>3113</v>
      </c>
    </row>
  </sheetData>
  <autoFilter ref="A1:W538" xr:uid="{00000000-0009-0000-0000-000000000000}">
    <filterColumn colId="2">
      <filters>
        <filter val="001H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38"/>
  <sheetViews>
    <sheetView workbookViewId="0">
      <pane ySplit="1" topLeftCell="A490" activePane="bottomLeft" state="frozen"/>
      <selection pane="bottomLeft" activeCell="D539" sqref="D539"/>
    </sheetView>
  </sheetViews>
  <sheetFormatPr baseColWidth="10" defaultColWidth="8.83203125" defaultRowHeight="15" x14ac:dyDescent="0.2"/>
  <cols>
    <col min="1" max="1" width="11" customWidth="1"/>
    <col min="2" max="2" width="11" style="1" customWidth="1"/>
    <col min="3" max="3" width="19" customWidth="1"/>
    <col min="4" max="4" width="27" customWidth="1"/>
    <col min="5" max="5" width="12" customWidth="1"/>
    <col min="6" max="6" width="7" customWidth="1"/>
    <col min="7" max="7" width="15" customWidth="1"/>
    <col min="8" max="8" width="7.5" customWidth="1"/>
    <col min="9" max="9" width="15" customWidth="1"/>
    <col min="10" max="10" width="12.1640625" customWidth="1"/>
    <col min="11" max="11" width="6" customWidth="1"/>
    <col min="12" max="12" width="10" customWidth="1"/>
    <col min="13" max="13" width="23.6640625" customWidth="1"/>
    <col min="14" max="14" width="13" customWidth="1"/>
    <col min="15" max="15" width="12" customWidth="1"/>
    <col min="16" max="16" width="12.1640625" customWidth="1"/>
    <col min="17" max="17" width="6" customWidth="1"/>
    <col min="18" max="18" width="6.33203125" customWidth="1"/>
    <col min="19" max="19" width="5.1640625" customWidth="1"/>
    <col min="20" max="20" width="5.6640625" customWidth="1"/>
    <col min="21" max="21" width="4.6640625" customWidth="1"/>
    <col min="22" max="22" width="21" customWidth="1"/>
    <col min="23" max="23" width="26" customWidth="1"/>
    <col min="24" max="24" width="27" customWidth="1"/>
    <col min="25" max="25" width="60" customWidth="1"/>
  </cols>
  <sheetData>
    <row r="1" spans="1:25" x14ac:dyDescent="0.2">
      <c r="A1" t="s">
        <v>4153</v>
      </c>
      <c r="B1" s="1" t="s">
        <v>4155</v>
      </c>
      <c r="C1" t="s">
        <v>13</v>
      </c>
      <c r="D1" t="s">
        <v>14</v>
      </c>
      <c r="E1" t="s">
        <v>15</v>
      </c>
      <c r="F1" t="s">
        <v>16</v>
      </c>
      <c r="G1" t="s">
        <v>17</v>
      </c>
      <c r="H1" t="s">
        <v>18</v>
      </c>
      <c r="I1" t="s">
        <v>19</v>
      </c>
      <c r="J1" t="s">
        <v>1</v>
      </c>
      <c r="K1" t="s">
        <v>2</v>
      </c>
      <c r="L1" t="s">
        <v>3</v>
      </c>
      <c r="M1" t="s">
        <v>4</v>
      </c>
      <c r="N1" t="s">
        <v>5</v>
      </c>
      <c r="O1" t="s">
        <v>6</v>
      </c>
      <c r="P1" t="s">
        <v>7</v>
      </c>
      <c r="Q1" t="s">
        <v>8</v>
      </c>
      <c r="R1" t="s">
        <v>9</v>
      </c>
      <c r="S1" t="s">
        <v>10</v>
      </c>
      <c r="T1" t="s">
        <v>11</v>
      </c>
      <c r="U1" t="s">
        <v>12</v>
      </c>
      <c r="V1" t="s">
        <v>21</v>
      </c>
      <c r="W1" t="s">
        <v>22</v>
      </c>
      <c r="X1" t="s">
        <v>23</v>
      </c>
      <c r="Y1" t="s">
        <v>24</v>
      </c>
    </row>
    <row r="2" spans="1:25" x14ac:dyDescent="0.2">
      <c r="A2" t="s">
        <v>25</v>
      </c>
      <c r="B2" s="1">
        <f>VALUE(RIGHT(A2,LEN(A2)-3))</f>
        <v>1</v>
      </c>
      <c r="C2" t="s">
        <v>32</v>
      </c>
      <c r="D2" t="s">
        <v>4140</v>
      </c>
      <c r="E2" t="s">
        <v>34</v>
      </c>
      <c r="F2">
        <v>1</v>
      </c>
      <c r="G2" t="s">
        <v>35</v>
      </c>
      <c r="H2">
        <v>0</v>
      </c>
      <c r="J2" t="s">
        <v>26</v>
      </c>
      <c r="L2" t="s">
        <v>27</v>
      </c>
      <c r="M2" t="s">
        <v>28</v>
      </c>
      <c r="N2" t="s">
        <v>29</v>
      </c>
      <c r="O2" t="s">
        <v>30</v>
      </c>
      <c r="P2" t="s">
        <v>31</v>
      </c>
      <c r="V2" t="s">
        <v>36</v>
      </c>
      <c r="W2" t="s">
        <v>37</v>
      </c>
      <c r="X2" t="s">
        <v>38</v>
      </c>
      <c r="Y2" t="s">
        <v>39</v>
      </c>
    </row>
    <row r="3" spans="1:25" x14ac:dyDescent="0.2">
      <c r="A3" t="s">
        <v>50</v>
      </c>
      <c r="B3" s="1">
        <f>VALUE(RIGHT(A3,LEN(A3)-3))</f>
        <v>3</v>
      </c>
      <c r="C3" t="s">
        <v>32</v>
      </c>
      <c r="D3" t="s">
        <v>4140</v>
      </c>
      <c r="E3" t="s">
        <v>56</v>
      </c>
      <c r="F3">
        <v>1</v>
      </c>
      <c r="G3" t="s">
        <v>57</v>
      </c>
      <c r="H3">
        <v>1</v>
      </c>
      <c r="I3" t="s">
        <v>58</v>
      </c>
      <c r="J3" t="s">
        <v>51</v>
      </c>
      <c r="L3" t="s">
        <v>52</v>
      </c>
      <c r="M3" t="s">
        <v>53</v>
      </c>
      <c r="N3" t="s">
        <v>54</v>
      </c>
      <c r="O3" t="s">
        <v>30</v>
      </c>
      <c r="P3" t="s">
        <v>31</v>
      </c>
      <c r="V3" t="s">
        <v>59</v>
      </c>
      <c r="W3" t="s">
        <v>60</v>
      </c>
      <c r="X3" t="s">
        <v>61</v>
      </c>
      <c r="Y3" t="s">
        <v>62</v>
      </c>
    </row>
    <row r="4" spans="1:25" x14ac:dyDescent="0.2">
      <c r="A4" t="s">
        <v>63</v>
      </c>
      <c r="B4" s="1">
        <f>VALUE(RIGHT(A4,LEN(A4)-3))</f>
        <v>4</v>
      </c>
      <c r="C4" t="s">
        <v>32</v>
      </c>
      <c r="D4" t="s">
        <v>4140</v>
      </c>
      <c r="E4" t="s">
        <v>67</v>
      </c>
      <c r="F4">
        <v>1</v>
      </c>
      <c r="G4" t="s">
        <v>35</v>
      </c>
      <c r="H4">
        <v>1</v>
      </c>
      <c r="I4" t="s">
        <v>68</v>
      </c>
      <c r="J4" t="s">
        <v>64</v>
      </c>
      <c r="L4" t="s">
        <v>27</v>
      </c>
      <c r="M4" t="s">
        <v>65</v>
      </c>
      <c r="N4" t="s">
        <v>43</v>
      </c>
      <c r="O4" t="s">
        <v>30</v>
      </c>
      <c r="P4" t="s">
        <v>31</v>
      </c>
      <c r="V4" t="s">
        <v>36</v>
      </c>
      <c r="W4" t="s">
        <v>69</v>
      </c>
      <c r="X4" t="s">
        <v>70</v>
      </c>
      <c r="Y4" t="s">
        <v>71</v>
      </c>
    </row>
    <row r="5" spans="1:25" x14ac:dyDescent="0.2">
      <c r="A5" t="s">
        <v>72</v>
      </c>
      <c r="B5" s="1">
        <f>VALUE(RIGHT(A5,LEN(A5)-3))</f>
        <v>5</v>
      </c>
      <c r="C5" t="s">
        <v>32</v>
      </c>
      <c r="D5" t="s">
        <v>4140</v>
      </c>
      <c r="E5" t="s">
        <v>77</v>
      </c>
      <c r="F5">
        <v>1</v>
      </c>
      <c r="G5" t="s">
        <v>57</v>
      </c>
      <c r="H5">
        <v>1</v>
      </c>
      <c r="I5" t="s">
        <v>58</v>
      </c>
      <c r="J5" t="s">
        <v>73</v>
      </c>
      <c r="L5" t="s">
        <v>74</v>
      </c>
      <c r="M5" t="s">
        <v>75</v>
      </c>
      <c r="N5" t="s">
        <v>29</v>
      </c>
      <c r="O5" t="s">
        <v>30</v>
      </c>
      <c r="P5" t="s">
        <v>31</v>
      </c>
      <c r="V5" t="s">
        <v>59</v>
      </c>
      <c r="W5" t="s">
        <v>78</v>
      </c>
      <c r="X5" t="s">
        <v>48</v>
      </c>
      <c r="Y5" t="s">
        <v>79</v>
      </c>
    </row>
    <row r="6" spans="1:25" x14ac:dyDescent="0.2">
      <c r="A6" t="s">
        <v>80</v>
      </c>
      <c r="B6" s="1">
        <f>VALUE(RIGHT(A6,LEN(A6)-3))</f>
        <v>6</v>
      </c>
      <c r="C6" t="s">
        <v>32</v>
      </c>
      <c r="D6" t="s">
        <v>4140</v>
      </c>
      <c r="E6" t="s">
        <v>85</v>
      </c>
      <c r="F6">
        <v>1</v>
      </c>
      <c r="G6" t="s">
        <v>57</v>
      </c>
      <c r="H6">
        <v>0</v>
      </c>
      <c r="J6" t="s">
        <v>81</v>
      </c>
      <c r="L6" t="s">
        <v>27</v>
      </c>
      <c r="M6" t="s">
        <v>82</v>
      </c>
      <c r="N6" t="s">
        <v>83</v>
      </c>
      <c r="O6" t="s">
        <v>30</v>
      </c>
      <c r="P6" t="s">
        <v>31</v>
      </c>
      <c r="V6" t="s">
        <v>86</v>
      </c>
      <c r="W6" t="s">
        <v>87</v>
      </c>
      <c r="X6" t="s">
        <v>61</v>
      </c>
      <c r="Y6" t="s">
        <v>88</v>
      </c>
    </row>
    <row r="7" spans="1:25" x14ac:dyDescent="0.2">
      <c r="A7" t="s">
        <v>89</v>
      </c>
      <c r="B7" s="1">
        <f>VALUE(RIGHT(A7,LEN(A7)-3))</f>
        <v>7</v>
      </c>
      <c r="C7" t="s">
        <v>32</v>
      </c>
      <c r="D7" t="s">
        <v>4140</v>
      </c>
      <c r="E7" t="s">
        <v>93</v>
      </c>
      <c r="F7">
        <v>2</v>
      </c>
      <c r="G7" t="s">
        <v>94</v>
      </c>
      <c r="H7">
        <v>2</v>
      </c>
      <c r="I7" t="s">
        <v>58</v>
      </c>
      <c r="J7" t="s">
        <v>90</v>
      </c>
      <c r="L7" t="s">
        <v>27</v>
      </c>
      <c r="M7" t="s">
        <v>91</v>
      </c>
      <c r="N7" t="s">
        <v>43</v>
      </c>
      <c r="O7" t="s">
        <v>30</v>
      </c>
      <c r="P7" t="s">
        <v>31</v>
      </c>
      <c r="V7" t="s">
        <v>36</v>
      </c>
      <c r="W7" t="s">
        <v>95</v>
      </c>
      <c r="X7" t="s">
        <v>61</v>
      </c>
      <c r="Y7" t="s">
        <v>96</v>
      </c>
    </row>
    <row r="8" spans="1:25" x14ac:dyDescent="0.2">
      <c r="A8" t="s">
        <v>97</v>
      </c>
      <c r="B8" s="1">
        <f>VALUE(RIGHT(A8,LEN(A8)-3))</f>
        <v>8</v>
      </c>
      <c r="C8" t="s">
        <v>32</v>
      </c>
      <c r="D8" t="s">
        <v>4140</v>
      </c>
      <c r="E8" t="s">
        <v>102</v>
      </c>
      <c r="F8">
        <v>1</v>
      </c>
      <c r="G8" t="s">
        <v>57</v>
      </c>
      <c r="H8">
        <v>0</v>
      </c>
      <c r="J8" t="s">
        <v>98</v>
      </c>
      <c r="L8" t="s">
        <v>99</v>
      </c>
      <c r="M8" t="s">
        <v>100</v>
      </c>
      <c r="N8" t="s">
        <v>43</v>
      </c>
      <c r="O8" t="s">
        <v>30</v>
      </c>
      <c r="P8" t="s">
        <v>31</v>
      </c>
      <c r="V8" t="s">
        <v>103</v>
      </c>
      <c r="W8" t="s">
        <v>104</v>
      </c>
      <c r="X8" t="s">
        <v>61</v>
      </c>
      <c r="Y8" t="s">
        <v>105</v>
      </c>
    </row>
    <row r="9" spans="1:25" x14ac:dyDescent="0.2">
      <c r="A9" t="s">
        <v>110</v>
      </c>
      <c r="B9" s="1">
        <f>VALUE(RIGHT(A9,LEN(A9)-3))</f>
        <v>10</v>
      </c>
      <c r="C9" t="s">
        <v>32</v>
      </c>
      <c r="D9" t="s">
        <v>4140</v>
      </c>
      <c r="E9" t="s">
        <v>115</v>
      </c>
      <c r="F9">
        <v>1</v>
      </c>
      <c r="G9" t="s">
        <v>57</v>
      </c>
      <c r="H9">
        <v>0</v>
      </c>
      <c r="J9" t="s">
        <v>111</v>
      </c>
      <c r="L9" t="s">
        <v>112</v>
      </c>
      <c r="M9" t="s">
        <v>113</v>
      </c>
      <c r="N9" t="s">
        <v>43</v>
      </c>
      <c r="O9" t="s">
        <v>30</v>
      </c>
      <c r="P9" t="s">
        <v>31</v>
      </c>
      <c r="V9" t="s">
        <v>36</v>
      </c>
      <c r="W9" t="s">
        <v>116</v>
      </c>
      <c r="X9" t="s">
        <v>61</v>
      </c>
      <c r="Y9" t="s">
        <v>117</v>
      </c>
    </row>
    <row r="10" spans="1:25" x14ac:dyDescent="0.2">
      <c r="A10" t="s">
        <v>118</v>
      </c>
      <c r="B10" s="1">
        <f>VALUE(RIGHT(A10,LEN(A10)-3))</f>
        <v>11</v>
      </c>
      <c r="C10" t="s">
        <v>32</v>
      </c>
      <c r="D10" t="s">
        <v>4140</v>
      </c>
      <c r="E10" t="s">
        <v>122</v>
      </c>
      <c r="F10">
        <v>1</v>
      </c>
      <c r="G10" t="s">
        <v>57</v>
      </c>
      <c r="H10">
        <v>1</v>
      </c>
      <c r="I10" t="s">
        <v>123</v>
      </c>
      <c r="J10" t="s">
        <v>119</v>
      </c>
      <c r="L10" t="s">
        <v>120</v>
      </c>
      <c r="M10" t="s">
        <v>100</v>
      </c>
      <c r="N10" t="s">
        <v>43</v>
      </c>
      <c r="O10" t="s">
        <v>30</v>
      </c>
      <c r="P10" t="s">
        <v>31</v>
      </c>
      <c r="R10">
        <v>1</v>
      </c>
      <c r="T10">
        <v>2700</v>
      </c>
      <c r="V10" t="s">
        <v>36</v>
      </c>
      <c r="W10" t="s">
        <v>104</v>
      </c>
      <c r="X10" t="s">
        <v>61</v>
      </c>
      <c r="Y10" t="s">
        <v>124</v>
      </c>
    </row>
    <row r="11" spans="1:25" x14ac:dyDescent="0.2">
      <c r="A11" t="s">
        <v>125</v>
      </c>
      <c r="B11" s="1">
        <f>VALUE(RIGHT(A11,LEN(A11)-3))</f>
        <v>12</v>
      </c>
      <c r="C11" t="s">
        <v>32</v>
      </c>
      <c r="D11" t="s">
        <v>4140</v>
      </c>
      <c r="E11" t="s">
        <v>129</v>
      </c>
      <c r="F11">
        <v>1</v>
      </c>
      <c r="G11" t="s">
        <v>130</v>
      </c>
      <c r="H11">
        <v>0</v>
      </c>
      <c r="J11" t="s">
        <v>126</v>
      </c>
      <c r="L11" t="s">
        <v>127</v>
      </c>
      <c r="M11" t="s">
        <v>82</v>
      </c>
      <c r="N11" t="s">
        <v>83</v>
      </c>
      <c r="O11" t="s">
        <v>30</v>
      </c>
      <c r="P11" t="s">
        <v>31</v>
      </c>
      <c r="V11" t="s">
        <v>86</v>
      </c>
      <c r="W11" t="s">
        <v>131</v>
      </c>
      <c r="X11" t="s">
        <v>48</v>
      </c>
      <c r="Y11" t="s">
        <v>132</v>
      </c>
    </row>
    <row r="12" spans="1:25" x14ac:dyDescent="0.2">
      <c r="A12" t="s">
        <v>133</v>
      </c>
      <c r="B12" s="1">
        <f>VALUE(RIGHT(A12,LEN(A12)-3))</f>
        <v>13</v>
      </c>
      <c r="C12" t="s">
        <v>32</v>
      </c>
      <c r="D12" t="s">
        <v>4140</v>
      </c>
      <c r="E12" t="s">
        <v>137</v>
      </c>
      <c r="F12">
        <v>1</v>
      </c>
      <c r="G12" t="s">
        <v>35</v>
      </c>
      <c r="H12">
        <v>1</v>
      </c>
      <c r="I12" t="s">
        <v>123</v>
      </c>
      <c r="J12" t="s">
        <v>134</v>
      </c>
      <c r="L12" t="s">
        <v>27</v>
      </c>
      <c r="M12" t="s">
        <v>135</v>
      </c>
      <c r="N12" t="s">
        <v>29</v>
      </c>
      <c r="O12" t="s">
        <v>30</v>
      </c>
      <c r="P12" t="s">
        <v>31</v>
      </c>
      <c r="V12" t="s">
        <v>138</v>
      </c>
      <c r="W12" t="s">
        <v>139</v>
      </c>
      <c r="X12" t="s">
        <v>48</v>
      </c>
      <c r="Y12" t="s">
        <v>140</v>
      </c>
    </row>
    <row r="13" spans="1:25" x14ac:dyDescent="0.2">
      <c r="A13" t="s">
        <v>141</v>
      </c>
      <c r="B13" s="1">
        <f>VALUE(RIGHT(A13,LEN(A13)-3))</f>
        <v>14</v>
      </c>
      <c r="C13" t="s">
        <v>32</v>
      </c>
      <c r="D13" t="s">
        <v>4140</v>
      </c>
      <c r="E13" t="s">
        <v>145</v>
      </c>
      <c r="F13">
        <v>1</v>
      </c>
      <c r="G13" t="s">
        <v>57</v>
      </c>
      <c r="H13">
        <v>2</v>
      </c>
      <c r="I13" t="s">
        <v>146</v>
      </c>
      <c r="J13" t="s">
        <v>142</v>
      </c>
      <c r="L13" t="s">
        <v>52</v>
      </c>
      <c r="M13" t="s">
        <v>143</v>
      </c>
      <c r="N13" t="s">
        <v>43</v>
      </c>
      <c r="O13" t="s">
        <v>30</v>
      </c>
      <c r="P13" t="s">
        <v>31</v>
      </c>
      <c r="R13">
        <v>4</v>
      </c>
      <c r="T13">
        <v>200</v>
      </c>
      <c r="V13" t="s">
        <v>59</v>
      </c>
      <c r="W13" t="s">
        <v>78</v>
      </c>
      <c r="X13" t="s">
        <v>61</v>
      </c>
      <c r="Y13" t="s">
        <v>147</v>
      </c>
    </row>
    <row r="14" spans="1:25" x14ac:dyDescent="0.2">
      <c r="A14" t="s">
        <v>148</v>
      </c>
      <c r="B14" s="1">
        <f>VALUE(RIGHT(A14,LEN(A14)-3))</f>
        <v>15</v>
      </c>
      <c r="C14" t="s">
        <v>32</v>
      </c>
      <c r="D14" t="s">
        <v>4140</v>
      </c>
      <c r="E14" t="s">
        <v>153</v>
      </c>
      <c r="F14">
        <v>2</v>
      </c>
      <c r="G14" t="s">
        <v>94</v>
      </c>
      <c r="H14">
        <v>3</v>
      </c>
      <c r="I14" t="s">
        <v>146</v>
      </c>
      <c r="J14" t="s">
        <v>149</v>
      </c>
      <c r="L14" t="s">
        <v>150</v>
      </c>
      <c r="M14" t="s">
        <v>151</v>
      </c>
      <c r="N14" t="s">
        <v>43</v>
      </c>
      <c r="O14" t="s">
        <v>30</v>
      </c>
      <c r="P14" t="s">
        <v>31</v>
      </c>
      <c r="V14" t="s">
        <v>36</v>
      </c>
      <c r="W14" t="s">
        <v>154</v>
      </c>
      <c r="X14" t="s">
        <v>61</v>
      </c>
      <c r="Y14" t="s">
        <v>155</v>
      </c>
    </row>
    <row r="15" spans="1:25" x14ac:dyDescent="0.2">
      <c r="A15" t="s">
        <v>156</v>
      </c>
      <c r="B15" s="1">
        <f>VALUE(RIGHT(A15,LEN(A15)-3))</f>
        <v>16</v>
      </c>
      <c r="C15" t="s">
        <v>32</v>
      </c>
      <c r="D15" t="s">
        <v>4140</v>
      </c>
      <c r="E15" t="s">
        <v>158</v>
      </c>
      <c r="F15">
        <v>1</v>
      </c>
      <c r="G15" t="s">
        <v>35</v>
      </c>
      <c r="H15">
        <v>1</v>
      </c>
      <c r="I15" t="s">
        <v>58</v>
      </c>
      <c r="J15" t="s">
        <v>157</v>
      </c>
      <c r="L15" t="s">
        <v>27</v>
      </c>
      <c r="M15" t="s">
        <v>82</v>
      </c>
      <c r="N15" t="s">
        <v>83</v>
      </c>
      <c r="O15" t="s">
        <v>30</v>
      </c>
      <c r="P15" t="s">
        <v>31</v>
      </c>
      <c r="V15" t="s">
        <v>138</v>
      </c>
      <c r="W15" t="s">
        <v>159</v>
      </c>
      <c r="X15" t="s">
        <v>61</v>
      </c>
      <c r="Y15" t="s">
        <v>160</v>
      </c>
    </row>
    <row r="16" spans="1:25" x14ac:dyDescent="0.2">
      <c r="A16" t="s">
        <v>161</v>
      </c>
      <c r="B16" s="1">
        <f>VALUE(RIGHT(A16,LEN(A16)-3))</f>
        <v>17</v>
      </c>
      <c r="C16" t="s">
        <v>32</v>
      </c>
      <c r="D16" t="s">
        <v>4140</v>
      </c>
      <c r="E16" t="s">
        <v>165</v>
      </c>
      <c r="F16">
        <v>1</v>
      </c>
      <c r="G16" t="s">
        <v>35</v>
      </c>
      <c r="H16">
        <v>0</v>
      </c>
      <c r="J16" t="s">
        <v>162</v>
      </c>
      <c r="L16" t="s">
        <v>27</v>
      </c>
      <c r="M16" t="s">
        <v>163</v>
      </c>
      <c r="N16" t="s">
        <v>54</v>
      </c>
      <c r="O16" t="s">
        <v>30</v>
      </c>
      <c r="P16" t="s">
        <v>31</v>
      </c>
      <c r="V16" t="s">
        <v>166</v>
      </c>
      <c r="W16" t="s">
        <v>167</v>
      </c>
      <c r="X16" t="s">
        <v>38</v>
      </c>
      <c r="Y16" t="s">
        <v>168</v>
      </c>
    </row>
    <row r="17" spans="1:25" x14ac:dyDescent="0.2">
      <c r="A17" t="s">
        <v>169</v>
      </c>
      <c r="B17" s="1">
        <f>VALUE(RIGHT(A17,LEN(A17)-3))</f>
        <v>18</v>
      </c>
      <c r="C17" t="s">
        <v>32</v>
      </c>
      <c r="D17" t="s">
        <v>4140</v>
      </c>
      <c r="E17" t="s">
        <v>172</v>
      </c>
      <c r="F17">
        <v>1</v>
      </c>
      <c r="G17" t="s">
        <v>57</v>
      </c>
      <c r="H17">
        <v>0</v>
      </c>
      <c r="J17" t="s">
        <v>170</v>
      </c>
      <c r="L17" t="s">
        <v>27</v>
      </c>
      <c r="M17" t="s">
        <v>65</v>
      </c>
      <c r="N17" t="s">
        <v>43</v>
      </c>
      <c r="O17" t="s">
        <v>30</v>
      </c>
      <c r="P17" t="s">
        <v>31</v>
      </c>
      <c r="V17" t="s">
        <v>173</v>
      </c>
      <c r="W17" t="s">
        <v>174</v>
      </c>
      <c r="X17" t="s">
        <v>61</v>
      </c>
      <c r="Y17" t="s">
        <v>175</v>
      </c>
    </row>
    <row r="18" spans="1:25" x14ac:dyDescent="0.2">
      <c r="A18" t="s">
        <v>176</v>
      </c>
      <c r="B18" s="1">
        <f>VALUE(RIGHT(A18,LEN(A18)-3))</f>
        <v>19</v>
      </c>
      <c r="C18" t="s">
        <v>32</v>
      </c>
      <c r="D18" t="s">
        <v>4140</v>
      </c>
      <c r="E18" t="s">
        <v>180</v>
      </c>
      <c r="F18">
        <v>1</v>
      </c>
      <c r="G18" t="s">
        <v>35</v>
      </c>
      <c r="H18">
        <v>0</v>
      </c>
      <c r="J18" t="s">
        <v>177</v>
      </c>
      <c r="L18" t="s">
        <v>178</v>
      </c>
      <c r="M18" t="s">
        <v>179</v>
      </c>
      <c r="N18" t="s">
        <v>43</v>
      </c>
      <c r="O18" t="s">
        <v>30</v>
      </c>
      <c r="P18" t="s">
        <v>31</v>
      </c>
      <c r="V18" t="s">
        <v>138</v>
      </c>
      <c r="W18" t="s">
        <v>181</v>
      </c>
      <c r="X18" t="s">
        <v>182</v>
      </c>
      <c r="Y18" t="s">
        <v>183</v>
      </c>
    </row>
    <row r="19" spans="1:25" x14ac:dyDescent="0.2">
      <c r="A19" t="s">
        <v>184</v>
      </c>
      <c r="B19" s="1">
        <f>VALUE(RIGHT(A19,LEN(A19)-3))</f>
        <v>20</v>
      </c>
      <c r="C19" t="s">
        <v>32</v>
      </c>
      <c r="D19" t="s">
        <v>4140</v>
      </c>
      <c r="E19" t="s">
        <v>187</v>
      </c>
      <c r="F19">
        <v>1</v>
      </c>
      <c r="G19" t="s">
        <v>57</v>
      </c>
      <c r="H19">
        <v>1</v>
      </c>
      <c r="I19" t="s">
        <v>123</v>
      </c>
      <c r="J19" t="s">
        <v>185</v>
      </c>
      <c r="L19" t="s">
        <v>27</v>
      </c>
      <c r="M19" t="s">
        <v>42</v>
      </c>
      <c r="N19" t="s">
        <v>83</v>
      </c>
      <c r="O19" t="s">
        <v>30</v>
      </c>
      <c r="P19" t="s">
        <v>31</v>
      </c>
      <c r="V19" t="s">
        <v>36</v>
      </c>
      <c r="W19" t="s">
        <v>188</v>
      </c>
      <c r="X19" t="s">
        <v>182</v>
      </c>
      <c r="Y19" t="s">
        <v>189</v>
      </c>
    </row>
    <row r="20" spans="1:25" x14ac:dyDescent="0.2">
      <c r="A20" t="s">
        <v>190</v>
      </c>
      <c r="B20" s="1">
        <f>VALUE(RIGHT(A20,LEN(A20)-3))</f>
        <v>21</v>
      </c>
      <c r="C20" t="s">
        <v>32</v>
      </c>
      <c r="D20" t="s">
        <v>4140</v>
      </c>
      <c r="E20" t="s">
        <v>193</v>
      </c>
      <c r="F20">
        <v>1</v>
      </c>
      <c r="G20" t="s">
        <v>130</v>
      </c>
      <c r="H20">
        <v>0</v>
      </c>
      <c r="J20" t="s">
        <v>191</v>
      </c>
      <c r="L20" t="s">
        <v>27</v>
      </c>
      <c r="M20" t="s">
        <v>65</v>
      </c>
      <c r="N20" t="s">
        <v>54</v>
      </c>
      <c r="O20" t="s">
        <v>30</v>
      </c>
      <c r="P20" t="s">
        <v>31</v>
      </c>
      <c r="R20">
        <v>26</v>
      </c>
      <c r="T20">
        <v>6000</v>
      </c>
      <c r="V20" t="s">
        <v>36</v>
      </c>
      <c r="W20" t="s">
        <v>181</v>
      </c>
      <c r="X20" t="s">
        <v>194</v>
      </c>
      <c r="Y20" t="s">
        <v>195</v>
      </c>
    </row>
    <row r="21" spans="1:25" x14ac:dyDescent="0.2">
      <c r="A21" t="s">
        <v>203</v>
      </c>
      <c r="B21" s="1">
        <f>VALUE(RIGHT(A21,LEN(A21)-3))</f>
        <v>23</v>
      </c>
      <c r="C21" t="s">
        <v>32</v>
      </c>
      <c r="D21" t="s">
        <v>4140</v>
      </c>
      <c r="E21" t="s">
        <v>207</v>
      </c>
      <c r="F21">
        <v>1</v>
      </c>
      <c r="G21" t="s">
        <v>35</v>
      </c>
      <c r="H21">
        <v>1</v>
      </c>
      <c r="I21" t="s">
        <v>58</v>
      </c>
      <c r="J21" t="s">
        <v>204</v>
      </c>
      <c r="L21" t="s">
        <v>27</v>
      </c>
      <c r="M21" t="s">
        <v>205</v>
      </c>
      <c r="N21" t="s">
        <v>54</v>
      </c>
      <c r="O21" t="s">
        <v>30</v>
      </c>
      <c r="P21" t="s">
        <v>31</v>
      </c>
      <c r="V21" t="s">
        <v>138</v>
      </c>
      <c r="W21" t="s">
        <v>78</v>
      </c>
      <c r="X21" t="s">
        <v>61</v>
      </c>
      <c r="Y21" t="s">
        <v>208</v>
      </c>
    </row>
    <row r="22" spans="1:25" x14ac:dyDescent="0.2">
      <c r="A22" t="s">
        <v>209</v>
      </c>
      <c r="B22" s="1">
        <f>VALUE(RIGHT(A22,LEN(A22)-3))</f>
        <v>24</v>
      </c>
      <c r="C22" t="s">
        <v>32</v>
      </c>
      <c r="D22" t="s">
        <v>4140</v>
      </c>
      <c r="E22" t="s">
        <v>212</v>
      </c>
      <c r="F22">
        <v>1</v>
      </c>
      <c r="G22" t="s">
        <v>57</v>
      </c>
      <c r="H22">
        <v>3</v>
      </c>
      <c r="I22" t="s">
        <v>146</v>
      </c>
      <c r="J22" t="s">
        <v>210</v>
      </c>
      <c r="K22">
        <v>25</v>
      </c>
      <c r="L22" t="s">
        <v>52</v>
      </c>
      <c r="M22" t="s">
        <v>53</v>
      </c>
      <c r="N22" t="s">
        <v>54</v>
      </c>
      <c r="O22" t="s">
        <v>30</v>
      </c>
      <c r="P22" t="s">
        <v>31</v>
      </c>
      <c r="V22" t="s">
        <v>36</v>
      </c>
      <c r="W22" t="s">
        <v>213</v>
      </c>
      <c r="X22" t="s">
        <v>61</v>
      </c>
      <c r="Y22" t="s">
        <v>214</v>
      </c>
    </row>
    <row r="23" spans="1:25" x14ac:dyDescent="0.2">
      <c r="A23" t="s">
        <v>222</v>
      </c>
      <c r="B23" s="1">
        <f>VALUE(RIGHT(A23,LEN(A23)-3))</f>
        <v>26</v>
      </c>
      <c r="C23" t="s">
        <v>32</v>
      </c>
      <c r="D23" t="s">
        <v>4140</v>
      </c>
      <c r="E23" t="s">
        <v>225</v>
      </c>
      <c r="F23">
        <v>1</v>
      </c>
      <c r="G23" t="s">
        <v>57</v>
      </c>
      <c r="H23">
        <v>2</v>
      </c>
      <c r="I23" t="s">
        <v>58</v>
      </c>
      <c r="J23" t="s">
        <v>223</v>
      </c>
      <c r="K23">
        <v>45</v>
      </c>
      <c r="L23" t="s">
        <v>27</v>
      </c>
      <c r="M23" t="s">
        <v>42</v>
      </c>
      <c r="N23" t="s">
        <v>43</v>
      </c>
      <c r="O23" t="s">
        <v>30</v>
      </c>
      <c r="P23" t="s">
        <v>31</v>
      </c>
      <c r="V23" t="s">
        <v>226</v>
      </c>
      <c r="W23" t="s">
        <v>227</v>
      </c>
      <c r="X23" t="s">
        <v>48</v>
      </c>
      <c r="Y23" t="s">
        <v>228</v>
      </c>
    </row>
    <row r="24" spans="1:25" x14ac:dyDescent="0.2">
      <c r="A24" t="s">
        <v>229</v>
      </c>
      <c r="B24" s="1">
        <f>VALUE(RIGHT(A24,LEN(A24)-3))</f>
        <v>27</v>
      </c>
      <c r="C24" t="s">
        <v>32</v>
      </c>
      <c r="D24" t="s">
        <v>4140</v>
      </c>
      <c r="E24" t="s">
        <v>232</v>
      </c>
      <c r="F24">
        <v>2</v>
      </c>
      <c r="G24" t="s">
        <v>57</v>
      </c>
      <c r="H24">
        <v>2</v>
      </c>
      <c r="I24" t="s">
        <v>233</v>
      </c>
      <c r="J24" t="s">
        <v>230</v>
      </c>
      <c r="L24" t="s">
        <v>52</v>
      </c>
      <c r="M24" t="s">
        <v>113</v>
      </c>
      <c r="N24" t="s">
        <v>43</v>
      </c>
      <c r="O24" t="s">
        <v>30</v>
      </c>
      <c r="P24" t="s">
        <v>31</v>
      </c>
      <c r="V24" t="s">
        <v>36</v>
      </c>
      <c r="W24" t="s">
        <v>234</v>
      </c>
      <c r="X24" t="s">
        <v>235</v>
      </c>
      <c r="Y24" t="s">
        <v>236</v>
      </c>
    </row>
    <row r="25" spans="1:25" x14ac:dyDescent="0.2">
      <c r="A25" t="s">
        <v>237</v>
      </c>
      <c r="B25" s="1">
        <f>VALUE(RIGHT(A25,LEN(A25)-3))</f>
        <v>28</v>
      </c>
      <c r="C25" t="s">
        <v>32</v>
      </c>
      <c r="D25" t="s">
        <v>4140</v>
      </c>
      <c r="E25" t="s">
        <v>240</v>
      </c>
      <c r="F25">
        <v>1</v>
      </c>
      <c r="G25" t="s">
        <v>57</v>
      </c>
      <c r="H25">
        <v>3</v>
      </c>
      <c r="I25" t="s">
        <v>241</v>
      </c>
      <c r="J25" t="s">
        <v>238</v>
      </c>
      <c r="L25" t="s">
        <v>27</v>
      </c>
      <c r="M25" t="s">
        <v>65</v>
      </c>
      <c r="N25" t="s">
        <v>43</v>
      </c>
      <c r="O25" t="s">
        <v>30</v>
      </c>
      <c r="P25" t="s">
        <v>31</v>
      </c>
      <c r="V25" t="s">
        <v>242</v>
      </c>
      <c r="W25" t="s">
        <v>243</v>
      </c>
      <c r="X25" t="s">
        <v>61</v>
      </c>
      <c r="Y25" t="s">
        <v>244</v>
      </c>
    </row>
    <row r="26" spans="1:25" x14ac:dyDescent="0.2">
      <c r="A26" t="s">
        <v>250</v>
      </c>
      <c r="B26" s="1">
        <f>VALUE(RIGHT(A26,LEN(A26)-3))</f>
        <v>30</v>
      </c>
      <c r="C26" t="s">
        <v>32</v>
      </c>
      <c r="D26" t="s">
        <v>4140</v>
      </c>
      <c r="E26" t="s">
        <v>253</v>
      </c>
      <c r="F26">
        <v>2</v>
      </c>
      <c r="G26" t="s">
        <v>35</v>
      </c>
      <c r="H26">
        <v>2</v>
      </c>
      <c r="I26" t="s">
        <v>123</v>
      </c>
      <c r="J26" t="s">
        <v>251</v>
      </c>
      <c r="L26" t="s">
        <v>27</v>
      </c>
      <c r="M26" t="s">
        <v>252</v>
      </c>
      <c r="N26" t="s">
        <v>29</v>
      </c>
      <c r="O26" t="s">
        <v>30</v>
      </c>
      <c r="P26" t="s">
        <v>31</v>
      </c>
      <c r="V26" t="s">
        <v>138</v>
      </c>
      <c r="W26" t="s">
        <v>254</v>
      </c>
      <c r="X26" t="s">
        <v>61</v>
      </c>
      <c r="Y26" t="s">
        <v>255</v>
      </c>
    </row>
    <row r="27" spans="1:25" x14ac:dyDescent="0.2">
      <c r="A27" t="s">
        <v>262</v>
      </c>
      <c r="B27" s="1">
        <f>VALUE(RIGHT(A27,LEN(A27)-3))</f>
        <v>32</v>
      </c>
      <c r="C27" t="s">
        <v>32</v>
      </c>
      <c r="D27" t="s">
        <v>4140</v>
      </c>
      <c r="E27" t="s">
        <v>266</v>
      </c>
      <c r="F27">
        <v>1</v>
      </c>
      <c r="G27" t="s">
        <v>35</v>
      </c>
      <c r="H27">
        <v>2</v>
      </c>
      <c r="I27" t="s">
        <v>267</v>
      </c>
      <c r="J27" t="s">
        <v>263</v>
      </c>
      <c r="K27">
        <v>51</v>
      </c>
      <c r="L27" t="s">
        <v>27</v>
      </c>
      <c r="M27" t="s">
        <v>264</v>
      </c>
      <c r="N27" t="s">
        <v>43</v>
      </c>
      <c r="O27" t="s">
        <v>30</v>
      </c>
      <c r="P27" t="s">
        <v>31</v>
      </c>
      <c r="V27" t="s">
        <v>36</v>
      </c>
      <c r="W27" t="s">
        <v>181</v>
      </c>
      <c r="X27" t="s">
        <v>61</v>
      </c>
      <c r="Y27" t="s">
        <v>268</v>
      </c>
    </row>
    <row r="28" spans="1:25" x14ac:dyDescent="0.2">
      <c r="A28" t="s">
        <v>274</v>
      </c>
      <c r="B28" s="1">
        <f>VALUE(RIGHT(A28,LEN(A28)-3))</f>
        <v>34</v>
      </c>
      <c r="C28" t="s">
        <v>32</v>
      </c>
      <c r="D28" t="s">
        <v>4140</v>
      </c>
      <c r="E28" t="s">
        <v>277</v>
      </c>
      <c r="F28">
        <v>1</v>
      </c>
      <c r="G28" t="s">
        <v>35</v>
      </c>
      <c r="H28">
        <v>0</v>
      </c>
      <c r="J28" t="s">
        <v>275</v>
      </c>
      <c r="L28" t="s">
        <v>27</v>
      </c>
      <c r="M28" t="s">
        <v>65</v>
      </c>
      <c r="N28" t="s">
        <v>43</v>
      </c>
      <c r="O28" t="s">
        <v>30</v>
      </c>
      <c r="P28" t="s">
        <v>31</v>
      </c>
      <c r="V28" t="s">
        <v>59</v>
      </c>
      <c r="W28" t="s">
        <v>278</v>
      </c>
      <c r="X28" t="s">
        <v>61</v>
      </c>
      <c r="Y28" t="s">
        <v>279</v>
      </c>
    </row>
    <row r="29" spans="1:25" x14ac:dyDescent="0.2">
      <c r="A29" t="s">
        <v>280</v>
      </c>
      <c r="B29" s="1">
        <f>VALUE(RIGHT(A29,LEN(A29)-3))</f>
        <v>35</v>
      </c>
      <c r="C29" t="s">
        <v>32</v>
      </c>
      <c r="D29" t="s">
        <v>4140</v>
      </c>
      <c r="E29" t="s">
        <v>283</v>
      </c>
      <c r="F29">
        <v>1</v>
      </c>
      <c r="G29" t="s">
        <v>57</v>
      </c>
      <c r="H29">
        <v>2</v>
      </c>
      <c r="I29" t="s">
        <v>284</v>
      </c>
      <c r="J29" t="s">
        <v>281</v>
      </c>
      <c r="L29" t="s">
        <v>27</v>
      </c>
      <c r="M29" t="s">
        <v>42</v>
      </c>
      <c r="N29" t="s">
        <v>83</v>
      </c>
      <c r="O29" t="s">
        <v>30</v>
      </c>
      <c r="P29" t="s">
        <v>31</v>
      </c>
      <c r="T29">
        <v>30</v>
      </c>
      <c r="V29" t="s">
        <v>166</v>
      </c>
      <c r="W29" t="s">
        <v>47</v>
      </c>
      <c r="X29" t="s">
        <v>61</v>
      </c>
      <c r="Y29" t="s">
        <v>285</v>
      </c>
    </row>
    <row r="30" spans="1:25" x14ac:dyDescent="0.2">
      <c r="A30" t="s">
        <v>286</v>
      </c>
      <c r="B30" s="1">
        <f>VALUE(RIGHT(A30,LEN(A30)-3))</f>
        <v>36</v>
      </c>
      <c r="C30" t="s">
        <v>32</v>
      </c>
      <c r="D30" t="s">
        <v>4140</v>
      </c>
      <c r="E30" t="s">
        <v>290</v>
      </c>
      <c r="F30">
        <v>2</v>
      </c>
      <c r="G30" t="s">
        <v>57</v>
      </c>
      <c r="H30">
        <v>1</v>
      </c>
      <c r="I30" t="s">
        <v>291</v>
      </c>
      <c r="J30" t="s">
        <v>287</v>
      </c>
      <c r="K30">
        <v>22</v>
      </c>
      <c r="L30" t="s">
        <v>178</v>
      </c>
      <c r="M30" t="s">
        <v>288</v>
      </c>
      <c r="N30" t="s">
        <v>43</v>
      </c>
      <c r="O30" t="s">
        <v>30</v>
      </c>
      <c r="P30" t="s">
        <v>31</v>
      </c>
      <c r="R30">
        <v>30</v>
      </c>
      <c r="V30" t="s">
        <v>173</v>
      </c>
      <c r="W30" t="s">
        <v>292</v>
      </c>
      <c r="X30" t="s">
        <v>235</v>
      </c>
      <c r="Y30" t="s">
        <v>293</v>
      </c>
    </row>
    <row r="31" spans="1:25" x14ac:dyDescent="0.2">
      <c r="A31" t="s">
        <v>310</v>
      </c>
      <c r="B31" s="1">
        <f>VALUE(RIGHT(A31,LEN(A31)-3))</f>
        <v>40</v>
      </c>
      <c r="C31" t="s">
        <v>32</v>
      </c>
      <c r="D31" t="s">
        <v>4140</v>
      </c>
      <c r="E31" t="s">
        <v>313</v>
      </c>
      <c r="F31">
        <v>1</v>
      </c>
      <c r="G31" t="s">
        <v>57</v>
      </c>
      <c r="H31">
        <v>2</v>
      </c>
      <c r="I31" t="s">
        <v>241</v>
      </c>
      <c r="J31" t="s">
        <v>311</v>
      </c>
      <c r="L31" t="s">
        <v>99</v>
      </c>
      <c r="M31" t="s">
        <v>288</v>
      </c>
      <c r="N31" t="s">
        <v>43</v>
      </c>
      <c r="O31" t="s">
        <v>30</v>
      </c>
      <c r="P31" t="s">
        <v>31</v>
      </c>
      <c r="V31" t="s">
        <v>173</v>
      </c>
      <c r="W31" t="s">
        <v>314</v>
      </c>
      <c r="X31" t="s">
        <v>48</v>
      </c>
      <c r="Y31" t="s">
        <v>315</v>
      </c>
    </row>
    <row r="32" spans="1:25" x14ac:dyDescent="0.2">
      <c r="A32" t="s">
        <v>316</v>
      </c>
      <c r="B32" s="1">
        <f>VALUE(RIGHT(A32,LEN(A32)-3))</f>
        <v>41</v>
      </c>
      <c r="C32" t="s">
        <v>32</v>
      </c>
      <c r="D32" t="s">
        <v>4140</v>
      </c>
      <c r="E32" t="s">
        <v>320</v>
      </c>
      <c r="F32">
        <v>2</v>
      </c>
      <c r="G32" t="s">
        <v>94</v>
      </c>
      <c r="H32">
        <v>2</v>
      </c>
      <c r="I32" t="s">
        <v>58</v>
      </c>
      <c r="J32" t="s">
        <v>317</v>
      </c>
      <c r="L32" t="s">
        <v>318</v>
      </c>
      <c r="M32" t="s">
        <v>113</v>
      </c>
      <c r="N32" t="s">
        <v>43</v>
      </c>
      <c r="O32" t="s">
        <v>30</v>
      </c>
      <c r="P32" t="s">
        <v>31</v>
      </c>
      <c r="V32" t="s">
        <v>36</v>
      </c>
      <c r="W32" t="s">
        <v>321</v>
      </c>
      <c r="X32" t="s">
        <v>235</v>
      </c>
      <c r="Y32" t="s">
        <v>322</v>
      </c>
    </row>
    <row r="33" spans="1:25" x14ac:dyDescent="0.2">
      <c r="A33" t="s">
        <v>323</v>
      </c>
      <c r="B33" s="1">
        <f>VALUE(RIGHT(A33,LEN(A33)-3))</f>
        <v>42</v>
      </c>
      <c r="C33" t="s">
        <v>32</v>
      </c>
      <c r="D33" t="s">
        <v>4140</v>
      </c>
      <c r="E33" t="s">
        <v>326</v>
      </c>
      <c r="F33">
        <v>1</v>
      </c>
      <c r="G33" t="s">
        <v>35</v>
      </c>
      <c r="H33">
        <v>2</v>
      </c>
      <c r="I33" t="s">
        <v>327</v>
      </c>
      <c r="J33" t="s">
        <v>324</v>
      </c>
      <c r="L33" t="s">
        <v>27</v>
      </c>
      <c r="M33" t="s">
        <v>264</v>
      </c>
      <c r="N33" t="s">
        <v>29</v>
      </c>
      <c r="O33" t="s">
        <v>30</v>
      </c>
      <c r="P33" t="s">
        <v>31</v>
      </c>
      <c r="V33" t="s">
        <v>138</v>
      </c>
      <c r="W33" t="s">
        <v>328</v>
      </c>
      <c r="X33" t="s">
        <v>329</v>
      </c>
      <c r="Y33" t="s">
        <v>330</v>
      </c>
    </row>
    <row r="34" spans="1:25" x14ac:dyDescent="0.2">
      <c r="A34" t="s">
        <v>331</v>
      </c>
      <c r="B34" s="1">
        <f>VALUE(RIGHT(A34,LEN(A34)-3))</f>
        <v>43</v>
      </c>
      <c r="C34" t="s">
        <v>32</v>
      </c>
      <c r="D34" t="s">
        <v>4140</v>
      </c>
      <c r="E34" t="s">
        <v>334</v>
      </c>
      <c r="F34">
        <v>1</v>
      </c>
      <c r="G34" t="s">
        <v>57</v>
      </c>
      <c r="H34">
        <v>0</v>
      </c>
      <c r="J34" t="s">
        <v>332</v>
      </c>
      <c r="L34" t="s">
        <v>27</v>
      </c>
      <c r="N34" t="s">
        <v>29</v>
      </c>
      <c r="O34" t="s">
        <v>30</v>
      </c>
      <c r="P34" t="s">
        <v>31</v>
      </c>
      <c r="V34" t="s">
        <v>173</v>
      </c>
      <c r="W34" t="s">
        <v>174</v>
      </c>
      <c r="X34" t="s">
        <v>48</v>
      </c>
      <c r="Y34" t="s">
        <v>335</v>
      </c>
    </row>
    <row r="35" spans="1:25" x14ac:dyDescent="0.2">
      <c r="A35" t="s">
        <v>336</v>
      </c>
      <c r="B35" s="1">
        <f>VALUE(RIGHT(A35,LEN(A35)-3))</f>
        <v>44</v>
      </c>
      <c r="C35" t="s">
        <v>32</v>
      </c>
      <c r="D35" t="s">
        <v>4140</v>
      </c>
      <c r="E35" t="s">
        <v>340</v>
      </c>
      <c r="F35">
        <v>1</v>
      </c>
      <c r="G35" t="s">
        <v>35</v>
      </c>
      <c r="H35">
        <v>1</v>
      </c>
      <c r="I35" t="s">
        <v>68</v>
      </c>
      <c r="J35" t="s">
        <v>337</v>
      </c>
      <c r="L35" t="s">
        <v>338</v>
      </c>
      <c r="M35" t="s">
        <v>288</v>
      </c>
      <c r="N35" t="s">
        <v>43</v>
      </c>
      <c r="O35" t="s">
        <v>30</v>
      </c>
      <c r="P35" t="s">
        <v>31</v>
      </c>
      <c r="V35" t="s">
        <v>36</v>
      </c>
      <c r="W35" t="s">
        <v>47</v>
      </c>
      <c r="X35" t="s">
        <v>341</v>
      </c>
      <c r="Y35" t="s">
        <v>342</v>
      </c>
    </row>
    <row r="36" spans="1:25" x14ac:dyDescent="0.2">
      <c r="A36" t="s">
        <v>343</v>
      </c>
      <c r="B36" s="1">
        <f>VALUE(RIGHT(A36,LEN(A36)-3))</f>
        <v>45</v>
      </c>
      <c r="C36" t="s">
        <v>32</v>
      </c>
      <c r="D36" t="s">
        <v>4140</v>
      </c>
      <c r="E36" t="s">
        <v>346</v>
      </c>
      <c r="F36">
        <v>1</v>
      </c>
      <c r="G36" t="s">
        <v>57</v>
      </c>
      <c r="H36">
        <v>0</v>
      </c>
      <c r="J36" t="s">
        <v>344</v>
      </c>
      <c r="L36" t="s">
        <v>120</v>
      </c>
      <c r="M36" t="s">
        <v>100</v>
      </c>
      <c r="N36" t="s">
        <v>43</v>
      </c>
      <c r="O36" t="s">
        <v>30</v>
      </c>
      <c r="P36" t="s">
        <v>31</v>
      </c>
      <c r="V36" t="s">
        <v>103</v>
      </c>
      <c r="W36" t="s">
        <v>347</v>
      </c>
      <c r="X36" t="s">
        <v>61</v>
      </c>
      <c r="Y36" t="s">
        <v>348</v>
      </c>
    </row>
    <row r="37" spans="1:25" x14ac:dyDescent="0.2">
      <c r="A37" t="s">
        <v>355</v>
      </c>
      <c r="B37" s="1">
        <f>VALUE(RIGHT(A37,LEN(A37)-3))</f>
        <v>47</v>
      </c>
      <c r="C37" t="s">
        <v>32</v>
      </c>
      <c r="D37" t="s">
        <v>4140</v>
      </c>
      <c r="E37" t="s">
        <v>359</v>
      </c>
      <c r="F37">
        <v>1</v>
      </c>
      <c r="G37" t="s">
        <v>57</v>
      </c>
      <c r="H37">
        <v>0</v>
      </c>
      <c r="J37" t="s">
        <v>356</v>
      </c>
      <c r="L37" t="s">
        <v>357</v>
      </c>
      <c r="M37" t="s">
        <v>288</v>
      </c>
      <c r="N37" t="s">
        <v>43</v>
      </c>
      <c r="O37" t="s">
        <v>30</v>
      </c>
      <c r="P37" t="s">
        <v>31</v>
      </c>
      <c r="V37" t="s">
        <v>242</v>
      </c>
      <c r="W37" t="s">
        <v>360</v>
      </c>
      <c r="X37" t="s">
        <v>48</v>
      </c>
      <c r="Y37" t="s">
        <v>361</v>
      </c>
    </row>
    <row r="38" spans="1:25" x14ac:dyDescent="0.2">
      <c r="A38" t="s">
        <v>362</v>
      </c>
      <c r="B38" s="1">
        <f>VALUE(RIGHT(A38,LEN(A38)-3))</f>
        <v>48</v>
      </c>
      <c r="C38" t="s">
        <v>32</v>
      </c>
      <c r="D38" t="s">
        <v>4140</v>
      </c>
      <c r="E38" t="s">
        <v>365</v>
      </c>
      <c r="F38">
        <v>1</v>
      </c>
      <c r="G38" t="s">
        <v>57</v>
      </c>
      <c r="H38">
        <v>2</v>
      </c>
      <c r="I38" t="s">
        <v>366</v>
      </c>
      <c r="J38" t="s">
        <v>363</v>
      </c>
      <c r="K38">
        <v>58</v>
      </c>
      <c r="L38" t="s">
        <v>27</v>
      </c>
      <c r="M38" t="s">
        <v>65</v>
      </c>
      <c r="N38" t="s">
        <v>43</v>
      </c>
      <c r="O38" t="s">
        <v>30</v>
      </c>
      <c r="P38" t="s">
        <v>31</v>
      </c>
      <c r="V38" t="s">
        <v>367</v>
      </c>
      <c r="W38" t="s">
        <v>368</v>
      </c>
      <c r="X38" t="s">
        <v>369</v>
      </c>
      <c r="Y38" t="s">
        <v>370</v>
      </c>
    </row>
    <row r="39" spans="1:25" x14ac:dyDescent="0.2">
      <c r="A39" t="s">
        <v>371</v>
      </c>
      <c r="B39" s="1">
        <f>VALUE(RIGHT(A39,LEN(A39)-3))</f>
        <v>49</v>
      </c>
      <c r="C39" t="s">
        <v>32</v>
      </c>
      <c r="D39" t="s">
        <v>4140</v>
      </c>
      <c r="E39" t="s">
        <v>375</v>
      </c>
      <c r="F39">
        <v>1</v>
      </c>
      <c r="G39" t="s">
        <v>35</v>
      </c>
      <c r="H39">
        <v>1</v>
      </c>
      <c r="I39" t="s">
        <v>58</v>
      </c>
      <c r="J39" t="s">
        <v>372</v>
      </c>
      <c r="K39">
        <v>29</v>
      </c>
      <c r="L39" t="s">
        <v>27</v>
      </c>
      <c r="M39" t="s">
        <v>373</v>
      </c>
      <c r="N39" t="s">
        <v>83</v>
      </c>
      <c r="O39" t="s">
        <v>30</v>
      </c>
      <c r="P39" t="s">
        <v>31</v>
      </c>
      <c r="Q39">
        <v>4</v>
      </c>
      <c r="R39">
        <v>137</v>
      </c>
      <c r="V39" t="s">
        <v>86</v>
      </c>
      <c r="W39" t="s">
        <v>87</v>
      </c>
      <c r="X39" t="s">
        <v>376</v>
      </c>
      <c r="Y39" t="s">
        <v>377</v>
      </c>
    </row>
    <row r="40" spans="1:25" x14ac:dyDescent="0.2">
      <c r="A40" t="s">
        <v>378</v>
      </c>
      <c r="B40" s="1">
        <f>VALUE(RIGHT(A40,LEN(A40)-3))</f>
        <v>50</v>
      </c>
      <c r="C40" t="s">
        <v>32</v>
      </c>
      <c r="D40" t="s">
        <v>4140</v>
      </c>
      <c r="E40" t="s">
        <v>381</v>
      </c>
      <c r="F40">
        <v>1</v>
      </c>
      <c r="G40" t="s">
        <v>35</v>
      </c>
      <c r="H40">
        <v>1</v>
      </c>
      <c r="I40" t="s">
        <v>123</v>
      </c>
      <c r="J40" t="s">
        <v>379</v>
      </c>
      <c r="K40">
        <v>29</v>
      </c>
      <c r="L40" t="s">
        <v>120</v>
      </c>
      <c r="M40" t="s">
        <v>113</v>
      </c>
      <c r="N40" t="s">
        <v>43</v>
      </c>
      <c r="O40" t="s">
        <v>30</v>
      </c>
      <c r="P40" t="s">
        <v>31</v>
      </c>
      <c r="V40" t="s">
        <v>138</v>
      </c>
      <c r="W40" t="s">
        <v>159</v>
      </c>
      <c r="X40" t="s">
        <v>48</v>
      </c>
      <c r="Y40" t="s">
        <v>382</v>
      </c>
    </row>
    <row r="41" spans="1:25" x14ac:dyDescent="0.2">
      <c r="A41" t="s">
        <v>383</v>
      </c>
      <c r="B41" s="1">
        <f>VALUE(RIGHT(A41,LEN(A41)-3))</f>
        <v>51</v>
      </c>
      <c r="C41" t="s">
        <v>32</v>
      </c>
      <c r="D41" t="s">
        <v>4140</v>
      </c>
      <c r="E41" t="s">
        <v>387</v>
      </c>
      <c r="F41">
        <v>1</v>
      </c>
      <c r="G41" t="s">
        <v>57</v>
      </c>
      <c r="H41">
        <v>2</v>
      </c>
      <c r="I41" t="s">
        <v>291</v>
      </c>
      <c r="J41" t="s">
        <v>384</v>
      </c>
      <c r="L41" t="s">
        <v>150</v>
      </c>
      <c r="M41" t="s">
        <v>385</v>
      </c>
      <c r="N41" t="s">
        <v>43</v>
      </c>
      <c r="O41" t="s">
        <v>30</v>
      </c>
      <c r="P41" t="s">
        <v>31</v>
      </c>
      <c r="V41" t="s">
        <v>173</v>
      </c>
      <c r="W41" t="s">
        <v>388</v>
      </c>
      <c r="X41" t="s">
        <v>48</v>
      </c>
      <c r="Y41" t="s">
        <v>389</v>
      </c>
    </row>
    <row r="42" spans="1:25" x14ac:dyDescent="0.2">
      <c r="A42" t="s">
        <v>390</v>
      </c>
      <c r="B42" s="1">
        <f>VALUE(RIGHT(A42,LEN(A42)-3))</f>
        <v>52</v>
      </c>
      <c r="C42" t="s">
        <v>32</v>
      </c>
      <c r="D42" t="s">
        <v>4140</v>
      </c>
      <c r="E42" t="s">
        <v>393</v>
      </c>
      <c r="F42">
        <v>1</v>
      </c>
      <c r="G42" t="s">
        <v>57</v>
      </c>
      <c r="H42">
        <v>1</v>
      </c>
      <c r="I42" t="s">
        <v>123</v>
      </c>
      <c r="J42" t="s">
        <v>391</v>
      </c>
      <c r="K42">
        <v>52</v>
      </c>
      <c r="L42" t="s">
        <v>52</v>
      </c>
      <c r="M42" t="s">
        <v>288</v>
      </c>
      <c r="N42" t="s">
        <v>43</v>
      </c>
      <c r="O42" t="s">
        <v>30</v>
      </c>
      <c r="P42" t="s">
        <v>31</v>
      </c>
      <c r="R42">
        <v>8</v>
      </c>
      <c r="V42" t="s">
        <v>36</v>
      </c>
      <c r="W42" t="s">
        <v>308</v>
      </c>
      <c r="X42" t="s">
        <v>48</v>
      </c>
      <c r="Y42" t="s">
        <v>394</v>
      </c>
    </row>
    <row r="43" spans="1:25" x14ac:dyDescent="0.2">
      <c r="A43" t="s">
        <v>395</v>
      </c>
      <c r="B43" s="1">
        <f>VALUE(RIGHT(A43,LEN(A43)-3))</f>
        <v>53</v>
      </c>
      <c r="C43" t="s">
        <v>32</v>
      </c>
      <c r="D43" t="s">
        <v>4140</v>
      </c>
      <c r="E43" t="s">
        <v>398</v>
      </c>
      <c r="F43">
        <v>1</v>
      </c>
      <c r="G43" t="s">
        <v>57</v>
      </c>
      <c r="H43">
        <v>2</v>
      </c>
      <c r="I43" t="s">
        <v>284</v>
      </c>
      <c r="J43" t="s">
        <v>396</v>
      </c>
      <c r="L43" t="s">
        <v>150</v>
      </c>
      <c r="M43" t="s">
        <v>288</v>
      </c>
      <c r="N43" t="s">
        <v>43</v>
      </c>
      <c r="O43" t="s">
        <v>30</v>
      </c>
      <c r="P43" t="s">
        <v>31</v>
      </c>
      <c r="V43" t="s">
        <v>242</v>
      </c>
      <c r="W43" t="s">
        <v>104</v>
      </c>
      <c r="X43" t="s">
        <v>48</v>
      </c>
      <c r="Y43" t="s">
        <v>399</v>
      </c>
    </row>
    <row r="44" spans="1:25" x14ac:dyDescent="0.2">
      <c r="A44" t="s">
        <v>400</v>
      </c>
      <c r="B44" s="1">
        <f>VALUE(RIGHT(A44,LEN(A44)-3))</f>
        <v>54</v>
      </c>
      <c r="C44" t="s">
        <v>32</v>
      </c>
      <c r="D44" t="s">
        <v>4140</v>
      </c>
      <c r="E44" t="s">
        <v>404</v>
      </c>
      <c r="F44">
        <v>2</v>
      </c>
      <c r="G44" t="s">
        <v>35</v>
      </c>
      <c r="H44">
        <v>0</v>
      </c>
      <c r="J44" t="s">
        <v>401</v>
      </c>
      <c r="L44" t="s">
        <v>402</v>
      </c>
      <c r="M44" t="s">
        <v>385</v>
      </c>
      <c r="N44" t="s">
        <v>43</v>
      </c>
      <c r="O44" t="s">
        <v>30</v>
      </c>
      <c r="P44" t="s">
        <v>31</v>
      </c>
      <c r="V44" t="s">
        <v>36</v>
      </c>
      <c r="W44" t="s">
        <v>405</v>
      </c>
      <c r="X44" t="s">
        <v>406</v>
      </c>
      <c r="Y44" t="s">
        <v>407</v>
      </c>
    </row>
    <row r="45" spans="1:25" x14ac:dyDescent="0.2">
      <c r="A45" t="s">
        <v>408</v>
      </c>
      <c r="B45" s="1">
        <f>VALUE(RIGHT(A45,LEN(A45)-3))</f>
        <v>55</v>
      </c>
      <c r="C45" t="s">
        <v>32</v>
      </c>
      <c r="D45" t="s">
        <v>4140</v>
      </c>
      <c r="E45" t="s">
        <v>412</v>
      </c>
      <c r="F45">
        <v>2</v>
      </c>
      <c r="G45" t="s">
        <v>94</v>
      </c>
      <c r="H45">
        <v>2</v>
      </c>
      <c r="I45" t="s">
        <v>123</v>
      </c>
      <c r="J45" t="s">
        <v>409</v>
      </c>
      <c r="L45" t="s">
        <v>178</v>
      </c>
      <c r="M45" t="s">
        <v>410</v>
      </c>
      <c r="N45" t="s">
        <v>43</v>
      </c>
      <c r="O45" t="s">
        <v>30</v>
      </c>
      <c r="P45" t="s">
        <v>31</v>
      </c>
      <c r="V45" t="s">
        <v>103</v>
      </c>
      <c r="W45" t="s">
        <v>413</v>
      </c>
      <c r="X45" t="s">
        <v>61</v>
      </c>
      <c r="Y45" t="s">
        <v>414</v>
      </c>
    </row>
    <row r="46" spans="1:25" x14ac:dyDescent="0.2">
      <c r="A46" t="s">
        <v>415</v>
      </c>
      <c r="B46" s="1">
        <f>VALUE(RIGHT(A46,LEN(A46)-3))</f>
        <v>56</v>
      </c>
      <c r="C46" t="s">
        <v>32</v>
      </c>
      <c r="D46" t="s">
        <v>4140</v>
      </c>
      <c r="E46" t="s">
        <v>418</v>
      </c>
      <c r="F46">
        <v>1</v>
      </c>
      <c r="G46" t="s">
        <v>57</v>
      </c>
      <c r="H46">
        <v>1</v>
      </c>
      <c r="I46" t="s">
        <v>58</v>
      </c>
      <c r="J46" t="s">
        <v>416</v>
      </c>
      <c r="L46" t="s">
        <v>217</v>
      </c>
      <c r="M46" t="s">
        <v>264</v>
      </c>
      <c r="N46" t="s">
        <v>43</v>
      </c>
      <c r="O46" t="s">
        <v>30</v>
      </c>
      <c r="P46" t="s">
        <v>31</v>
      </c>
      <c r="V46" t="s">
        <v>59</v>
      </c>
      <c r="W46" t="s">
        <v>419</v>
      </c>
      <c r="X46" t="s">
        <v>182</v>
      </c>
      <c r="Y46" t="s">
        <v>420</v>
      </c>
    </row>
    <row r="47" spans="1:25" x14ac:dyDescent="0.2">
      <c r="A47" t="s">
        <v>421</v>
      </c>
      <c r="B47" s="1">
        <f>VALUE(RIGHT(A47,LEN(A47)-3))</f>
        <v>57</v>
      </c>
      <c r="C47" t="s">
        <v>32</v>
      </c>
      <c r="D47" t="s">
        <v>4140</v>
      </c>
      <c r="E47" t="s">
        <v>425</v>
      </c>
      <c r="F47">
        <v>2</v>
      </c>
      <c r="G47" t="s">
        <v>94</v>
      </c>
      <c r="H47">
        <v>2</v>
      </c>
      <c r="I47" t="s">
        <v>327</v>
      </c>
      <c r="J47" t="s">
        <v>422</v>
      </c>
      <c r="K47">
        <v>39</v>
      </c>
      <c r="L47" t="s">
        <v>423</v>
      </c>
      <c r="M47" t="s">
        <v>259</v>
      </c>
      <c r="N47" t="s">
        <v>43</v>
      </c>
      <c r="O47" t="s">
        <v>30</v>
      </c>
      <c r="P47" t="s">
        <v>31</v>
      </c>
      <c r="R47">
        <v>240</v>
      </c>
      <c r="T47">
        <v>100</v>
      </c>
      <c r="V47" t="s">
        <v>173</v>
      </c>
      <c r="W47" t="s">
        <v>426</v>
      </c>
      <c r="X47" t="s">
        <v>48</v>
      </c>
      <c r="Y47" t="s">
        <v>427</v>
      </c>
    </row>
    <row r="48" spans="1:25" x14ac:dyDescent="0.2">
      <c r="A48" t="s">
        <v>428</v>
      </c>
      <c r="B48" s="1">
        <f>VALUE(RIGHT(A48,LEN(A48)-3))</f>
        <v>58</v>
      </c>
      <c r="C48" t="s">
        <v>32</v>
      </c>
      <c r="D48" t="s">
        <v>4140</v>
      </c>
      <c r="E48" t="s">
        <v>431</v>
      </c>
      <c r="F48">
        <v>1</v>
      </c>
      <c r="G48" t="s">
        <v>57</v>
      </c>
      <c r="H48">
        <v>1</v>
      </c>
      <c r="I48" t="s">
        <v>123</v>
      </c>
      <c r="J48" t="s">
        <v>429</v>
      </c>
      <c r="K48">
        <v>28</v>
      </c>
      <c r="L48" t="s">
        <v>27</v>
      </c>
      <c r="M48" t="s">
        <v>385</v>
      </c>
      <c r="N48" t="s">
        <v>43</v>
      </c>
      <c r="O48" t="s">
        <v>30</v>
      </c>
      <c r="P48" t="s">
        <v>31</v>
      </c>
      <c r="R48">
        <v>3</v>
      </c>
      <c r="V48" t="s">
        <v>36</v>
      </c>
      <c r="W48" t="s">
        <v>432</v>
      </c>
      <c r="X48" t="s">
        <v>48</v>
      </c>
      <c r="Y48" t="s">
        <v>433</v>
      </c>
    </row>
    <row r="49" spans="1:25" x14ac:dyDescent="0.2">
      <c r="A49" t="s">
        <v>438</v>
      </c>
      <c r="B49" s="1">
        <f>VALUE(RIGHT(A49,LEN(A49)-3))</f>
        <v>60</v>
      </c>
      <c r="C49" t="s">
        <v>32</v>
      </c>
      <c r="D49" t="s">
        <v>4140</v>
      </c>
      <c r="E49" t="s">
        <v>443</v>
      </c>
      <c r="F49">
        <v>1</v>
      </c>
      <c r="G49" t="s">
        <v>57</v>
      </c>
      <c r="H49">
        <v>2</v>
      </c>
      <c r="I49" t="s">
        <v>444</v>
      </c>
      <c r="J49" t="s">
        <v>439</v>
      </c>
      <c r="L49" t="s">
        <v>440</v>
      </c>
      <c r="M49" t="s">
        <v>441</v>
      </c>
      <c r="N49" t="s">
        <v>43</v>
      </c>
      <c r="O49" t="s">
        <v>30</v>
      </c>
      <c r="P49" t="s">
        <v>31</v>
      </c>
      <c r="R49">
        <v>16</v>
      </c>
      <c r="V49" t="s">
        <v>36</v>
      </c>
      <c r="W49" t="s">
        <v>104</v>
      </c>
      <c r="X49" t="s">
        <v>445</v>
      </c>
      <c r="Y49" t="s">
        <v>446</v>
      </c>
    </row>
    <row r="50" spans="1:25" x14ac:dyDescent="0.2">
      <c r="A50" t="s">
        <v>447</v>
      </c>
      <c r="B50" s="1">
        <f>VALUE(RIGHT(A50,LEN(A50)-3))</f>
        <v>61</v>
      </c>
      <c r="C50" t="s">
        <v>32</v>
      </c>
      <c r="D50" t="s">
        <v>4140</v>
      </c>
      <c r="E50" t="s">
        <v>450</v>
      </c>
      <c r="F50">
        <v>1</v>
      </c>
      <c r="G50" t="s">
        <v>35</v>
      </c>
      <c r="H50">
        <v>1</v>
      </c>
      <c r="I50" t="s">
        <v>123</v>
      </c>
      <c r="J50" t="s">
        <v>448</v>
      </c>
      <c r="L50" t="s">
        <v>357</v>
      </c>
      <c r="M50" t="s">
        <v>449</v>
      </c>
      <c r="N50" t="s">
        <v>54</v>
      </c>
      <c r="O50" t="s">
        <v>30</v>
      </c>
      <c r="P50" t="s">
        <v>31</v>
      </c>
      <c r="R50">
        <v>1</v>
      </c>
      <c r="V50" t="s">
        <v>138</v>
      </c>
      <c r="W50" t="s">
        <v>451</v>
      </c>
      <c r="X50" t="s">
        <v>48</v>
      </c>
      <c r="Y50" t="s">
        <v>452</v>
      </c>
    </row>
    <row r="51" spans="1:25" x14ac:dyDescent="0.2">
      <c r="A51" t="s">
        <v>453</v>
      </c>
      <c r="B51" s="1">
        <f>VALUE(RIGHT(A51,LEN(A51)-3))</f>
        <v>62</v>
      </c>
      <c r="C51" t="s">
        <v>32</v>
      </c>
      <c r="D51" t="s">
        <v>4140</v>
      </c>
      <c r="E51" t="s">
        <v>457</v>
      </c>
      <c r="F51">
        <v>1</v>
      </c>
      <c r="G51" t="s">
        <v>57</v>
      </c>
      <c r="H51">
        <v>1</v>
      </c>
      <c r="I51" t="s">
        <v>123</v>
      </c>
      <c r="J51" t="s">
        <v>454</v>
      </c>
      <c r="L51" t="s">
        <v>357</v>
      </c>
      <c r="M51" t="s">
        <v>455</v>
      </c>
      <c r="N51" t="s">
        <v>43</v>
      </c>
      <c r="O51" t="s">
        <v>30</v>
      </c>
      <c r="P51" t="s">
        <v>31</v>
      </c>
      <c r="R51">
        <v>2</v>
      </c>
      <c r="T51">
        <v>200</v>
      </c>
      <c r="V51" t="s">
        <v>103</v>
      </c>
      <c r="W51" t="s">
        <v>104</v>
      </c>
      <c r="X51" t="s">
        <v>48</v>
      </c>
      <c r="Y51" t="s">
        <v>458</v>
      </c>
    </row>
    <row r="52" spans="1:25" x14ac:dyDescent="0.2">
      <c r="A52" t="s">
        <v>459</v>
      </c>
      <c r="B52" s="1">
        <f>VALUE(RIGHT(A52,LEN(A52)-3))</f>
        <v>63</v>
      </c>
      <c r="C52" t="s">
        <v>32</v>
      </c>
      <c r="D52" t="s">
        <v>4140</v>
      </c>
      <c r="E52" t="s">
        <v>463</v>
      </c>
      <c r="F52">
        <v>1</v>
      </c>
      <c r="G52" t="s">
        <v>57</v>
      </c>
      <c r="H52">
        <v>2</v>
      </c>
      <c r="I52" t="s">
        <v>464</v>
      </c>
      <c r="J52" t="s">
        <v>460</v>
      </c>
      <c r="K52">
        <v>27</v>
      </c>
      <c r="L52" t="s">
        <v>27</v>
      </c>
      <c r="M52" t="s">
        <v>461</v>
      </c>
      <c r="N52" t="s">
        <v>29</v>
      </c>
      <c r="O52" t="s">
        <v>30</v>
      </c>
      <c r="P52" t="s">
        <v>31</v>
      </c>
      <c r="V52" t="s">
        <v>173</v>
      </c>
      <c r="W52" t="s">
        <v>388</v>
      </c>
      <c r="X52" t="s">
        <v>341</v>
      </c>
      <c r="Y52" t="s">
        <v>465</v>
      </c>
    </row>
    <row r="53" spans="1:25" x14ac:dyDescent="0.2">
      <c r="A53" t="s">
        <v>466</v>
      </c>
      <c r="B53" s="1">
        <f>VALUE(RIGHT(A53,LEN(A53)-3))</f>
        <v>64</v>
      </c>
      <c r="C53" t="s">
        <v>32</v>
      </c>
      <c r="D53" t="s">
        <v>4140</v>
      </c>
      <c r="E53" t="s">
        <v>469</v>
      </c>
      <c r="F53">
        <v>1</v>
      </c>
      <c r="G53" t="s">
        <v>57</v>
      </c>
      <c r="H53">
        <v>2</v>
      </c>
      <c r="I53" t="s">
        <v>267</v>
      </c>
      <c r="J53" t="s">
        <v>467</v>
      </c>
      <c r="K53">
        <v>24</v>
      </c>
      <c r="L53" t="s">
        <v>27</v>
      </c>
      <c r="M53" t="s">
        <v>373</v>
      </c>
      <c r="N53" t="s">
        <v>83</v>
      </c>
      <c r="O53" t="s">
        <v>30</v>
      </c>
      <c r="P53" t="s">
        <v>31</v>
      </c>
      <c r="R53">
        <v>12</v>
      </c>
      <c r="V53" t="s">
        <v>200</v>
      </c>
      <c r="W53" t="s">
        <v>201</v>
      </c>
      <c r="X53" t="s">
        <v>61</v>
      </c>
      <c r="Y53" t="s">
        <v>470</v>
      </c>
    </row>
    <row r="54" spans="1:25" x14ac:dyDescent="0.2">
      <c r="A54" t="s">
        <v>471</v>
      </c>
      <c r="B54" s="1">
        <f>VALUE(RIGHT(A54,LEN(A54)-3))</f>
        <v>65</v>
      </c>
      <c r="C54" t="s">
        <v>32</v>
      </c>
      <c r="D54" t="s">
        <v>4140</v>
      </c>
      <c r="E54" t="s">
        <v>474</v>
      </c>
      <c r="F54">
        <v>1</v>
      </c>
      <c r="G54" t="s">
        <v>57</v>
      </c>
      <c r="H54">
        <v>1</v>
      </c>
      <c r="I54" t="s">
        <v>123</v>
      </c>
      <c r="J54" t="s">
        <v>472</v>
      </c>
      <c r="K54">
        <v>37</v>
      </c>
      <c r="L54" t="s">
        <v>27</v>
      </c>
      <c r="M54" t="s">
        <v>288</v>
      </c>
      <c r="N54" t="s">
        <v>43</v>
      </c>
      <c r="O54" t="s">
        <v>30</v>
      </c>
      <c r="P54" t="s">
        <v>31</v>
      </c>
      <c r="V54" t="s">
        <v>242</v>
      </c>
      <c r="W54" t="s">
        <v>475</v>
      </c>
      <c r="X54" t="s">
        <v>61</v>
      </c>
      <c r="Y54" t="s">
        <v>476</v>
      </c>
    </row>
    <row r="55" spans="1:25" x14ac:dyDescent="0.2">
      <c r="A55" t="s">
        <v>477</v>
      </c>
      <c r="B55" s="1">
        <f>VALUE(RIGHT(A55,LEN(A55)-3))</f>
        <v>66</v>
      </c>
      <c r="C55" t="s">
        <v>32</v>
      </c>
      <c r="D55" t="s">
        <v>4140</v>
      </c>
      <c r="E55" t="s">
        <v>480</v>
      </c>
      <c r="F55">
        <v>2</v>
      </c>
      <c r="G55" t="s">
        <v>57</v>
      </c>
      <c r="H55">
        <v>1</v>
      </c>
      <c r="I55" t="s">
        <v>123</v>
      </c>
      <c r="J55" t="s">
        <v>478</v>
      </c>
      <c r="L55" t="s">
        <v>27</v>
      </c>
      <c r="N55" t="s">
        <v>43</v>
      </c>
      <c r="O55" t="s">
        <v>30</v>
      </c>
      <c r="P55" t="s">
        <v>31</v>
      </c>
      <c r="V55" t="s">
        <v>36</v>
      </c>
      <c r="W55" t="s">
        <v>481</v>
      </c>
      <c r="X55" t="s">
        <v>194</v>
      </c>
      <c r="Y55" t="s">
        <v>482</v>
      </c>
    </row>
    <row r="56" spans="1:25" x14ac:dyDescent="0.2">
      <c r="A56" t="s">
        <v>483</v>
      </c>
      <c r="B56" s="1">
        <f>VALUE(RIGHT(A56,LEN(A56)-3))</f>
        <v>67</v>
      </c>
      <c r="C56" t="s">
        <v>32</v>
      </c>
      <c r="D56" t="s">
        <v>4140</v>
      </c>
      <c r="E56" t="s">
        <v>486</v>
      </c>
      <c r="F56">
        <v>1</v>
      </c>
      <c r="G56" t="s">
        <v>57</v>
      </c>
      <c r="H56">
        <v>3</v>
      </c>
      <c r="I56" t="s">
        <v>366</v>
      </c>
      <c r="J56" t="s">
        <v>484</v>
      </c>
      <c r="L56" t="s">
        <v>217</v>
      </c>
      <c r="M56" t="s">
        <v>259</v>
      </c>
      <c r="N56" t="s">
        <v>43</v>
      </c>
      <c r="O56" t="s">
        <v>30</v>
      </c>
      <c r="P56" t="s">
        <v>31</v>
      </c>
      <c r="V56" t="s">
        <v>173</v>
      </c>
      <c r="W56" t="s">
        <v>388</v>
      </c>
      <c r="X56" t="s">
        <v>182</v>
      </c>
      <c r="Y56" t="s">
        <v>487</v>
      </c>
    </row>
    <row r="57" spans="1:25" x14ac:dyDescent="0.2">
      <c r="A57" t="s">
        <v>494</v>
      </c>
      <c r="B57" s="1">
        <f>VALUE(RIGHT(A57,LEN(A57)-3))</f>
        <v>69</v>
      </c>
      <c r="C57" t="s">
        <v>32</v>
      </c>
      <c r="D57" t="s">
        <v>4140</v>
      </c>
      <c r="E57" t="s">
        <v>498</v>
      </c>
      <c r="F57">
        <v>1</v>
      </c>
      <c r="G57" t="s">
        <v>57</v>
      </c>
      <c r="H57">
        <v>1</v>
      </c>
      <c r="I57" t="s">
        <v>123</v>
      </c>
      <c r="J57" t="s">
        <v>495</v>
      </c>
      <c r="L57" t="s">
        <v>338</v>
      </c>
      <c r="M57" t="s">
        <v>496</v>
      </c>
      <c r="N57" t="s">
        <v>43</v>
      </c>
      <c r="O57" t="s">
        <v>30</v>
      </c>
      <c r="P57" t="s">
        <v>31</v>
      </c>
      <c r="R57">
        <v>16</v>
      </c>
      <c r="T57">
        <v>2000</v>
      </c>
      <c r="V57" t="s">
        <v>103</v>
      </c>
      <c r="W57" t="s">
        <v>104</v>
      </c>
      <c r="X57" t="s">
        <v>48</v>
      </c>
      <c r="Y57" t="s">
        <v>499</v>
      </c>
    </row>
    <row r="58" spans="1:25" x14ac:dyDescent="0.2">
      <c r="A58" t="s">
        <v>528</v>
      </c>
      <c r="B58" s="1">
        <f>VALUE(RIGHT(A58,LEN(A58)-3))</f>
        <v>74</v>
      </c>
      <c r="C58" t="s">
        <v>32</v>
      </c>
      <c r="D58" t="s">
        <v>4140</v>
      </c>
      <c r="E58" t="s">
        <v>532</v>
      </c>
      <c r="F58">
        <v>1</v>
      </c>
      <c r="G58" t="s">
        <v>57</v>
      </c>
      <c r="H58">
        <v>2</v>
      </c>
      <c r="I58" t="s">
        <v>366</v>
      </c>
      <c r="J58" t="s">
        <v>529</v>
      </c>
      <c r="L58" t="s">
        <v>27</v>
      </c>
      <c r="M58" t="s">
        <v>530</v>
      </c>
      <c r="N58" t="s">
        <v>43</v>
      </c>
      <c r="O58" t="s">
        <v>30</v>
      </c>
      <c r="P58" t="s">
        <v>31</v>
      </c>
      <c r="V58" t="s">
        <v>59</v>
      </c>
      <c r="W58" t="s">
        <v>139</v>
      </c>
      <c r="X58" t="s">
        <v>61</v>
      </c>
      <c r="Y58" t="s">
        <v>533</v>
      </c>
    </row>
    <row r="59" spans="1:25" x14ac:dyDescent="0.2">
      <c r="A59" t="s">
        <v>534</v>
      </c>
      <c r="B59" s="1">
        <f>VALUE(RIGHT(A59,LEN(A59)-3))</f>
        <v>75</v>
      </c>
      <c r="C59" t="s">
        <v>32</v>
      </c>
      <c r="D59" t="s">
        <v>4140</v>
      </c>
      <c r="E59" t="s">
        <v>537</v>
      </c>
      <c r="F59">
        <v>1</v>
      </c>
      <c r="G59" t="s">
        <v>35</v>
      </c>
      <c r="H59">
        <v>1</v>
      </c>
      <c r="I59" t="s">
        <v>68</v>
      </c>
      <c r="J59" t="s">
        <v>535</v>
      </c>
      <c r="L59" t="s">
        <v>357</v>
      </c>
      <c r="M59" t="s">
        <v>385</v>
      </c>
      <c r="N59" t="s">
        <v>43</v>
      </c>
      <c r="O59" t="s">
        <v>30</v>
      </c>
      <c r="P59" t="s">
        <v>31</v>
      </c>
      <c r="V59" t="s">
        <v>36</v>
      </c>
      <c r="W59" t="s">
        <v>538</v>
      </c>
      <c r="X59" t="s">
        <v>38</v>
      </c>
      <c r="Y59" t="s">
        <v>539</v>
      </c>
    </row>
    <row r="60" spans="1:25" x14ac:dyDescent="0.2">
      <c r="A60" t="s">
        <v>557</v>
      </c>
      <c r="B60" s="1">
        <f>VALUE(RIGHT(A60,LEN(A60)-3))</f>
        <v>79</v>
      </c>
      <c r="C60" t="s">
        <v>32</v>
      </c>
      <c r="D60" t="s">
        <v>4140</v>
      </c>
      <c r="E60" t="s">
        <v>560</v>
      </c>
      <c r="F60">
        <v>1</v>
      </c>
      <c r="G60" t="s">
        <v>130</v>
      </c>
      <c r="H60">
        <v>0</v>
      </c>
      <c r="J60" t="s">
        <v>558</v>
      </c>
      <c r="K60">
        <v>30</v>
      </c>
      <c r="L60" t="s">
        <v>27</v>
      </c>
      <c r="M60" t="s">
        <v>373</v>
      </c>
      <c r="N60" t="s">
        <v>83</v>
      </c>
      <c r="O60" t="s">
        <v>30</v>
      </c>
      <c r="P60" t="s">
        <v>31</v>
      </c>
      <c r="R60">
        <v>100</v>
      </c>
      <c r="T60">
        <v>2000</v>
      </c>
      <c r="V60" t="s">
        <v>173</v>
      </c>
      <c r="W60" t="s">
        <v>561</v>
      </c>
      <c r="X60" t="s">
        <v>48</v>
      </c>
      <c r="Y60" t="s">
        <v>562</v>
      </c>
    </row>
    <row r="61" spans="1:25" x14ac:dyDescent="0.2">
      <c r="A61" t="s">
        <v>563</v>
      </c>
      <c r="B61" s="1">
        <f>VALUE(RIGHT(A61,LEN(A61)-3))</f>
        <v>80</v>
      </c>
      <c r="C61" t="s">
        <v>32</v>
      </c>
      <c r="D61" t="s">
        <v>4140</v>
      </c>
      <c r="E61" t="s">
        <v>567</v>
      </c>
      <c r="F61">
        <v>2</v>
      </c>
      <c r="G61" t="s">
        <v>94</v>
      </c>
      <c r="H61">
        <v>3</v>
      </c>
      <c r="I61" t="s">
        <v>568</v>
      </c>
      <c r="J61" t="s">
        <v>564</v>
      </c>
      <c r="L61" t="s">
        <v>178</v>
      </c>
      <c r="M61" t="s">
        <v>565</v>
      </c>
      <c r="N61" t="s">
        <v>83</v>
      </c>
      <c r="O61" t="s">
        <v>30</v>
      </c>
      <c r="P61" t="s">
        <v>31</v>
      </c>
      <c r="V61" t="s">
        <v>200</v>
      </c>
      <c r="W61" t="s">
        <v>201</v>
      </c>
      <c r="X61" t="s">
        <v>569</v>
      </c>
      <c r="Y61" t="s">
        <v>570</v>
      </c>
    </row>
    <row r="62" spans="1:25" x14ac:dyDescent="0.2">
      <c r="A62" t="s">
        <v>571</v>
      </c>
      <c r="B62" s="1">
        <f>VALUE(RIGHT(A62,LEN(A62)-3))</f>
        <v>81</v>
      </c>
      <c r="C62" t="s">
        <v>32</v>
      </c>
      <c r="D62" t="s">
        <v>4140</v>
      </c>
      <c r="E62" t="s">
        <v>575</v>
      </c>
      <c r="F62">
        <v>1</v>
      </c>
      <c r="G62" t="s">
        <v>130</v>
      </c>
      <c r="H62">
        <v>0</v>
      </c>
      <c r="J62" t="s">
        <v>572</v>
      </c>
      <c r="L62" t="s">
        <v>357</v>
      </c>
      <c r="M62" t="s">
        <v>573</v>
      </c>
      <c r="N62" t="s">
        <v>29</v>
      </c>
      <c r="O62" t="s">
        <v>30</v>
      </c>
      <c r="P62" t="s">
        <v>31</v>
      </c>
      <c r="R62">
        <v>3</v>
      </c>
      <c r="T62">
        <v>129</v>
      </c>
      <c r="V62" t="s">
        <v>173</v>
      </c>
      <c r="W62" t="s">
        <v>174</v>
      </c>
      <c r="X62" t="s">
        <v>61</v>
      </c>
      <c r="Y62" t="s">
        <v>576</v>
      </c>
    </row>
    <row r="63" spans="1:25" x14ac:dyDescent="0.2">
      <c r="A63" t="s">
        <v>577</v>
      </c>
      <c r="B63" s="1">
        <f>VALUE(RIGHT(A63,LEN(A63)-3))</f>
        <v>82</v>
      </c>
      <c r="C63" t="s">
        <v>32</v>
      </c>
      <c r="D63" t="s">
        <v>4140</v>
      </c>
      <c r="E63" t="s">
        <v>580</v>
      </c>
      <c r="F63">
        <v>1</v>
      </c>
      <c r="G63" t="s">
        <v>57</v>
      </c>
      <c r="H63">
        <v>2</v>
      </c>
      <c r="I63" t="s">
        <v>284</v>
      </c>
      <c r="J63" t="s">
        <v>578</v>
      </c>
      <c r="L63" t="s">
        <v>551</v>
      </c>
      <c r="M63" t="s">
        <v>259</v>
      </c>
      <c r="N63" t="s">
        <v>43</v>
      </c>
      <c r="O63" t="s">
        <v>30</v>
      </c>
      <c r="P63" t="s">
        <v>31</v>
      </c>
      <c r="R63">
        <v>30</v>
      </c>
      <c r="T63">
        <v>300</v>
      </c>
      <c r="V63" t="s">
        <v>36</v>
      </c>
      <c r="W63" t="s">
        <v>308</v>
      </c>
      <c r="X63" t="s">
        <v>182</v>
      </c>
      <c r="Y63" t="s">
        <v>581</v>
      </c>
    </row>
    <row r="64" spans="1:25" x14ac:dyDescent="0.2">
      <c r="A64" t="s">
        <v>608</v>
      </c>
      <c r="B64" s="1">
        <f>VALUE(RIGHT(A64,LEN(A64)-3))</f>
        <v>87</v>
      </c>
      <c r="C64" t="s">
        <v>32</v>
      </c>
      <c r="D64" t="s">
        <v>4140</v>
      </c>
      <c r="E64" t="s">
        <v>612</v>
      </c>
      <c r="F64">
        <v>1</v>
      </c>
      <c r="G64" t="s">
        <v>57</v>
      </c>
      <c r="H64">
        <v>1</v>
      </c>
      <c r="I64" t="s">
        <v>68</v>
      </c>
      <c r="J64" t="s">
        <v>609</v>
      </c>
      <c r="L64" t="s">
        <v>27</v>
      </c>
      <c r="M64" t="s">
        <v>610</v>
      </c>
      <c r="N64" t="s">
        <v>29</v>
      </c>
      <c r="O64" t="s">
        <v>30</v>
      </c>
      <c r="P64" t="s">
        <v>31</v>
      </c>
      <c r="V64" t="s">
        <v>173</v>
      </c>
      <c r="W64" t="s">
        <v>174</v>
      </c>
      <c r="X64" t="s">
        <v>613</v>
      </c>
      <c r="Y64" t="s">
        <v>614</v>
      </c>
    </row>
    <row r="65" spans="1:25" x14ac:dyDescent="0.2">
      <c r="A65" t="s">
        <v>615</v>
      </c>
      <c r="B65" s="1">
        <f>VALUE(RIGHT(A65,LEN(A65)-3))</f>
        <v>88</v>
      </c>
      <c r="C65" t="s">
        <v>32</v>
      </c>
      <c r="D65" t="s">
        <v>4140</v>
      </c>
      <c r="E65" t="s">
        <v>618</v>
      </c>
      <c r="F65">
        <v>1</v>
      </c>
      <c r="G65" t="s">
        <v>57</v>
      </c>
      <c r="H65">
        <v>1</v>
      </c>
      <c r="I65" t="s">
        <v>68</v>
      </c>
      <c r="J65" t="s">
        <v>616</v>
      </c>
      <c r="K65">
        <v>31</v>
      </c>
      <c r="L65" t="s">
        <v>338</v>
      </c>
      <c r="M65" t="s">
        <v>385</v>
      </c>
      <c r="N65" t="s">
        <v>43</v>
      </c>
      <c r="O65" t="s">
        <v>30</v>
      </c>
      <c r="P65" t="s">
        <v>31</v>
      </c>
      <c r="V65" t="s">
        <v>36</v>
      </c>
      <c r="W65" t="s">
        <v>619</v>
      </c>
      <c r="X65" t="s">
        <v>598</v>
      </c>
      <c r="Y65" t="s">
        <v>620</v>
      </c>
    </row>
    <row r="66" spans="1:25" x14ac:dyDescent="0.2">
      <c r="A66" t="s">
        <v>621</v>
      </c>
      <c r="B66" s="1">
        <f>VALUE(RIGHT(A66,LEN(A66)-3))</f>
        <v>89</v>
      </c>
      <c r="C66" t="s">
        <v>32</v>
      </c>
      <c r="D66" t="s">
        <v>4140</v>
      </c>
      <c r="E66" t="s">
        <v>625</v>
      </c>
      <c r="F66">
        <v>1</v>
      </c>
      <c r="G66" t="s">
        <v>35</v>
      </c>
      <c r="H66">
        <v>0</v>
      </c>
      <c r="J66" t="s">
        <v>622</v>
      </c>
      <c r="L66" t="s">
        <v>338</v>
      </c>
      <c r="M66" t="s">
        <v>623</v>
      </c>
      <c r="N66" t="s">
        <v>29</v>
      </c>
      <c r="O66" t="s">
        <v>30</v>
      </c>
      <c r="P66" t="s">
        <v>31</v>
      </c>
      <c r="V66" t="s">
        <v>103</v>
      </c>
      <c r="W66" t="s">
        <v>492</v>
      </c>
      <c r="X66" t="s">
        <v>48</v>
      </c>
      <c r="Y66" t="s">
        <v>626</v>
      </c>
    </row>
    <row r="67" spans="1:25" x14ac:dyDescent="0.2">
      <c r="A67" t="s">
        <v>658</v>
      </c>
      <c r="B67" s="1">
        <f>VALUE(RIGHT(A67,LEN(A67)-3))</f>
        <v>95</v>
      </c>
      <c r="C67" t="s">
        <v>32</v>
      </c>
      <c r="D67" t="s">
        <v>4140</v>
      </c>
      <c r="E67" t="s">
        <v>662</v>
      </c>
      <c r="F67">
        <v>1</v>
      </c>
      <c r="G67" t="s">
        <v>57</v>
      </c>
      <c r="H67">
        <v>1</v>
      </c>
      <c r="I67" t="s">
        <v>58</v>
      </c>
      <c r="J67" t="s">
        <v>659</v>
      </c>
      <c r="L67" t="s">
        <v>52</v>
      </c>
      <c r="M67" t="s">
        <v>660</v>
      </c>
      <c r="N67" t="s">
        <v>29</v>
      </c>
      <c r="O67" t="s">
        <v>30</v>
      </c>
      <c r="P67" t="s">
        <v>31</v>
      </c>
      <c r="V67" t="s">
        <v>59</v>
      </c>
      <c r="W67" t="s">
        <v>201</v>
      </c>
      <c r="X67" t="s">
        <v>61</v>
      </c>
      <c r="Y67" t="s">
        <v>663</v>
      </c>
    </row>
    <row r="68" spans="1:25" x14ac:dyDescent="0.2">
      <c r="A68" t="s">
        <v>668</v>
      </c>
      <c r="B68" s="1">
        <f>VALUE(RIGHT(A68,LEN(A68)-3))</f>
        <v>97</v>
      </c>
      <c r="C68" t="s">
        <v>32</v>
      </c>
      <c r="D68" t="s">
        <v>4140</v>
      </c>
      <c r="E68" t="s">
        <v>671</v>
      </c>
      <c r="F68">
        <v>1</v>
      </c>
      <c r="G68" t="s">
        <v>57</v>
      </c>
      <c r="H68">
        <v>1</v>
      </c>
      <c r="I68" t="s">
        <v>123</v>
      </c>
      <c r="J68" t="s">
        <v>669</v>
      </c>
      <c r="L68" t="s">
        <v>178</v>
      </c>
      <c r="N68" t="s">
        <v>43</v>
      </c>
      <c r="O68" t="s">
        <v>30</v>
      </c>
      <c r="P68" t="s">
        <v>31</v>
      </c>
      <c r="R68">
        <v>2</v>
      </c>
      <c r="V68" t="s">
        <v>36</v>
      </c>
      <c r="W68" t="s">
        <v>308</v>
      </c>
      <c r="X68" t="s">
        <v>61</v>
      </c>
      <c r="Y68" t="s">
        <v>672</v>
      </c>
    </row>
    <row r="69" spans="1:25" x14ac:dyDescent="0.2">
      <c r="A69" t="s">
        <v>683</v>
      </c>
      <c r="B69" s="1">
        <f>VALUE(RIGHT(A69,LEN(A69)-3))</f>
        <v>100</v>
      </c>
      <c r="C69" t="s">
        <v>32</v>
      </c>
      <c r="D69" t="s">
        <v>4140</v>
      </c>
      <c r="E69" t="s">
        <v>686</v>
      </c>
      <c r="F69">
        <v>1</v>
      </c>
      <c r="G69" t="s">
        <v>57</v>
      </c>
      <c r="H69">
        <v>0</v>
      </c>
      <c r="J69" t="s">
        <v>684</v>
      </c>
      <c r="K69">
        <v>34</v>
      </c>
      <c r="L69" t="s">
        <v>27</v>
      </c>
      <c r="M69" t="s">
        <v>373</v>
      </c>
      <c r="N69" t="s">
        <v>83</v>
      </c>
      <c r="O69" t="s">
        <v>30</v>
      </c>
      <c r="P69" t="s">
        <v>31</v>
      </c>
      <c r="V69" t="s">
        <v>173</v>
      </c>
      <c r="W69" t="s">
        <v>201</v>
      </c>
      <c r="X69" t="s">
        <v>598</v>
      </c>
      <c r="Y69" t="s">
        <v>687</v>
      </c>
    </row>
    <row r="70" spans="1:25" x14ac:dyDescent="0.2">
      <c r="A70" t="s">
        <v>688</v>
      </c>
      <c r="B70" s="1">
        <f>VALUE(RIGHT(A70,LEN(A70)-3))</f>
        <v>101</v>
      </c>
      <c r="C70" t="s">
        <v>32</v>
      </c>
      <c r="D70" t="s">
        <v>4140</v>
      </c>
      <c r="E70" t="s">
        <v>693</v>
      </c>
      <c r="F70">
        <v>1</v>
      </c>
      <c r="G70" t="s">
        <v>57</v>
      </c>
      <c r="H70">
        <v>1</v>
      </c>
      <c r="I70" t="s">
        <v>58</v>
      </c>
      <c r="J70" t="s">
        <v>689</v>
      </c>
      <c r="L70" t="s">
        <v>690</v>
      </c>
      <c r="M70" t="s">
        <v>691</v>
      </c>
      <c r="N70" t="s">
        <v>29</v>
      </c>
      <c r="O70" t="s">
        <v>30</v>
      </c>
      <c r="P70" t="s">
        <v>31</v>
      </c>
      <c r="V70" t="s">
        <v>59</v>
      </c>
      <c r="W70" t="s">
        <v>201</v>
      </c>
      <c r="X70" t="s">
        <v>61</v>
      </c>
      <c r="Y70" t="s">
        <v>694</v>
      </c>
    </row>
    <row r="71" spans="1:25" x14ac:dyDescent="0.2">
      <c r="A71" t="s">
        <v>702</v>
      </c>
      <c r="B71" s="1">
        <f>VALUE(RIGHT(A71,LEN(A71)-3))</f>
        <v>103</v>
      </c>
      <c r="C71" t="s">
        <v>32</v>
      </c>
      <c r="D71" t="s">
        <v>4140</v>
      </c>
      <c r="E71" t="s">
        <v>705</v>
      </c>
      <c r="F71">
        <v>1</v>
      </c>
      <c r="G71" t="s">
        <v>57</v>
      </c>
      <c r="H71">
        <v>2</v>
      </c>
      <c r="I71" t="s">
        <v>706</v>
      </c>
      <c r="J71" t="s">
        <v>703</v>
      </c>
      <c r="L71" t="s">
        <v>120</v>
      </c>
      <c r="M71" t="s">
        <v>704</v>
      </c>
      <c r="N71" t="s">
        <v>43</v>
      </c>
      <c r="O71" t="s">
        <v>30</v>
      </c>
      <c r="P71" t="s">
        <v>31</v>
      </c>
      <c r="V71" t="s">
        <v>173</v>
      </c>
      <c r="W71" t="s">
        <v>707</v>
      </c>
      <c r="X71" t="s">
        <v>182</v>
      </c>
      <c r="Y71" t="s">
        <v>708</v>
      </c>
    </row>
    <row r="72" spans="1:25" x14ac:dyDescent="0.2">
      <c r="A72" t="s">
        <v>709</v>
      </c>
      <c r="B72" s="1">
        <f>VALUE(RIGHT(A72,LEN(A72)-3))</f>
        <v>104</v>
      </c>
      <c r="C72" t="s">
        <v>32</v>
      </c>
      <c r="D72" t="s">
        <v>4140</v>
      </c>
      <c r="E72" t="s">
        <v>712</v>
      </c>
      <c r="F72">
        <v>1</v>
      </c>
      <c r="G72" t="s">
        <v>57</v>
      </c>
      <c r="H72">
        <v>2</v>
      </c>
      <c r="I72" t="s">
        <v>241</v>
      </c>
      <c r="J72" t="s">
        <v>710</v>
      </c>
      <c r="L72" t="s">
        <v>27</v>
      </c>
      <c r="M72" t="s">
        <v>82</v>
      </c>
      <c r="N72" t="s">
        <v>83</v>
      </c>
      <c r="O72" t="s">
        <v>30</v>
      </c>
      <c r="P72" t="s">
        <v>31</v>
      </c>
      <c r="V72" t="s">
        <v>200</v>
      </c>
      <c r="W72" t="s">
        <v>713</v>
      </c>
      <c r="X72" t="s">
        <v>598</v>
      </c>
      <c r="Y72" t="s">
        <v>714</v>
      </c>
    </row>
    <row r="73" spans="1:25" x14ac:dyDescent="0.2">
      <c r="A73" t="s">
        <v>715</v>
      </c>
      <c r="B73" s="1">
        <f>VALUE(RIGHT(A73,LEN(A73)-3))</f>
        <v>105</v>
      </c>
      <c r="C73" t="s">
        <v>32</v>
      </c>
      <c r="D73" t="s">
        <v>4140</v>
      </c>
      <c r="E73" t="s">
        <v>718</v>
      </c>
      <c r="F73">
        <v>1</v>
      </c>
      <c r="G73" t="s">
        <v>130</v>
      </c>
      <c r="H73">
        <v>0</v>
      </c>
      <c r="J73" t="s">
        <v>716</v>
      </c>
      <c r="K73">
        <v>42</v>
      </c>
      <c r="L73" t="s">
        <v>27</v>
      </c>
      <c r="M73" t="s">
        <v>373</v>
      </c>
      <c r="N73" t="s">
        <v>83</v>
      </c>
      <c r="O73" t="s">
        <v>30</v>
      </c>
      <c r="P73" t="s">
        <v>31</v>
      </c>
      <c r="V73" t="s">
        <v>59</v>
      </c>
      <c r="W73" t="s">
        <v>201</v>
      </c>
      <c r="X73" t="s">
        <v>61</v>
      </c>
      <c r="Y73" t="s">
        <v>719</v>
      </c>
    </row>
    <row r="74" spans="1:25" x14ac:dyDescent="0.2">
      <c r="A74" t="s">
        <v>720</v>
      </c>
      <c r="B74" s="1">
        <f>VALUE(RIGHT(A74,LEN(A74)-3))</f>
        <v>106</v>
      </c>
      <c r="C74" t="s">
        <v>32</v>
      </c>
      <c r="D74" t="s">
        <v>4140</v>
      </c>
      <c r="E74" t="s">
        <v>724</v>
      </c>
      <c r="F74">
        <v>1</v>
      </c>
      <c r="G74" t="s">
        <v>57</v>
      </c>
      <c r="H74">
        <v>0</v>
      </c>
      <c r="J74" t="s">
        <v>721</v>
      </c>
      <c r="L74" t="s">
        <v>722</v>
      </c>
      <c r="M74" t="s">
        <v>259</v>
      </c>
      <c r="N74" t="s">
        <v>43</v>
      </c>
      <c r="O74" t="s">
        <v>30</v>
      </c>
      <c r="P74" t="s">
        <v>31</v>
      </c>
      <c r="R74">
        <v>500</v>
      </c>
      <c r="V74" t="s">
        <v>173</v>
      </c>
      <c r="W74" t="s">
        <v>353</v>
      </c>
      <c r="X74" t="s">
        <v>48</v>
      </c>
      <c r="Y74" t="s">
        <v>725</v>
      </c>
    </row>
    <row r="75" spans="1:25" x14ac:dyDescent="0.2">
      <c r="A75" t="s">
        <v>726</v>
      </c>
      <c r="B75" s="1">
        <f>VALUE(RIGHT(A75,LEN(A75)-3))</f>
        <v>107</v>
      </c>
      <c r="C75" t="s">
        <v>32</v>
      </c>
      <c r="D75" t="s">
        <v>4140</v>
      </c>
      <c r="E75" t="s">
        <v>729</v>
      </c>
      <c r="F75">
        <v>2</v>
      </c>
      <c r="G75" t="s">
        <v>94</v>
      </c>
      <c r="H75">
        <v>3</v>
      </c>
      <c r="I75" t="s">
        <v>730</v>
      </c>
      <c r="J75" t="s">
        <v>727</v>
      </c>
      <c r="L75" t="s">
        <v>217</v>
      </c>
      <c r="M75" t="s">
        <v>385</v>
      </c>
      <c r="N75" t="s">
        <v>43</v>
      </c>
      <c r="O75" t="s">
        <v>30</v>
      </c>
      <c r="P75" t="s">
        <v>31</v>
      </c>
      <c r="V75" t="s">
        <v>36</v>
      </c>
      <c r="W75" t="s">
        <v>388</v>
      </c>
      <c r="X75" t="s">
        <v>61</v>
      </c>
      <c r="Y75" t="s">
        <v>731</v>
      </c>
    </row>
    <row r="76" spans="1:25" x14ac:dyDescent="0.2">
      <c r="A76" t="s">
        <v>738</v>
      </c>
      <c r="B76" s="1">
        <f>VALUE(RIGHT(A76,LEN(A76)-3))</f>
        <v>109</v>
      </c>
      <c r="C76" t="s">
        <v>32</v>
      </c>
      <c r="D76" t="s">
        <v>4140</v>
      </c>
      <c r="E76" t="s">
        <v>741</v>
      </c>
      <c r="F76">
        <v>1</v>
      </c>
      <c r="G76" t="s">
        <v>57</v>
      </c>
      <c r="H76">
        <v>0</v>
      </c>
      <c r="J76" t="s">
        <v>739</v>
      </c>
      <c r="L76" t="s">
        <v>357</v>
      </c>
      <c r="M76" t="s">
        <v>740</v>
      </c>
      <c r="N76" t="s">
        <v>29</v>
      </c>
      <c r="O76" t="s">
        <v>30</v>
      </c>
      <c r="P76" t="s">
        <v>31</v>
      </c>
      <c r="V76" t="s">
        <v>173</v>
      </c>
      <c r="W76" t="s">
        <v>174</v>
      </c>
      <c r="X76" t="s">
        <v>61</v>
      </c>
      <c r="Y76" t="s">
        <v>742</v>
      </c>
    </row>
    <row r="77" spans="1:25" x14ac:dyDescent="0.2">
      <c r="A77" t="s">
        <v>749</v>
      </c>
      <c r="B77" s="1">
        <f>VALUE(RIGHT(A77,LEN(A77)-3))</f>
        <v>111</v>
      </c>
      <c r="C77" t="s">
        <v>32</v>
      </c>
      <c r="D77" t="s">
        <v>4140</v>
      </c>
      <c r="E77" t="s">
        <v>752</v>
      </c>
      <c r="F77">
        <v>1</v>
      </c>
      <c r="G77" t="s">
        <v>130</v>
      </c>
      <c r="H77">
        <v>0</v>
      </c>
      <c r="J77" t="s">
        <v>750</v>
      </c>
      <c r="L77" t="s">
        <v>357</v>
      </c>
      <c r="N77" t="s">
        <v>29</v>
      </c>
      <c r="O77" t="s">
        <v>30</v>
      </c>
      <c r="P77" t="s">
        <v>31</v>
      </c>
      <c r="R77">
        <v>20</v>
      </c>
      <c r="V77" t="s">
        <v>86</v>
      </c>
      <c r="W77" t="s">
        <v>87</v>
      </c>
      <c r="X77" t="s">
        <v>753</v>
      </c>
      <c r="Y77" t="s">
        <v>754</v>
      </c>
    </row>
    <row r="78" spans="1:25" x14ac:dyDescent="0.2">
      <c r="A78" t="s">
        <v>755</v>
      </c>
      <c r="B78" s="1">
        <f>VALUE(RIGHT(A78,LEN(A78)-3))</f>
        <v>112</v>
      </c>
      <c r="C78" t="s">
        <v>32</v>
      </c>
      <c r="D78" t="s">
        <v>4140</v>
      </c>
      <c r="E78" t="s">
        <v>758</v>
      </c>
      <c r="F78">
        <v>2</v>
      </c>
      <c r="G78" t="s">
        <v>94</v>
      </c>
      <c r="H78">
        <v>1</v>
      </c>
      <c r="I78" t="s">
        <v>68</v>
      </c>
      <c r="J78" t="s">
        <v>756</v>
      </c>
      <c r="K78">
        <v>29</v>
      </c>
      <c r="L78" t="s">
        <v>357</v>
      </c>
      <c r="M78" t="s">
        <v>373</v>
      </c>
      <c r="N78" t="s">
        <v>83</v>
      </c>
      <c r="O78" t="s">
        <v>30</v>
      </c>
      <c r="P78" t="s">
        <v>31</v>
      </c>
      <c r="V78" t="s">
        <v>200</v>
      </c>
      <c r="W78" t="s">
        <v>759</v>
      </c>
      <c r="X78" t="s">
        <v>760</v>
      </c>
      <c r="Y78" t="s">
        <v>761</v>
      </c>
    </row>
    <row r="79" spans="1:25" x14ac:dyDescent="0.2">
      <c r="A79" t="s">
        <v>773</v>
      </c>
      <c r="B79" s="1">
        <f>VALUE(RIGHT(A79,LEN(A79)-3))</f>
        <v>115</v>
      </c>
      <c r="C79" t="s">
        <v>32</v>
      </c>
      <c r="D79" t="s">
        <v>4140</v>
      </c>
      <c r="E79" t="s">
        <v>777</v>
      </c>
      <c r="F79">
        <v>2</v>
      </c>
      <c r="G79" t="s">
        <v>94</v>
      </c>
      <c r="H79">
        <v>2</v>
      </c>
      <c r="I79" t="s">
        <v>284</v>
      </c>
      <c r="J79" t="s">
        <v>774</v>
      </c>
      <c r="L79" t="s">
        <v>357</v>
      </c>
      <c r="M79" t="s">
        <v>775</v>
      </c>
      <c r="N79" t="s">
        <v>43</v>
      </c>
      <c r="O79" t="s">
        <v>30</v>
      </c>
      <c r="P79" t="s">
        <v>31</v>
      </c>
      <c r="R79">
        <v>65</v>
      </c>
      <c r="V79" t="s">
        <v>36</v>
      </c>
      <c r="W79" t="s">
        <v>778</v>
      </c>
      <c r="X79" t="s">
        <v>779</v>
      </c>
      <c r="Y79" t="s">
        <v>780</v>
      </c>
    </row>
    <row r="80" spans="1:25" x14ac:dyDescent="0.2">
      <c r="A80" t="s">
        <v>788</v>
      </c>
      <c r="B80" s="1">
        <f>VALUE(RIGHT(A80,LEN(A80)-3))</f>
        <v>117</v>
      </c>
      <c r="C80" t="s">
        <v>32</v>
      </c>
      <c r="D80" t="s">
        <v>4140</v>
      </c>
      <c r="E80" t="s">
        <v>791</v>
      </c>
      <c r="F80">
        <v>2</v>
      </c>
      <c r="G80" t="s">
        <v>57</v>
      </c>
      <c r="H80">
        <v>1</v>
      </c>
      <c r="I80" t="s">
        <v>58</v>
      </c>
      <c r="J80" t="s">
        <v>789</v>
      </c>
      <c r="L80" t="s">
        <v>27</v>
      </c>
      <c r="N80" t="s">
        <v>43</v>
      </c>
      <c r="O80" t="s">
        <v>30</v>
      </c>
      <c r="P80" t="s">
        <v>31</v>
      </c>
      <c r="V80" t="s">
        <v>36</v>
      </c>
      <c r="W80" t="s">
        <v>234</v>
      </c>
      <c r="X80" t="s">
        <v>61</v>
      </c>
      <c r="Y80" t="s">
        <v>792</v>
      </c>
    </row>
    <row r="81" spans="1:25" x14ac:dyDescent="0.2">
      <c r="A81" t="s">
        <v>793</v>
      </c>
      <c r="B81" s="1">
        <f>VALUE(RIGHT(A81,LEN(A81)-3))</f>
        <v>118</v>
      </c>
      <c r="C81" t="s">
        <v>32</v>
      </c>
      <c r="D81" t="s">
        <v>4140</v>
      </c>
      <c r="E81" t="s">
        <v>796</v>
      </c>
      <c r="F81">
        <v>1</v>
      </c>
      <c r="G81" t="s">
        <v>57</v>
      </c>
      <c r="H81">
        <v>2</v>
      </c>
      <c r="I81" t="s">
        <v>58</v>
      </c>
      <c r="J81" t="s">
        <v>794</v>
      </c>
      <c r="L81" t="s">
        <v>690</v>
      </c>
      <c r="M81" t="s">
        <v>795</v>
      </c>
      <c r="N81" t="s">
        <v>29</v>
      </c>
      <c r="O81" t="s">
        <v>30</v>
      </c>
      <c r="P81" t="s">
        <v>31</v>
      </c>
      <c r="R81">
        <v>30</v>
      </c>
      <c r="V81" t="s">
        <v>59</v>
      </c>
      <c r="W81" t="s">
        <v>78</v>
      </c>
      <c r="X81" t="s">
        <v>48</v>
      </c>
      <c r="Y81" t="s">
        <v>797</v>
      </c>
    </row>
    <row r="82" spans="1:25" x14ac:dyDescent="0.2">
      <c r="A82" t="s">
        <v>798</v>
      </c>
      <c r="B82" s="1">
        <f>VALUE(RIGHT(A82,LEN(A82)-3))</f>
        <v>119</v>
      </c>
      <c r="C82" t="s">
        <v>32</v>
      </c>
      <c r="D82" t="s">
        <v>4140</v>
      </c>
      <c r="E82" t="s">
        <v>802</v>
      </c>
      <c r="F82">
        <v>1</v>
      </c>
      <c r="G82" t="s">
        <v>57</v>
      </c>
      <c r="H82">
        <v>0</v>
      </c>
      <c r="J82" t="s">
        <v>799</v>
      </c>
      <c r="L82" t="s">
        <v>800</v>
      </c>
      <c r="M82" t="s">
        <v>259</v>
      </c>
      <c r="N82" t="s">
        <v>43</v>
      </c>
      <c r="O82" t="s">
        <v>30</v>
      </c>
      <c r="P82" t="s">
        <v>31</v>
      </c>
      <c r="R82">
        <v>64</v>
      </c>
      <c r="V82" t="s">
        <v>200</v>
      </c>
      <c r="W82" t="s">
        <v>201</v>
      </c>
      <c r="X82" t="s">
        <v>61</v>
      </c>
      <c r="Y82" t="s">
        <v>803</v>
      </c>
    </row>
    <row r="83" spans="1:25" x14ac:dyDescent="0.2">
      <c r="A83" t="s">
        <v>809</v>
      </c>
      <c r="B83" s="1">
        <f>VALUE(RIGHT(A83,LEN(A83)-3))</f>
        <v>121</v>
      </c>
      <c r="C83" t="s">
        <v>32</v>
      </c>
      <c r="D83" t="s">
        <v>4140</v>
      </c>
      <c r="E83" t="s">
        <v>813</v>
      </c>
      <c r="F83">
        <v>1</v>
      </c>
      <c r="G83" t="s">
        <v>35</v>
      </c>
      <c r="H83">
        <v>0</v>
      </c>
      <c r="J83" t="s">
        <v>810</v>
      </c>
      <c r="L83" t="s">
        <v>690</v>
      </c>
      <c r="M83" t="s">
        <v>811</v>
      </c>
      <c r="N83" t="s">
        <v>54</v>
      </c>
      <c r="O83" t="s">
        <v>30</v>
      </c>
      <c r="P83" t="s">
        <v>31</v>
      </c>
      <c r="R83">
        <v>240</v>
      </c>
      <c r="V83" t="s">
        <v>166</v>
      </c>
      <c r="W83" t="s">
        <v>194</v>
      </c>
      <c r="X83" t="s">
        <v>61</v>
      </c>
      <c r="Y83" t="s">
        <v>814</v>
      </c>
    </row>
    <row r="84" spans="1:25" x14ac:dyDescent="0.2">
      <c r="A84" t="s">
        <v>815</v>
      </c>
      <c r="B84" s="1">
        <f>VALUE(RIGHT(A84,LEN(A84)-3))</f>
        <v>122</v>
      </c>
      <c r="C84" t="s">
        <v>32</v>
      </c>
      <c r="D84" t="s">
        <v>4140</v>
      </c>
      <c r="E84" t="s">
        <v>818</v>
      </c>
      <c r="F84">
        <v>1</v>
      </c>
      <c r="G84" t="s">
        <v>130</v>
      </c>
      <c r="H84">
        <v>0</v>
      </c>
      <c r="J84" t="s">
        <v>816</v>
      </c>
      <c r="L84" t="s">
        <v>150</v>
      </c>
      <c r="M84" t="s">
        <v>151</v>
      </c>
      <c r="N84" t="s">
        <v>43</v>
      </c>
      <c r="O84" t="s">
        <v>30</v>
      </c>
      <c r="P84" t="s">
        <v>31</v>
      </c>
      <c r="V84" t="s">
        <v>200</v>
      </c>
      <c r="W84" t="s">
        <v>819</v>
      </c>
      <c r="X84" t="s">
        <v>48</v>
      </c>
      <c r="Y84" t="s">
        <v>820</v>
      </c>
    </row>
    <row r="85" spans="1:25" x14ac:dyDescent="0.2">
      <c r="A85" t="s">
        <v>863</v>
      </c>
      <c r="B85" s="1">
        <f>VALUE(RIGHT(A85,LEN(A85)-3))</f>
        <v>131</v>
      </c>
      <c r="C85" t="s">
        <v>32</v>
      </c>
      <c r="D85" t="s">
        <v>4140</v>
      </c>
      <c r="E85" t="s">
        <v>866</v>
      </c>
      <c r="F85">
        <v>2</v>
      </c>
      <c r="G85" t="s">
        <v>94</v>
      </c>
      <c r="H85">
        <v>1</v>
      </c>
      <c r="I85" t="s">
        <v>68</v>
      </c>
      <c r="J85" t="s">
        <v>864</v>
      </c>
      <c r="L85" t="s">
        <v>357</v>
      </c>
      <c r="N85" t="s">
        <v>29</v>
      </c>
      <c r="O85" t="s">
        <v>30</v>
      </c>
      <c r="P85" t="s">
        <v>31</v>
      </c>
      <c r="V85" t="s">
        <v>200</v>
      </c>
      <c r="W85" t="s">
        <v>867</v>
      </c>
      <c r="X85" t="s">
        <v>38</v>
      </c>
      <c r="Y85" t="s">
        <v>868</v>
      </c>
    </row>
    <row r="86" spans="1:25" x14ac:dyDescent="0.2">
      <c r="A86" t="s">
        <v>885</v>
      </c>
      <c r="B86" s="1">
        <f>VALUE(RIGHT(A86,LEN(A86)-3))</f>
        <v>135</v>
      </c>
      <c r="C86" t="s">
        <v>32</v>
      </c>
      <c r="D86" t="s">
        <v>4140</v>
      </c>
      <c r="E86" t="s">
        <v>888</v>
      </c>
      <c r="F86">
        <v>1</v>
      </c>
      <c r="G86" t="s">
        <v>57</v>
      </c>
      <c r="H86">
        <v>0</v>
      </c>
      <c r="J86" t="s">
        <v>886</v>
      </c>
      <c r="L86" t="s">
        <v>423</v>
      </c>
      <c r="M86" t="s">
        <v>259</v>
      </c>
      <c r="N86" t="s">
        <v>43</v>
      </c>
      <c r="O86" t="s">
        <v>30</v>
      </c>
      <c r="P86" t="s">
        <v>31</v>
      </c>
      <c r="V86" t="s">
        <v>889</v>
      </c>
      <c r="W86" t="s">
        <v>851</v>
      </c>
      <c r="X86" t="s">
        <v>61</v>
      </c>
      <c r="Y86" t="s">
        <v>890</v>
      </c>
    </row>
    <row r="87" spans="1:25" x14ac:dyDescent="0.2">
      <c r="A87" t="s">
        <v>918</v>
      </c>
      <c r="B87" s="1">
        <f>VALUE(RIGHT(A87,LEN(A87)-3))</f>
        <v>140</v>
      </c>
      <c r="C87" t="s">
        <v>32</v>
      </c>
      <c r="D87" t="s">
        <v>4140</v>
      </c>
      <c r="E87" t="s">
        <v>922</v>
      </c>
      <c r="F87">
        <v>1</v>
      </c>
      <c r="G87" t="s">
        <v>35</v>
      </c>
      <c r="H87">
        <v>0</v>
      </c>
      <c r="J87" t="s">
        <v>919</v>
      </c>
      <c r="L87" t="s">
        <v>258</v>
      </c>
      <c r="M87" t="s">
        <v>920</v>
      </c>
      <c r="N87" t="s">
        <v>54</v>
      </c>
      <c r="O87" t="s">
        <v>30</v>
      </c>
      <c r="P87" t="s">
        <v>31</v>
      </c>
      <c r="V87" t="s">
        <v>36</v>
      </c>
      <c r="W87" t="s">
        <v>47</v>
      </c>
      <c r="X87" t="s">
        <v>61</v>
      </c>
      <c r="Y87" t="s">
        <v>923</v>
      </c>
    </row>
    <row r="88" spans="1:25" x14ac:dyDescent="0.2">
      <c r="A88" t="s">
        <v>924</v>
      </c>
      <c r="B88" s="1">
        <f>VALUE(RIGHT(A88,LEN(A88)-3))</f>
        <v>141</v>
      </c>
      <c r="C88" t="s">
        <v>32</v>
      </c>
      <c r="D88" t="s">
        <v>4140</v>
      </c>
      <c r="E88" t="s">
        <v>928</v>
      </c>
      <c r="F88">
        <v>2</v>
      </c>
      <c r="G88" t="s">
        <v>57</v>
      </c>
      <c r="H88">
        <v>2</v>
      </c>
      <c r="I88" t="s">
        <v>233</v>
      </c>
      <c r="J88" t="s">
        <v>925</v>
      </c>
      <c r="L88" t="s">
        <v>27</v>
      </c>
      <c r="M88" t="s">
        <v>926</v>
      </c>
      <c r="N88" t="s">
        <v>43</v>
      </c>
      <c r="O88" t="s">
        <v>30</v>
      </c>
      <c r="P88" t="s">
        <v>31</v>
      </c>
      <c r="V88" t="s">
        <v>36</v>
      </c>
      <c r="W88" t="s">
        <v>308</v>
      </c>
      <c r="X88" t="s">
        <v>61</v>
      </c>
      <c r="Y88" t="s">
        <v>929</v>
      </c>
    </row>
    <row r="89" spans="1:25" x14ac:dyDescent="0.2">
      <c r="A89" t="s">
        <v>936</v>
      </c>
      <c r="B89" s="1">
        <f>VALUE(RIGHT(A89,LEN(A89)-3))</f>
        <v>143</v>
      </c>
      <c r="C89" t="s">
        <v>32</v>
      </c>
      <c r="D89" t="s">
        <v>4140</v>
      </c>
      <c r="E89" t="s">
        <v>939</v>
      </c>
      <c r="F89">
        <v>1</v>
      </c>
      <c r="G89" t="s">
        <v>130</v>
      </c>
      <c r="H89">
        <v>0</v>
      </c>
      <c r="J89" t="s">
        <v>937</v>
      </c>
      <c r="L89" t="s">
        <v>27</v>
      </c>
      <c r="M89" t="s">
        <v>264</v>
      </c>
      <c r="N89" t="s">
        <v>29</v>
      </c>
      <c r="O89" t="s">
        <v>30</v>
      </c>
      <c r="P89" t="s">
        <v>31</v>
      </c>
      <c r="V89" t="s">
        <v>940</v>
      </c>
      <c r="W89" t="s">
        <v>941</v>
      </c>
      <c r="X89" t="s">
        <v>48</v>
      </c>
      <c r="Y89" t="s">
        <v>942</v>
      </c>
    </row>
    <row r="90" spans="1:25" x14ac:dyDescent="0.2">
      <c r="A90" t="s">
        <v>946</v>
      </c>
      <c r="B90" s="1">
        <f>VALUE(RIGHT(A90,LEN(A90)-3))</f>
        <v>145</v>
      </c>
      <c r="C90" t="s">
        <v>32</v>
      </c>
      <c r="D90" t="s">
        <v>4140</v>
      </c>
      <c r="E90" t="s">
        <v>950</v>
      </c>
      <c r="F90">
        <v>1</v>
      </c>
      <c r="G90" t="s">
        <v>57</v>
      </c>
      <c r="H90">
        <v>0</v>
      </c>
      <c r="J90" t="s">
        <v>947</v>
      </c>
      <c r="L90" t="s">
        <v>27</v>
      </c>
      <c r="M90" t="s">
        <v>948</v>
      </c>
      <c r="N90" t="s">
        <v>746</v>
      </c>
      <c r="O90" t="s">
        <v>30</v>
      </c>
      <c r="P90" t="s">
        <v>31</v>
      </c>
      <c r="V90" t="s">
        <v>59</v>
      </c>
      <c r="W90" t="s">
        <v>951</v>
      </c>
      <c r="X90" t="s">
        <v>194</v>
      </c>
      <c r="Y90" t="s">
        <v>952</v>
      </c>
    </row>
    <row r="91" spans="1:25" x14ac:dyDescent="0.2">
      <c r="A91" t="s">
        <v>970</v>
      </c>
      <c r="B91" s="1">
        <f>VALUE(RIGHT(A91,LEN(A91)-3))</f>
        <v>149</v>
      </c>
      <c r="C91" t="s">
        <v>32</v>
      </c>
      <c r="D91" t="s">
        <v>4140</v>
      </c>
      <c r="E91" t="s">
        <v>974</v>
      </c>
      <c r="F91">
        <v>1</v>
      </c>
      <c r="G91" t="s">
        <v>57</v>
      </c>
      <c r="H91">
        <v>2</v>
      </c>
      <c r="I91" t="s">
        <v>975</v>
      </c>
      <c r="J91" t="s">
        <v>971</v>
      </c>
      <c r="L91" t="s">
        <v>120</v>
      </c>
      <c r="M91" t="s">
        <v>972</v>
      </c>
      <c r="N91" t="s">
        <v>43</v>
      </c>
      <c r="O91" t="s">
        <v>30</v>
      </c>
      <c r="P91" t="s">
        <v>31</v>
      </c>
      <c r="R91">
        <v>6</v>
      </c>
      <c r="T91">
        <v>6000</v>
      </c>
      <c r="V91" t="s">
        <v>367</v>
      </c>
      <c r="W91" t="s">
        <v>368</v>
      </c>
      <c r="X91" t="s">
        <v>61</v>
      </c>
      <c r="Y91" t="s">
        <v>976</v>
      </c>
    </row>
    <row r="92" spans="1:25" x14ac:dyDescent="0.2">
      <c r="A92" t="s">
        <v>982</v>
      </c>
      <c r="B92" s="1">
        <f>VALUE(RIGHT(A92,LEN(A92)-3))</f>
        <v>151</v>
      </c>
      <c r="C92" t="s">
        <v>32</v>
      </c>
      <c r="D92" t="s">
        <v>4140</v>
      </c>
      <c r="E92" t="s">
        <v>986</v>
      </c>
      <c r="F92">
        <v>1</v>
      </c>
      <c r="G92" t="s">
        <v>57</v>
      </c>
      <c r="H92">
        <v>1</v>
      </c>
      <c r="I92" t="s">
        <v>58</v>
      </c>
      <c r="J92" t="s">
        <v>983</v>
      </c>
      <c r="L92" t="s">
        <v>27</v>
      </c>
      <c r="M92" t="s">
        <v>984</v>
      </c>
      <c r="N92" t="s">
        <v>29</v>
      </c>
      <c r="O92" t="s">
        <v>30</v>
      </c>
      <c r="P92" t="s">
        <v>31</v>
      </c>
      <c r="V92" t="s">
        <v>59</v>
      </c>
      <c r="W92" t="s">
        <v>201</v>
      </c>
      <c r="X92" t="s">
        <v>61</v>
      </c>
      <c r="Y92" t="s">
        <v>987</v>
      </c>
    </row>
    <row r="93" spans="1:25" x14ac:dyDescent="0.2">
      <c r="A93" t="s">
        <v>988</v>
      </c>
      <c r="B93" s="1">
        <f>VALUE(RIGHT(A93,LEN(A93)-3))</f>
        <v>152</v>
      </c>
      <c r="C93" t="s">
        <v>32</v>
      </c>
      <c r="D93" t="s">
        <v>4140</v>
      </c>
      <c r="E93" t="s">
        <v>991</v>
      </c>
      <c r="F93">
        <v>1</v>
      </c>
      <c r="G93" t="s">
        <v>57</v>
      </c>
      <c r="H93">
        <v>0</v>
      </c>
      <c r="J93" t="s">
        <v>989</v>
      </c>
      <c r="L93" t="s">
        <v>27</v>
      </c>
      <c r="M93" t="s">
        <v>385</v>
      </c>
      <c r="N93" t="s">
        <v>43</v>
      </c>
      <c r="O93" t="s">
        <v>30</v>
      </c>
      <c r="P93" t="s">
        <v>31</v>
      </c>
      <c r="V93" t="s">
        <v>36</v>
      </c>
      <c r="W93" t="s">
        <v>992</v>
      </c>
      <c r="X93" t="s">
        <v>61</v>
      </c>
      <c r="Y93" t="s">
        <v>993</v>
      </c>
    </row>
    <row r="94" spans="1:25" x14ac:dyDescent="0.2">
      <c r="A94" t="s">
        <v>994</v>
      </c>
      <c r="B94" s="1">
        <f>VALUE(RIGHT(A94,LEN(A94)-3))</f>
        <v>153</v>
      </c>
      <c r="C94" t="s">
        <v>32</v>
      </c>
      <c r="D94" t="s">
        <v>4140</v>
      </c>
      <c r="E94" t="s">
        <v>997</v>
      </c>
      <c r="F94">
        <v>1</v>
      </c>
      <c r="G94" t="s">
        <v>57</v>
      </c>
      <c r="H94">
        <v>0</v>
      </c>
      <c r="J94" t="s">
        <v>995</v>
      </c>
      <c r="L94" t="s">
        <v>357</v>
      </c>
      <c r="M94" t="s">
        <v>288</v>
      </c>
      <c r="N94" t="s">
        <v>43</v>
      </c>
      <c r="O94" t="s">
        <v>30</v>
      </c>
      <c r="P94" t="s">
        <v>31</v>
      </c>
      <c r="V94" t="s">
        <v>36</v>
      </c>
      <c r="W94" t="s">
        <v>998</v>
      </c>
      <c r="X94" t="s">
        <v>61</v>
      </c>
      <c r="Y94" t="s">
        <v>999</v>
      </c>
    </row>
    <row r="95" spans="1:25" x14ac:dyDescent="0.2">
      <c r="A95" t="s">
        <v>1000</v>
      </c>
      <c r="B95" s="1">
        <f>VALUE(RIGHT(A95,LEN(A95)-3))</f>
        <v>154</v>
      </c>
      <c r="C95" t="s">
        <v>32</v>
      </c>
      <c r="D95" t="s">
        <v>4140</v>
      </c>
      <c r="E95" t="s">
        <v>1002</v>
      </c>
      <c r="F95">
        <v>1</v>
      </c>
      <c r="G95" t="s">
        <v>130</v>
      </c>
      <c r="H95">
        <v>0</v>
      </c>
      <c r="J95" t="s">
        <v>1001</v>
      </c>
      <c r="K95">
        <v>32</v>
      </c>
      <c r="L95" t="s">
        <v>178</v>
      </c>
      <c r="M95" t="s">
        <v>584</v>
      </c>
      <c r="N95" t="s">
        <v>43</v>
      </c>
      <c r="O95" t="s">
        <v>30</v>
      </c>
      <c r="P95" t="s">
        <v>31</v>
      </c>
      <c r="V95" t="s">
        <v>36</v>
      </c>
      <c r="W95" t="s">
        <v>234</v>
      </c>
      <c r="X95" t="s">
        <v>61</v>
      </c>
      <c r="Y95" t="s">
        <v>1003</v>
      </c>
    </row>
    <row r="96" spans="1:25" x14ac:dyDescent="0.2">
      <c r="A96" t="s">
        <v>1004</v>
      </c>
      <c r="B96" s="1">
        <f>VALUE(RIGHT(A96,LEN(A96)-3))</f>
        <v>155</v>
      </c>
      <c r="C96" t="s">
        <v>32</v>
      </c>
      <c r="D96" t="s">
        <v>4140</v>
      </c>
      <c r="E96" t="s">
        <v>1008</v>
      </c>
      <c r="F96">
        <v>1</v>
      </c>
      <c r="G96" t="s">
        <v>57</v>
      </c>
      <c r="H96">
        <v>1</v>
      </c>
      <c r="I96" t="s">
        <v>68</v>
      </c>
      <c r="J96" t="s">
        <v>1005</v>
      </c>
      <c r="L96" t="s">
        <v>178</v>
      </c>
      <c r="M96" t="s">
        <v>1006</v>
      </c>
      <c r="N96" t="s">
        <v>43</v>
      </c>
      <c r="O96" t="s">
        <v>30</v>
      </c>
      <c r="P96" t="s">
        <v>31</v>
      </c>
      <c r="V96" t="s">
        <v>103</v>
      </c>
      <c r="W96" t="s">
        <v>845</v>
      </c>
      <c r="X96" t="s">
        <v>61</v>
      </c>
      <c r="Y96" t="s">
        <v>1009</v>
      </c>
    </row>
    <row r="97" spans="1:25" x14ac:dyDescent="0.2">
      <c r="A97" t="s">
        <v>1010</v>
      </c>
      <c r="B97" s="1">
        <f>VALUE(RIGHT(A97,LEN(A97)-3))</f>
        <v>156</v>
      </c>
      <c r="C97" t="s">
        <v>32</v>
      </c>
      <c r="D97" t="s">
        <v>4140</v>
      </c>
      <c r="E97" t="s">
        <v>1011</v>
      </c>
      <c r="F97">
        <v>1</v>
      </c>
      <c r="G97" t="s">
        <v>57</v>
      </c>
      <c r="H97">
        <v>2</v>
      </c>
      <c r="I97" t="s">
        <v>267</v>
      </c>
      <c r="J97" t="s">
        <v>1005</v>
      </c>
      <c r="L97" t="s">
        <v>217</v>
      </c>
      <c r="M97" t="s">
        <v>259</v>
      </c>
      <c r="N97" t="s">
        <v>43</v>
      </c>
      <c r="O97" t="s">
        <v>30</v>
      </c>
      <c r="P97" t="s">
        <v>31</v>
      </c>
      <c r="Q97">
        <v>1</v>
      </c>
      <c r="R97">
        <v>19</v>
      </c>
      <c r="T97">
        <v>1000</v>
      </c>
      <c r="V97" t="s">
        <v>36</v>
      </c>
      <c r="W97" t="s">
        <v>1012</v>
      </c>
      <c r="X97" t="s">
        <v>61</v>
      </c>
      <c r="Y97" t="s">
        <v>1013</v>
      </c>
    </row>
    <row r="98" spans="1:25" x14ac:dyDescent="0.2">
      <c r="A98" t="s">
        <v>1020</v>
      </c>
      <c r="B98" s="1">
        <f>VALUE(RIGHT(A98,LEN(A98)-3))</f>
        <v>158</v>
      </c>
      <c r="C98" t="s">
        <v>32</v>
      </c>
      <c r="D98" t="s">
        <v>4140</v>
      </c>
      <c r="E98" t="s">
        <v>1024</v>
      </c>
      <c r="F98">
        <v>1</v>
      </c>
      <c r="G98" t="s">
        <v>57</v>
      </c>
      <c r="H98">
        <v>2</v>
      </c>
      <c r="I98" t="s">
        <v>58</v>
      </c>
      <c r="J98" t="s">
        <v>1021</v>
      </c>
      <c r="L98" t="s">
        <v>120</v>
      </c>
      <c r="M98" t="s">
        <v>1022</v>
      </c>
      <c r="N98" t="s">
        <v>54</v>
      </c>
      <c r="O98" t="s">
        <v>30</v>
      </c>
      <c r="P98" t="s">
        <v>31</v>
      </c>
      <c r="V98" t="s">
        <v>200</v>
      </c>
      <c r="W98" t="s">
        <v>1025</v>
      </c>
      <c r="X98" t="s">
        <v>61</v>
      </c>
      <c r="Y98" t="s">
        <v>1026</v>
      </c>
    </row>
    <row r="99" spans="1:25" x14ac:dyDescent="0.2">
      <c r="A99" t="s">
        <v>1041</v>
      </c>
      <c r="B99" s="1">
        <f>VALUE(RIGHT(A99,LEN(A99)-3))</f>
        <v>162</v>
      </c>
      <c r="C99" t="s">
        <v>32</v>
      </c>
      <c r="D99" t="s">
        <v>4140</v>
      </c>
      <c r="E99" t="s">
        <v>1045</v>
      </c>
      <c r="F99">
        <v>1</v>
      </c>
      <c r="G99" t="s">
        <v>57</v>
      </c>
      <c r="H99">
        <v>0</v>
      </c>
      <c r="J99" t="s">
        <v>1042</v>
      </c>
      <c r="L99" t="s">
        <v>120</v>
      </c>
      <c r="M99" t="s">
        <v>1043</v>
      </c>
      <c r="N99" t="s">
        <v>29</v>
      </c>
      <c r="O99" t="s">
        <v>30</v>
      </c>
      <c r="P99" t="s">
        <v>31</v>
      </c>
      <c r="R99">
        <v>85</v>
      </c>
      <c r="T99">
        <v>370</v>
      </c>
      <c r="V99" t="s">
        <v>200</v>
      </c>
      <c r="W99" t="s">
        <v>1046</v>
      </c>
      <c r="X99" t="s">
        <v>598</v>
      </c>
      <c r="Y99" t="s">
        <v>1047</v>
      </c>
    </row>
    <row r="100" spans="1:25" x14ac:dyDescent="0.2">
      <c r="A100" t="s">
        <v>1055</v>
      </c>
      <c r="B100" s="1">
        <f>VALUE(RIGHT(A100,LEN(A100)-3))</f>
        <v>164</v>
      </c>
      <c r="C100" t="s">
        <v>32</v>
      </c>
      <c r="D100" t="s">
        <v>4140</v>
      </c>
      <c r="E100" t="s">
        <v>1057</v>
      </c>
      <c r="F100">
        <v>1</v>
      </c>
      <c r="G100" t="s">
        <v>57</v>
      </c>
      <c r="H100">
        <v>1</v>
      </c>
      <c r="I100" t="s">
        <v>123</v>
      </c>
      <c r="J100" t="s">
        <v>1056</v>
      </c>
      <c r="L100" t="s">
        <v>357</v>
      </c>
      <c r="M100" t="s">
        <v>385</v>
      </c>
      <c r="N100" t="s">
        <v>43</v>
      </c>
      <c r="O100" t="s">
        <v>30</v>
      </c>
      <c r="P100" t="s">
        <v>31</v>
      </c>
      <c r="V100" t="s">
        <v>36</v>
      </c>
      <c r="W100" t="s">
        <v>1058</v>
      </c>
      <c r="X100" t="s">
        <v>61</v>
      </c>
      <c r="Y100" t="s">
        <v>1059</v>
      </c>
    </row>
    <row r="101" spans="1:25" x14ac:dyDescent="0.2">
      <c r="A101" t="s">
        <v>1066</v>
      </c>
      <c r="B101" s="1">
        <f>VALUE(RIGHT(A101,LEN(A101)-3))</f>
        <v>166</v>
      </c>
      <c r="C101" t="s">
        <v>32</v>
      </c>
      <c r="D101" t="s">
        <v>4140</v>
      </c>
      <c r="E101" t="s">
        <v>1069</v>
      </c>
      <c r="F101">
        <v>1</v>
      </c>
      <c r="G101" t="s">
        <v>57</v>
      </c>
      <c r="H101">
        <v>0</v>
      </c>
      <c r="J101" t="s">
        <v>1067</v>
      </c>
      <c r="L101" t="s">
        <v>178</v>
      </c>
      <c r="M101" t="s">
        <v>385</v>
      </c>
      <c r="N101" t="s">
        <v>43</v>
      </c>
      <c r="O101" t="s">
        <v>30</v>
      </c>
      <c r="P101" t="s">
        <v>31</v>
      </c>
      <c r="V101" t="s">
        <v>36</v>
      </c>
      <c r="W101" t="s">
        <v>1070</v>
      </c>
      <c r="X101" t="s">
        <v>61</v>
      </c>
      <c r="Y101" t="s">
        <v>1071</v>
      </c>
    </row>
    <row r="102" spans="1:25" x14ac:dyDescent="0.2">
      <c r="A102" t="s">
        <v>1114</v>
      </c>
      <c r="B102" s="1">
        <f>VALUE(RIGHT(A102,LEN(A102)-3))</f>
        <v>174</v>
      </c>
      <c r="C102" t="s">
        <v>32</v>
      </c>
      <c r="D102" t="s">
        <v>4140</v>
      </c>
      <c r="E102" t="s">
        <v>1116</v>
      </c>
      <c r="F102">
        <v>1</v>
      </c>
      <c r="G102" t="s">
        <v>57</v>
      </c>
      <c r="H102">
        <v>0</v>
      </c>
      <c r="J102" t="s">
        <v>1115</v>
      </c>
      <c r="L102" t="s">
        <v>27</v>
      </c>
      <c r="M102" t="s">
        <v>373</v>
      </c>
      <c r="N102" t="s">
        <v>83</v>
      </c>
      <c r="O102" t="s">
        <v>30</v>
      </c>
      <c r="P102" t="s">
        <v>31</v>
      </c>
      <c r="V102" t="s">
        <v>173</v>
      </c>
      <c r="W102" t="s">
        <v>561</v>
      </c>
      <c r="X102" t="s">
        <v>48</v>
      </c>
      <c r="Y102" t="s">
        <v>1117</v>
      </c>
    </row>
    <row r="103" spans="1:25" x14ac:dyDescent="0.2">
      <c r="A103" t="s">
        <v>1148</v>
      </c>
      <c r="B103" s="1">
        <f>VALUE(RIGHT(A103,LEN(A103)-3))</f>
        <v>180</v>
      </c>
      <c r="C103" t="s">
        <v>32</v>
      </c>
      <c r="D103" t="s">
        <v>4140</v>
      </c>
      <c r="E103" t="s">
        <v>1150</v>
      </c>
      <c r="F103">
        <v>1</v>
      </c>
      <c r="G103" t="s">
        <v>57</v>
      </c>
      <c r="H103">
        <v>0</v>
      </c>
      <c r="J103" t="s">
        <v>1149</v>
      </c>
      <c r="L103" t="s">
        <v>27</v>
      </c>
      <c r="M103" t="s">
        <v>530</v>
      </c>
      <c r="N103" t="s">
        <v>43</v>
      </c>
      <c r="O103" t="s">
        <v>30</v>
      </c>
      <c r="P103" t="s">
        <v>31</v>
      </c>
      <c r="V103" t="s">
        <v>173</v>
      </c>
      <c r="W103" t="s">
        <v>174</v>
      </c>
      <c r="X103" t="s">
        <v>61</v>
      </c>
      <c r="Y103" t="s">
        <v>1151</v>
      </c>
    </row>
    <row r="104" spans="1:25" x14ac:dyDescent="0.2">
      <c r="A104" t="s">
        <v>1152</v>
      </c>
      <c r="B104" s="1">
        <f>VALUE(RIGHT(A104,LEN(A104)-3))</f>
        <v>181</v>
      </c>
      <c r="C104" t="s">
        <v>32</v>
      </c>
      <c r="D104" t="s">
        <v>4140</v>
      </c>
      <c r="E104" t="s">
        <v>1156</v>
      </c>
      <c r="F104">
        <v>1</v>
      </c>
      <c r="G104" t="s">
        <v>57</v>
      </c>
      <c r="H104">
        <v>3</v>
      </c>
      <c r="I104" t="s">
        <v>1157</v>
      </c>
      <c r="J104" t="s">
        <v>1153</v>
      </c>
      <c r="L104" t="s">
        <v>357</v>
      </c>
      <c r="M104" t="s">
        <v>1154</v>
      </c>
      <c r="N104" t="s">
        <v>29</v>
      </c>
      <c r="O104" t="s">
        <v>30</v>
      </c>
      <c r="P104" t="s">
        <v>31</v>
      </c>
      <c r="V104" t="s">
        <v>367</v>
      </c>
      <c r="W104" t="s">
        <v>368</v>
      </c>
      <c r="X104" t="s">
        <v>48</v>
      </c>
      <c r="Y104" t="s">
        <v>1158</v>
      </c>
    </row>
    <row r="105" spans="1:25" x14ac:dyDescent="0.2">
      <c r="A105" t="s">
        <v>1162</v>
      </c>
      <c r="B105" s="1">
        <f>VALUE(RIGHT(A105,LEN(A105)-3))</f>
        <v>183</v>
      </c>
      <c r="C105" t="s">
        <v>32</v>
      </c>
      <c r="D105" t="s">
        <v>4140</v>
      </c>
      <c r="E105" t="s">
        <v>1165</v>
      </c>
      <c r="F105">
        <v>2</v>
      </c>
      <c r="G105" t="s">
        <v>94</v>
      </c>
      <c r="H105">
        <v>1</v>
      </c>
      <c r="I105" t="s">
        <v>123</v>
      </c>
      <c r="J105" t="s">
        <v>1163</v>
      </c>
      <c r="L105" t="s">
        <v>402</v>
      </c>
      <c r="M105" t="s">
        <v>259</v>
      </c>
      <c r="N105" t="s">
        <v>43</v>
      </c>
      <c r="O105" t="s">
        <v>30</v>
      </c>
      <c r="P105" t="s">
        <v>31</v>
      </c>
      <c r="V105" t="s">
        <v>36</v>
      </c>
      <c r="W105" t="s">
        <v>234</v>
      </c>
      <c r="X105" t="s">
        <v>182</v>
      </c>
      <c r="Y105" t="s">
        <v>1166</v>
      </c>
    </row>
    <row r="106" spans="1:25" x14ac:dyDescent="0.2">
      <c r="A106" t="s">
        <v>1173</v>
      </c>
      <c r="B106" s="1">
        <f>VALUE(RIGHT(A106,LEN(A106)-3))</f>
        <v>185</v>
      </c>
      <c r="C106" t="s">
        <v>32</v>
      </c>
      <c r="D106" t="s">
        <v>4140</v>
      </c>
      <c r="E106" t="s">
        <v>1177</v>
      </c>
      <c r="F106">
        <v>1</v>
      </c>
      <c r="G106" t="s">
        <v>57</v>
      </c>
      <c r="H106">
        <v>1</v>
      </c>
      <c r="I106" t="s">
        <v>123</v>
      </c>
      <c r="J106" t="s">
        <v>1174</v>
      </c>
      <c r="K106">
        <v>42</v>
      </c>
      <c r="L106" t="s">
        <v>52</v>
      </c>
      <c r="M106" t="s">
        <v>1175</v>
      </c>
      <c r="N106" t="s">
        <v>43</v>
      </c>
      <c r="O106" t="s">
        <v>30</v>
      </c>
      <c r="P106" t="s">
        <v>31</v>
      </c>
      <c r="V106" t="s">
        <v>36</v>
      </c>
      <c r="W106" t="s">
        <v>234</v>
      </c>
      <c r="X106" t="s">
        <v>61</v>
      </c>
      <c r="Y106" t="s">
        <v>1178</v>
      </c>
    </row>
    <row r="107" spans="1:25" x14ac:dyDescent="0.2">
      <c r="A107" t="s">
        <v>1253</v>
      </c>
      <c r="B107" s="1">
        <f>VALUE(RIGHT(A107,LEN(A107)-3))</f>
        <v>199</v>
      </c>
      <c r="C107" t="s">
        <v>32</v>
      </c>
      <c r="D107" t="s">
        <v>4140</v>
      </c>
      <c r="E107" t="s">
        <v>1255</v>
      </c>
      <c r="F107">
        <v>1</v>
      </c>
      <c r="G107" t="s">
        <v>57</v>
      </c>
      <c r="H107">
        <v>0</v>
      </c>
      <c r="J107" t="s">
        <v>1254</v>
      </c>
      <c r="K107">
        <v>50</v>
      </c>
      <c r="L107" t="s">
        <v>27</v>
      </c>
      <c r="M107" t="s">
        <v>948</v>
      </c>
      <c r="N107" t="s">
        <v>29</v>
      </c>
      <c r="O107" t="s">
        <v>30</v>
      </c>
      <c r="P107" t="s">
        <v>31</v>
      </c>
      <c r="V107" t="s">
        <v>173</v>
      </c>
      <c r="W107" t="s">
        <v>174</v>
      </c>
      <c r="X107" t="s">
        <v>48</v>
      </c>
      <c r="Y107" t="s">
        <v>1256</v>
      </c>
    </row>
    <row r="108" spans="1:25" x14ac:dyDescent="0.2">
      <c r="A108" t="s">
        <v>1294</v>
      </c>
      <c r="B108" s="1">
        <f>VALUE(RIGHT(A108,LEN(A108)-3))</f>
        <v>206</v>
      </c>
      <c r="C108" t="s">
        <v>32</v>
      </c>
      <c r="D108" t="s">
        <v>4140</v>
      </c>
      <c r="E108" t="s">
        <v>1297</v>
      </c>
      <c r="F108">
        <v>1</v>
      </c>
      <c r="G108" t="s">
        <v>57</v>
      </c>
      <c r="H108">
        <v>1</v>
      </c>
      <c r="I108" t="s">
        <v>58</v>
      </c>
      <c r="J108" t="s">
        <v>1295</v>
      </c>
      <c r="L108" t="s">
        <v>120</v>
      </c>
      <c r="M108" t="s">
        <v>1296</v>
      </c>
      <c r="N108" t="s">
        <v>43</v>
      </c>
      <c r="O108" t="s">
        <v>30</v>
      </c>
      <c r="P108" t="s">
        <v>31</v>
      </c>
      <c r="V108" t="s">
        <v>200</v>
      </c>
      <c r="W108" t="s">
        <v>1046</v>
      </c>
      <c r="X108" t="s">
        <v>61</v>
      </c>
      <c r="Y108" t="s">
        <v>1298</v>
      </c>
    </row>
    <row r="109" spans="1:25" x14ac:dyDescent="0.2">
      <c r="A109" t="s">
        <v>1299</v>
      </c>
      <c r="B109" s="1">
        <f>VALUE(RIGHT(A109,LEN(A109)-3))</f>
        <v>207</v>
      </c>
      <c r="C109" t="s">
        <v>32</v>
      </c>
      <c r="D109" t="s">
        <v>4140</v>
      </c>
      <c r="E109" t="s">
        <v>1303</v>
      </c>
      <c r="F109">
        <v>1</v>
      </c>
      <c r="G109" t="s">
        <v>57</v>
      </c>
      <c r="H109">
        <v>1</v>
      </c>
      <c r="I109" t="s">
        <v>58</v>
      </c>
      <c r="J109" t="s">
        <v>1300</v>
      </c>
      <c r="L109" t="s">
        <v>99</v>
      </c>
      <c r="M109" t="s">
        <v>1301</v>
      </c>
      <c r="N109" t="s">
        <v>43</v>
      </c>
      <c r="O109" t="s">
        <v>30</v>
      </c>
      <c r="P109" t="s">
        <v>31</v>
      </c>
      <c r="V109" t="s">
        <v>200</v>
      </c>
      <c r="W109" t="s">
        <v>1304</v>
      </c>
      <c r="X109" t="s">
        <v>61</v>
      </c>
      <c r="Y109" t="s">
        <v>1305</v>
      </c>
    </row>
    <row r="110" spans="1:25" x14ac:dyDescent="0.2">
      <c r="A110" t="s">
        <v>1384</v>
      </c>
      <c r="B110" s="1">
        <f>VALUE(RIGHT(A110,LEN(A110)-3))</f>
        <v>223</v>
      </c>
      <c r="C110" t="s">
        <v>32</v>
      </c>
      <c r="D110" t="s">
        <v>4140</v>
      </c>
      <c r="E110" t="s">
        <v>1387</v>
      </c>
      <c r="F110">
        <v>1</v>
      </c>
      <c r="G110" t="s">
        <v>57</v>
      </c>
      <c r="H110">
        <v>0</v>
      </c>
      <c r="J110" t="s">
        <v>1385</v>
      </c>
      <c r="L110" t="s">
        <v>27</v>
      </c>
      <c r="M110" t="s">
        <v>530</v>
      </c>
      <c r="N110" t="s">
        <v>43</v>
      </c>
      <c r="O110" t="s">
        <v>30</v>
      </c>
      <c r="P110" t="s">
        <v>31</v>
      </c>
      <c r="V110" t="s">
        <v>367</v>
      </c>
      <c r="W110" t="s">
        <v>857</v>
      </c>
      <c r="X110" t="s">
        <v>61</v>
      </c>
      <c r="Y110" t="s">
        <v>1388</v>
      </c>
    </row>
    <row r="111" spans="1:25" x14ac:dyDescent="0.2">
      <c r="A111" t="s">
        <v>1395</v>
      </c>
      <c r="B111" s="1">
        <f>VALUE(RIGHT(A111,LEN(A111)-3))</f>
        <v>225</v>
      </c>
      <c r="C111" t="s">
        <v>32</v>
      </c>
      <c r="D111" t="s">
        <v>4140</v>
      </c>
      <c r="E111" t="s">
        <v>1399</v>
      </c>
      <c r="F111">
        <v>1</v>
      </c>
      <c r="G111" t="s">
        <v>57</v>
      </c>
      <c r="H111">
        <v>2</v>
      </c>
      <c r="I111" t="s">
        <v>1400</v>
      </c>
      <c r="J111" t="s">
        <v>1396</v>
      </c>
      <c r="L111" t="s">
        <v>120</v>
      </c>
      <c r="M111" t="s">
        <v>1397</v>
      </c>
      <c r="N111" t="s">
        <v>29</v>
      </c>
      <c r="O111" t="s">
        <v>30</v>
      </c>
      <c r="P111" t="s">
        <v>31</v>
      </c>
      <c r="V111" t="s">
        <v>173</v>
      </c>
      <c r="W111" t="s">
        <v>174</v>
      </c>
      <c r="X111" t="s">
        <v>61</v>
      </c>
      <c r="Y111" t="s">
        <v>1401</v>
      </c>
    </row>
    <row r="112" spans="1:25" x14ac:dyDescent="0.2">
      <c r="A112" t="s">
        <v>1413</v>
      </c>
      <c r="B112" s="1">
        <f>VALUE(RIGHT(A112,LEN(A112)-3))</f>
        <v>228</v>
      </c>
      <c r="C112" t="s">
        <v>32</v>
      </c>
      <c r="D112" t="s">
        <v>4140</v>
      </c>
      <c r="E112" t="s">
        <v>1416</v>
      </c>
      <c r="F112">
        <v>1</v>
      </c>
      <c r="G112" t="s">
        <v>57</v>
      </c>
      <c r="H112">
        <v>3</v>
      </c>
      <c r="I112" t="s">
        <v>1417</v>
      </c>
      <c r="J112" t="s">
        <v>1414</v>
      </c>
      <c r="K112">
        <v>35</v>
      </c>
      <c r="L112" t="s">
        <v>27</v>
      </c>
      <c r="M112" t="s">
        <v>530</v>
      </c>
      <c r="N112" t="s">
        <v>43</v>
      </c>
      <c r="O112" t="s">
        <v>30</v>
      </c>
      <c r="P112" t="s">
        <v>31</v>
      </c>
      <c r="V112" t="s">
        <v>173</v>
      </c>
      <c r="W112" t="s">
        <v>174</v>
      </c>
      <c r="X112" t="s">
        <v>598</v>
      </c>
      <c r="Y112" t="s">
        <v>1418</v>
      </c>
    </row>
    <row r="113" spans="1:25" x14ac:dyDescent="0.2">
      <c r="A113" t="s">
        <v>1419</v>
      </c>
      <c r="B113" s="1">
        <f>VALUE(RIGHT(A113,LEN(A113)-3))</f>
        <v>229</v>
      </c>
      <c r="C113" t="s">
        <v>32</v>
      </c>
      <c r="D113" t="s">
        <v>4140</v>
      </c>
      <c r="E113" t="s">
        <v>1422</v>
      </c>
      <c r="F113">
        <v>1</v>
      </c>
      <c r="G113" t="s">
        <v>57</v>
      </c>
      <c r="H113">
        <v>0</v>
      </c>
      <c r="J113" t="s">
        <v>1420</v>
      </c>
      <c r="L113" t="s">
        <v>127</v>
      </c>
      <c r="M113" t="s">
        <v>259</v>
      </c>
      <c r="N113" t="s">
        <v>43</v>
      </c>
      <c r="O113" t="s">
        <v>30</v>
      </c>
      <c r="P113" t="s">
        <v>31</v>
      </c>
      <c r="V113" t="s">
        <v>36</v>
      </c>
      <c r="W113" t="s">
        <v>194</v>
      </c>
      <c r="X113" t="s">
        <v>48</v>
      </c>
      <c r="Y113" t="s">
        <v>1423</v>
      </c>
    </row>
    <row r="114" spans="1:25" x14ac:dyDescent="0.2">
      <c r="A114" t="s">
        <v>1428</v>
      </c>
      <c r="B114" s="1">
        <f>VALUE(RIGHT(A114,LEN(A114)-3))</f>
        <v>231</v>
      </c>
      <c r="C114" t="s">
        <v>32</v>
      </c>
      <c r="D114" t="s">
        <v>4140</v>
      </c>
      <c r="E114" t="s">
        <v>1430</v>
      </c>
      <c r="F114">
        <v>1</v>
      </c>
      <c r="G114" t="s">
        <v>57</v>
      </c>
      <c r="H114">
        <v>1</v>
      </c>
      <c r="I114" t="s">
        <v>123</v>
      </c>
      <c r="J114" t="s">
        <v>1429</v>
      </c>
      <c r="K114">
        <v>53</v>
      </c>
      <c r="L114" t="s">
        <v>178</v>
      </c>
      <c r="M114" t="s">
        <v>1050</v>
      </c>
      <c r="N114" t="s">
        <v>43</v>
      </c>
      <c r="O114" t="s">
        <v>30</v>
      </c>
      <c r="P114" t="s">
        <v>31</v>
      </c>
      <c r="Q114">
        <v>1</v>
      </c>
      <c r="R114">
        <v>30</v>
      </c>
      <c r="V114" t="s">
        <v>36</v>
      </c>
      <c r="W114" t="s">
        <v>1431</v>
      </c>
      <c r="X114" t="s">
        <v>194</v>
      </c>
      <c r="Y114" t="s">
        <v>1432</v>
      </c>
    </row>
    <row r="115" spans="1:25" x14ac:dyDescent="0.2">
      <c r="A115" t="s">
        <v>1433</v>
      </c>
      <c r="B115" s="1">
        <f>VALUE(RIGHT(A115,LEN(A115)-3))</f>
        <v>232</v>
      </c>
      <c r="C115" t="s">
        <v>32</v>
      </c>
      <c r="D115" t="s">
        <v>4140</v>
      </c>
      <c r="E115" t="s">
        <v>1436</v>
      </c>
      <c r="F115">
        <v>1</v>
      </c>
      <c r="G115" t="s">
        <v>57</v>
      </c>
      <c r="H115">
        <v>3</v>
      </c>
      <c r="I115" t="s">
        <v>1437</v>
      </c>
      <c r="J115" t="s">
        <v>1434</v>
      </c>
      <c r="K115">
        <v>38</v>
      </c>
      <c r="L115" t="s">
        <v>27</v>
      </c>
      <c r="M115" t="s">
        <v>351</v>
      </c>
      <c r="N115" t="s">
        <v>29</v>
      </c>
      <c r="O115" t="s">
        <v>30</v>
      </c>
      <c r="P115" t="s">
        <v>31</v>
      </c>
      <c r="V115" t="s">
        <v>173</v>
      </c>
      <c r="W115" t="s">
        <v>561</v>
      </c>
      <c r="X115" t="s">
        <v>569</v>
      </c>
      <c r="Y115" t="s">
        <v>1438</v>
      </c>
    </row>
    <row r="116" spans="1:25" x14ac:dyDescent="0.2">
      <c r="A116" t="s">
        <v>1439</v>
      </c>
      <c r="B116" s="1">
        <f>VALUE(RIGHT(A116,LEN(A116)-3))</f>
        <v>233</v>
      </c>
      <c r="C116" t="s">
        <v>32</v>
      </c>
      <c r="D116" t="s">
        <v>4140</v>
      </c>
      <c r="E116" t="s">
        <v>1442</v>
      </c>
      <c r="F116">
        <v>1</v>
      </c>
      <c r="G116" t="s">
        <v>57</v>
      </c>
      <c r="H116">
        <v>0</v>
      </c>
      <c r="J116" t="s">
        <v>1440</v>
      </c>
      <c r="L116" t="s">
        <v>27</v>
      </c>
      <c r="M116" t="s">
        <v>373</v>
      </c>
      <c r="N116" t="s">
        <v>43</v>
      </c>
      <c r="O116" t="s">
        <v>30</v>
      </c>
      <c r="P116" t="s">
        <v>31</v>
      </c>
      <c r="V116" t="s">
        <v>36</v>
      </c>
      <c r="W116" t="s">
        <v>308</v>
      </c>
      <c r="X116" t="s">
        <v>48</v>
      </c>
      <c r="Y116" t="s">
        <v>1443</v>
      </c>
    </row>
    <row r="117" spans="1:25" x14ac:dyDescent="0.2">
      <c r="A117" t="s">
        <v>1466</v>
      </c>
      <c r="B117" s="1">
        <f>VALUE(RIGHT(A117,LEN(A117)-3))</f>
        <v>238</v>
      </c>
      <c r="C117" t="s">
        <v>32</v>
      </c>
      <c r="D117" t="s">
        <v>4140</v>
      </c>
      <c r="E117" t="s">
        <v>1469</v>
      </c>
      <c r="F117">
        <v>1</v>
      </c>
      <c r="G117" t="s">
        <v>57</v>
      </c>
      <c r="H117">
        <v>0</v>
      </c>
      <c r="J117" t="s">
        <v>1467</v>
      </c>
      <c r="L117" t="s">
        <v>178</v>
      </c>
      <c r="M117" t="s">
        <v>1468</v>
      </c>
      <c r="N117" t="s">
        <v>43</v>
      </c>
      <c r="O117" t="s">
        <v>30</v>
      </c>
      <c r="P117" t="s">
        <v>31</v>
      </c>
      <c r="V117" t="s">
        <v>242</v>
      </c>
      <c r="W117" t="s">
        <v>360</v>
      </c>
      <c r="X117" t="s">
        <v>61</v>
      </c>
      <c r="Y117" t="s">
        <v>1470</v>
      </c>
    </row>
    <row r="118" spans="1:25" x14ac:dyDescent="0.2">
      <c r="A118" t="s">
        <v>1535</v>
      </c>
      <c r="B118" s="1">
        <f>VALUE(RIGHT(A118,LEN(A118)-3))</f>
        <v>251</v>
      </c>
      <c r="C118" t="s">
        <v>32</v>
      </c>
      <c r="D118" t="s">
        <v>4140</v>
      </c>
      <c r="E118" t="s">
        <v>1538</v>
      </c>
      <c r="F118">
        <v>2</v>
      </c>
      <c r="G118" t="s">
        <v>35</v>
      </c>
      <c r="H118">
        <v>1</v>
      </c>
      <c r="I118" t="s">
        <v>58</v>
      </c>
      <c r="J118" t="s">
        <v>1536</v>
      </c>
      <c r="L118" t="s">
        <v>27</v>
      </c>
      <c r="M118" t="s">
        <v>65</v>
      </c>
      <c r="N118" t="s">
        <v>43</v>
      </c>
      <c r="O118" t="s">
        <v>30</v>
      </c>
      <c r="P118" t="s">
        <v>31</v>
      </c>
      <c r="V118" t="s">
        <v>59</v>
      </c>
      <c r="W118" t="s">
        <v>78</v>
      </c>
      <c r="X118" t="s">
        <v>61</v>
      </c>
      <c r="Y118" t="s">
        <v>1539</v>
      </c>
    </row>
    <row r="119" spans="1:25" x14ac:dyDescent="0.2">
      <c r="A119" t="s">
        <v>1540</v>
      </c>
      <c r="B119" s="1">
        <f>VALUE(RIGHT(A119,LEN(A119)-3))</f>
        <v>252</v>
      </c>
      <c r="C119" t="s">
        <v>32</v>
      </c>
      <c r="D119" t="s">
        <v>4140</v>
      </c>
      <c r="E119" t="s">
        <v>1543</v>
      </c>
      <c r="F119">
        <v>1</v>
      </c>
      <c r="G119" t="s">
        <v>57</v>
      </c>
      <c r="H119">
        <v>2</v>
      </c>
      <c r="I119" t="s">
        <v>1544</v>
      </c>
      <c r="J119" t="s">
        <v>1541</v>
      </c>
      <c r="K119">
        <v>32</v>
      </c>
      <c r="L119" t="s">
        <v>127</v>
      </c>
      <c r="M119" t="s">
        <v>373</v>
      </c>
      <c r="N119" t="s">
        <v>83</v>
      </c>
      <c r="O119" t="s">
        <v>30</v>
      </c>
      <c r="P119" t="s">
        <v>31</v>
      </c>
      <c r="V119" t="s">
        <v>59</v>
      </c>
      <c r="W119" t="s">
        <v>1046</v>
      </c>
      <c r="X119" t="s">
        <v>61</v>
      </c>
      <c r="Y119" t="s">
        <v>1545</v>
      </c>
    </row>
    <row r="120" spans="1:25" x14ac:dyDescent="0.2">
      <c r="A120" t="s">
        <v>1550</v>
      </c>
      <c r="B120" s="1">
        <f>VALUE(RIGHT(A120,LEN(A120)-3))</f>
        <v>254</v>
      </c>
      <c r="C120" t="s">
        <v>32</v>
      </c>
      <c r="D120" t="s">
        <v>4140</v>
      </c>
      <c r="E120" t="s">
        <v>1553</v>
      </c>
      <c r="F120">
        <v>1</v>
      </c>
      <c r="G120" t="s">
        <v>57</v>
      </c>
      <c r="H120">
        <v>0</v>
      </c>
      <c r="J120" t="s">
        <v>1551</v>
      </c>
      <c r="K120">
        <v>73</v>
      </c>
      <c r="L120" t="s">
        <v>27</v>
      </c>
      <c r="M120" t="s">
        <v>373</v>
      </c>
      <c r="N120" t="s">
        <v>83</v>
      </c>
      <c r="O120" t="s">
        <v>30</v>
      </c>
      <c r="P120" t="s">
        <v>31</v>
      </c>
      <c r="V120" t="s">
        <v>173</v>
      </c>
      <c r="W120" t="s">
        <v>174</v>
      </c>
      <c r="X120" t="s">
        <v>61</v>
      </c>
      <c r="Y120" t="s">
        <v>1554</v>
      </c>
    </row>
    <row r="121" spans="1:25" x14ac:dyDescent="0.2">
      <c r="A121" t="s">
        <v>1605</v>
      </c>
      <c r="B121" s="1">
        <f>VALUE(RIGHT(A121,LEN(A121)-3))</f>
        <v>265</v>
      </c>
      <c r="C121" t="s">
        <v>32</v>
      </c>
      <c r="D121" t="s">
        <v>4140</v>
      </c>
      <c r="E121" t="s">
        <v>1608</v>
      </c>
      <c r="F121">
        <v>1</v>
      </c>
      <c r="G121" t="s">
        <v>57</v>
      </c>
      <c r="H121">
        <v>1</v>
      </c>
      <c r="I121" t="s">
        <v>58</v>
      </c>
      <c r="J121" t="s">
        <v>1600</v>
      </c>
      <c r="K121">
        <v>28</v>
      </c>
      <c r="L121" t="s">
        <v>27</v>
      </c>
      <c r="M121" t="s">
        <v>1606</v>
      </c>
      <c r="N121" t="s">
        <v>746</v>
      </c>
      <c r="O121" t="s">
        <v>30</v>
      </c>
      <c r="P121" t="s">
        <v>31</v>
      </c>
      <c r="V121" t="s">
        <v>200</v>
      </c>
      <c r="W121" t="s">
        <v>78</v>
      </c>
      <c r="X121" t="s">
        <v>61</v>
      </c>
      <c r="Y121" t="s">
        <v>1609</v>
      </c>
    </row>
    <row r="122" spans="1:25" x14ac:dyDescent="0.2">
      <c r="A122" t="s">
        <v>1672</v>
      </c>
      <c r="B122" s="1">
        <f>VALUE(RIGHT(A122,LEN(A122)-3))</f>
        <v>278</v>
      </c>
      <c r="C122" t="s">
        <v>32</v>
      </c>
      <c r="D122" t="s">
        <v>4140</v>
      </c>
      <c r="E122" t="s">
        <v>1675</v>
      </c>
      <c r="F122">
        <v>1</v>
      </c>
      <c r="G122" t="s">
        <v>35</v>
      </c>
      <c r="H122">
        <v>1</v>
      </c>
      <c r="I122" t="s">
        <v>123</v>
      </c>
      <c r="J122" t="s">
        <v>1673</v>
      </c>
      <c r="K122">
        <v>30</v>
      </c>
      <c r="L122" t="s">
        <v>27</v>
      </c>
      <c r="M122" t="s">
        <v>65</v>
      </c>
      <c r="N122" t="s">
        <v>83</v>
      </c>
      <c r="O122" t="s">
        <v>30</v>
      </c>
      <c r="P122" t="s">
        <v>31</v>
      </c>
      <c r="Q122">
        <v>1</v>
      </c>
      <c r="V122" t="s">
        <v>86</v>
      </c>
      <c r="W122" t="s">
        <v>194</v>
      </c>
      <c r="X122" t="s">
        <v>598</v>
      </c>
      <c r="Y122" t="s">
        <v>1676</v>
      </c>
    </row>
    <row r="123" spans="1:25" x14ac:dyDescent="0.2">
      <c r="A123" t="s">
        <v>1688</v>
      </c>
      <c r="B123" s="1">
        <f>VALUE(RIGHT(A123,LEN(A123)-3))</f>
        <v>281</v>
      </c>
      <c r="C123" t="s">
        <v>32</v>
      </c>
      <c r="D123" t="s">
        <v>4140</v>
      </c>
      <c r="E123" t="s">
        <v>1691</v>
      </c>
      <c r="F123">
        <v>1</v>
      </c>
      <c r="G123" t="s">
        <v>35</v>
      </c>
      <c r="H123">
        <v>0</v>
      </c>
      <c r="J123" t="s">
        <v>1689</v>
      </c>
      <c r="K123">
        <v>38</v>
      </c>
      <c r="L123" t="s">
        <v>27</v>
      </c>
      <c r="M123" t="s">
        <v>1690</v>
      </c>
      <c r="N123" t="s">
        <v>29</v>
      </c>
      <c r="O123" t="s">
        <v>30</v>
      </c>
      <c r="P123" t="s">
        <v>31</v>
      </c>
      <c r="R123">
        <v>254</v>
      </c>
      <c r="T123">
        <v>2000</v>
      </c>
      <c r="V123" t="s">
        <v>36</v>
      </c>
      <c r="W123" t="s">
        <v>941</v>
      </c>
      <c r="X123" t="s">
        <v>1692</v>
      </c>
      <c r="Y123" t="s">
        <v>1693</v>
      </c>
    </row>
    <row r="124" spans="1:25" x14ac:dyDescent="0.2">
      <c r="A124" t="s">
        <v>1706</v>
      </c>
      <c r="B124" s="1">
        <f>VALUE(RIGHT(A124,LEN(A124)-3))</f>
        <v>284</v>
      </c>
      <c r="C124" t="s">
        <v>32</v>
      </c>
      <c r="D124" t="s">
        <v>4140</v>
      </c>
      <c r="E124" t="s">
        <v>1709</v>
      </c>
      <c r="F124">
        <v>1</v>
      </c>
      <c r="G124" t="s">
        <v>130</v>
      </c>
      <c r="H124">
        <v>0</v>
      </c>
      <c r="J124" t="s">
        <v>1707</v>
      </c>
      <c r="K124">
        <v>34</v>
      </c>
      <c r="L124" t="s">
        <v>127</v>
      </c>
      <c r="M124" t="s">
        <v>373</v>
      </c>
      <c r="N124" t="s">
        <v>83</v>
      </c>
      <c r="O124" t="s">
        <v>30</v>
      </c>
      <c r="P124" t="s">
        <v>31</v>
      </c>
      <c r="Q124">
        <v>1</v>
      </c>
      <c r="R124">
        <v>40</v>
      </c>
      <c r="V124" t="s">
        <v>59</v>
      </c>
      <c r="W124" t="s">
        <v>201</v>
      </c>
      <c r="X124" t="s">
        <v>182</v>
      </c>
      <c r="Y124" t="s">
        <v>1710</v>
      </c>
    </row>
    <row r="125" spans="1:25" x14ac:dyDescent="0.2">
      <c r="A125" t="s">
        <v>1751</v>
      </c>
      <c r="B125" s="1">
        <f>VALUE(RIGHT(A125,LEN(A125)-3))</f>
        <v>292</v>
      </c>
      <c r="C125" t="s">
        <v>32</v>
      </c>
      <c r="D125" t="s">
        <v>4140</v>
      </c>
      <c r="E125" t="s">
        <v>1756</v>
      </c>
      <c r="F125">
        <v>1</v>
      </c>
      <c r="G125" t="s">
        <v>57</v>
      </c>
      <c r="H125">
        <v>2</v>
      </c>
      <c r="I125" t="s">
        <v>366</v>
      </c>
      <c r="J125" t="s">
        <v>1752</v>
      </c>
      <c r="K125">
        <v>28</v>
      </c>
      <c r="L125" t="s">
        <v>1753</v>
      </c>
      <c r="M125" t="s">
        <v>1754</v>
      </c>
      <c r="N125" t="s">
        <v>746</v>
      </c>
      <c r="O125" t="s">
        <v>30</v>
      </c>
      <c r="P125" t="s">
        <v>31</v>
      </c>
      <c r="R125">
        <v>100</v>
      </c>
      <c r="T125">
        <v>1700</v>
      </c>
      <c r="V125" t="s">
        <v>59</v>
      </c>
      <c r="W125" t="s">
        <v>1757</v>
      </c>
      <c r="X125" t="s">
        <v>61</v>
      </c>
      <c r="Y125" t="s">
        <v>1758</v>
      </c>
    </row>
    <row r="126" spans="1:25" x14ac:dyDescent="0.2">
      <c r="A126" t="s">
        <v>1819</v>
      </c>
      <c r="B126" s="1">
        <f>VALUE(RIGHT(A126,LEN(A126)-3))</f>
        <v>305</v>
      </c>
      <c r="C126" t="s">
        <v>32</v>
      </c>
      <c r="D126" t="s">
        <v>4140</v>
      </c>
      <c r="E126" t="s">
        <v>1822</v>
      </c>
      <c r="F126">
        <v>1</v>
      </c>
      <c r="G126" t="s">
        <v>57</v>
      </c>
      <c r="H126">
        <v>0</v>
      </c>
      <c r="J126" t="s">
        <v>1820</v>
      </c>
      <c r="K126">
        <v>49</v>
      </c>
      <c r="L126" t="s">
        <v>800</v>
      </c>
      <c r="M126" t="s">
        <v>1811</v>
      </c>
      <c r="N126" t="s">
        <v>43</v>
      </c>
      <c r="O126" t="s">
        <v>30</v>
      </c>
      <c r="P126" t="s">
        <v>31</v>
      </c>
      <c r="R126">
        <v>100</v>
      </c>
      <c r="V126" t="s">
        <v>103</v>
      </c>
      <c r="W126" t="s">
        <v>1823</v>
      </c>
      <c r="X126" t="s">
        <v>61</v>
      </c>
      <c r="Y126" t="s">
        <v>1824</v>
      </c>
    </row>
    <row r="127" spans="1:25" x14ac:dyDescent="0.2">
      <c r="A127" t="s">
        <v>1894</v>
      </c>
      <c r="B127" s="1">
        <f>VALUE(RIGHT(A127,LEN(A127)-3))</f>
        <v>319</v>
      </c>
      <c r="C127" t="s">
        <v>32</v>
      </c>
      <c r="D127" t="s">
        <v>4140</v>
      </c>
      <c r="E127" t="s">
        <v>1897</v>
      </c>
      <c r="F127">
        <v>1</v>
      </c>
      <c r="G127" t="s">
        <v>57</v>
      </c>
      <c r="H127">
        <v>0</v>
      </c>
      <c r="J127" t="s">
        <v>1895</v>
      </c>
      <c r="K127">
        <v>34</v>
      </c>
      <c r="L127" t="s">
        <v>27</v>
      </c>
      <c r="M127" t="s">
        <v>530</v>
      </c>
      <c r="N127" t="s">
        <v>43</v>
      </c>
      <c r="O127" t="s">
        <v>30</v>
      </c>
      <c r="P127" t="s">
        <v>31</v>
      </c>
      <c r="Q127">
        <v>5</v>
      </c>
      <c r="R127">
        <v>300</v>
      </c>
      <c r="V127" t="s">
        <v>36</v>
      </c>
      <c r="W127" t="s">
        <v>308</v>
      </c>
      <c r="X127" t="s">
        <v>635</v>
      </c>
      <c r="Y127" t="s">
        <v>1898</v>
      </c>
    </row>
    <row r="128" spans="1:25" x14ac:dyDescent="0.2">
      <c r="A128" t="s">
        <v>1926</v>
      </c>
      <c r="B128" s="1">
        <f>VALUE(RIGHT(A128,LEN(A128)-3))</f>
        <v>325</v>
      </c>
      <c r="C128" t="s">
        <v>32</v>
      </c>
      <c r="D128" t="s">
        <v>4140</v>
      </c>
      <c r="E128" t="s">
        <v>1930</v>
      </c>
      <c r="F128">
        <v>1</v>
      </c>
      <c r="G128" t="s">
        <v>57</v>
      </c>
      <c r="H128">
        <v>0</v>
      </c>
      <c r="J128" t="s">
        <v>1927</v>
      </c>
      <c r="K128">
        <v>55</v>
      </c>
      <c r="L128" t="s">
        <v>402</v>
      </c>
      <c r="M128" t="s">
        <v>1928</v>
      </c>
      <c r="N128" t="s">
        <v>43</v>
      </c>
      <c r="O128" t="s">
        <v>30</v>
      </c>
      <c r="P128" t="s">
        <v>31</v>
      </c>
      <c r="Q128">
        <v>4</v>
      </c>
      <c r="R128">
        <v>200</v>
      </c>
      <c r="V128" t="s">
        <v>36</v>
      </c>
      <c r="W128" t="s">
        <v>308</v>
      </c>
      <c r="X128" t="s">
        <v>182</v>
      </c>
      <c r="Y128" t="s">
        <v>1931</v>
      </c>
    </row>
    <row r="129" spans="1:25" x14ac:dyDescent="0.2">
      <c r="A129" t="s">
        <v>1980</v>
      </c>
      <c r="B129" s="1">
        <f>VALUE(RIGHT(A129,LEN(A129)-3))</f>
        <v>335</v>
      </c>
      <c r="C129" t="s">
        <v>32</v>
      </c>
      <c r="D129" t="s">
        <v>4140</v>
      </c>
      <c r="E129" t="s">
        <v>1984</v>
      </c>
      <c r="F129">
        <v>1</v>
      </c>
      <c r="G129" t="s">
        <v>57</v>
      </c>
      <c r="H129">
        <v>1</v>
      </c>
      <c r="I129" t="s">
        <v>58</v>
      </c>
      <c r="J129" t="s">
        <v>1981</v>
      </c>
      <c r="K129">
        <v>45</v>
      </c>
      <c r="L129" t="s">
        <v>27</v>
      </c>
      <c r="M129" t="s">
        <v>1982</v>
      </c>
      <c r="N129" t="s">
        <v>29</v>
      </c>
      <c r="O129" t="s">
        <v>30</v>
      </c>
      <c r="P129" t="s">
        <v>31</v>
      </c>
      <c r="Q129">
        <v>5</v>
      </c>
      <c r="R129">
        <v>230</v>
      </c>
      <c r="T129">
        <v>150</v>
      </c>
      <c r="V129" t="s">
        <v>59</v>
      </c>
      <c r="W129" t="s">
        <v>78</v>
      </c>
      <c r="X129" t="s">
        <v>182</v>
      </c>
      <c r="Y129" t="s">
        <v>1985</v>
      </c>
    </row>
    <row r="130" spans="1:25" x14ac:dyDescent="0.2">
      <c r="A130" t="s">
        <v>1986</v>
      </c>
      <c r="B130" s="1">
        <f>VALUE(RIGHT(A130,LEN(A130)-3))</f>
        <v>336</v>
      </c>
      <c r="C130" t="s">
        <v>32</v>
      </c>
      <c r="D130" t="s">
        <v>4140</v>
      </c>
      <c r="E130" t="s">
        <v>1990</v>
      </c>
      <c r="F130">
        <v>2</v>
      </c>
      <c r="G130" t="s">
        <v>94</v>
      </c>
      <c r="H130">
        <v>2</v>
      </c>
      <c r="I130" t="s">
        <v>1991</v>
      </c>
      <c r="J130" t="s">
        <v>1987</v>
      </c>
      <c r="K130">
        <v>23</v>
      </c>
      <c r="L130" t="s">
        <v>357</v>
      </c>
      <c r="M130" t="s">
        <v>1988</v>
      </c>
      <c r="N130" t="s">
        <v>29</v>
      </c>
      <c r="O130" t="s">
        <v>30</v>
      </c>
      <c r="P130" t="s">
        <v>31</v>
      </c>
      <c r="Q130">
        <v>1</v>
      </c>
      <c r="R130">
        <v>50</v>
      </c>
      <c r="V130" t="s">
        <v>173</v>
      </c>
      <c r="W130" t="s">
        <v>707</v>
      </c>
      <c r="X130" t="s">
        <v>182</v>
      </c>
      <c r="Y130" t="s">
        <v>1992</v>
      </c>
    </row>
    <row r="131" spans="1:25" x14ac:dyDescent="0.2">
      <c r="A131" t="s">
        <v>2038</v>
      </c>
      <c r="B131" s="1">
        <f>VALUE(RIGHT(A131,LEN(A131)-3))</f>
        <v>345</v>
      </c>
      <c r="C131" t="s">
        <v>32</v>
      </c>
      <c r="D131" t="s">
        <v>4140</v>
      </c>
      <c r="E131" t="s">
        <v>2040</v>
      </c>
      <c r="F131">
        <v>1</v>
      </c>
      <c r="G131" t="s">
        <v>57</v>
      </c>
      <c r="H131">
        <v>1</v>
      </c>
      <c r="I131" t="s">
        <v>291</v>
      </c>
      <c r="J131" t="s">
        <v>2030</v>
      </c>
      <c r="K131">
        <v>39</v>
      </c>
      <c r="L131" t="s">
        <v>178</v>
      </c>
      <c r="M131" t="s">
        <v>410</v>
      </c>
      <c r="N131" t="s">
        <v>43</v>
      </c>
      <c r="O131" t="s">
        <v>30</v>
      </c>
      <c r="P131" t="s">
        <v>31</v>
      </c>
      <c r="Q131">
        <v>18</v>
      </c>
      <c r="R131">
        <v>1200</v>
      </c>
      <c r="V131" t="s">
        <v>173</v>
      </c>
      <c r="W131" t="s">
        <v>707</v>
      </c>
      <c r="X131" t="s">
        <v>48</v>
      </c>
      <c r="Y131" t="s">
        <v>2041</v>
      </c>
    </row>
    <row r="132" spans="1:25" x14ac:dyDescent="0.2">
      <c r="A132" t="s">
        <v>2042</v>
      </c>
      <c r="B132" s="1">
        <f>VALUE(RIGHT(A132,LEN(A132)-3))</f>
        <v>346</v>
      </c>
      <c r="C132" t="s">
        <v>32</v>
      </c>
      <c r="D132" t="s">
        <v>4140</v>
      </c>
      <c r="E132" t="s">
        <v>2046</v>
      </c>
      <c r="F132">
        <v>1</v>
      </c>
      <c r="G132" t="s">
        <v>57</v>
      </c>
      <c r="H132">
        <v>0</v>
      </c>
      <c r="J132" t="s">
        <v>2043</v>
      </c>
      <c r="K132">
        <v>42</v>
      </c>
      <c r="L132" t="s">
        <v>150</v>
      </c>
      <c r="M132" t="s">
        <v>2044</v>
      </c>
      <c r="N132" t="s">
        <v>43</v>
      </c>
      <c r="O132" t="s">
        <v>30</v>
      </c>
      <c r="P132" t="s">
        <v>31</v>
      </c>
      <c r="Q132">
        <v>10</v>
      </c>
      <c r="V132" t="s">
        <v>200</v>
      </c>
      <c r="W132" t="s">
        <v>1046</v>
      </c>
      <c r="X132" t="s">
        <v>182</v>
      </c>
      <c r="Y132" t="s">
        <v>2047</v>
      </c>
    </row>
    <row r="133" spans="1:25" x14ac:dyDescent="0.2">
      <c r="A133" t="s">
        <v>2120</v>
      </c>
      <c r="B133" s="1">
        <f>VALUE(RIGHT(A133,LEN(A133)-3))</f>
        <v>360</v>
      </c>
      <c r="C133" t="s">
        <v>32</v>
      </c>
      <c r="D133" t="s">
        <v>4140</v>
      </c>
      <c r="E133" t="s">
        <v>2123</v>
      </c>
      <c r="F133">
        <v>1</v>
      </c>
      <c r="G133" t="s">
        <v>57</v>
      </c>
      <c r="H133">
        <v>0</v>
      </c>
      <c r="J133" t="s">
        <v>2121</v>
      </c>
      <c r="K133">
        <v>50</v>
      </c>
      <c r="L133" t="s">
        <v>217</v>
      </c>
      <c r="M133" t="s">
        <v>1301</v>
      </c>
      <c r="N133" t="s">
        <v>43</v>
      </c>
      <c r="O133" t="s">
        <v>30</v>
      </c>
      <c r="P133" t="s">
        <v>31</v>
      </c>
      <c r="Q133">
        <v>20</v>
      </c>
      <c r="V133" t="s">
        <v>200</v>
      </c>
      <c r="W133" t="s">
        <v>1046</v>
      </c>
      <c r="X133" t="s">
        <v>61</v>
      </c>
      <c r="Y133" t="s">
        <v>2124</v>
      </c>
    </row>
    <row r="134" spans="1:25" x14ac:dyDescent="0.2">
      <c r="A134" t="s">
        <v>2130</v>
      </c>
      <c r="B134" s="1">
        <f>VALUE(RIGHT(A134,LEN(A134)-3))</f>
        <v>362</v>
      </c>
      <c r="C134" t="s">
        <v>32</v>
      </c>
      <c r="D134" t="s">
        <v>4140</v>
      </c>
      <c r="E134" t="s">
        <v>2134</v>
      </c>
      <c r="F134">
        <v>1</v>
      </c>
      <c r="G134" t="s">
        <v>35</v>
      </c>
      <c r="H134">
        <v>1</v>
      </c>
      <c r="I134" t="s">
        <v>123</v>
      </c>
      <c r="J134" t="s">
        <v>2131</v>
      </c>
      <c r="K134">
        <v>15</v>
      </c>
      <c r="L134" t="s">
        <v>800</v>
      </c>
      <c r="M134" t="s">
        <v>2132</v>
      </c>
      <c r="N134" t="s">
        <v>54</v>
      </c>
      <c r="O134" t="s">
        <v>30</v>
      </c>
      <c r="P134" t="s">
        <v>31</v>
      </c>
      <c r="V134" t="s">
        <v>138</v>
      </c>
      <c r="W134" t="s">
        <v>254</v>
      </c>
      <c r="X134" t="s">
        <v>48</v>
      </c>
      <c r="Y134" t="s">
        <v>2135</v>
      </c>
    </row>
    <row r="135" spans="1:25" x14ac:dyDescent="0.2">
      <c r="A135" t="s">
        <v>2190</v>
      </c>
      <c r="B135" s="1">
        <f>VALUE(RIGHT(A135,LEN(A135)-3))</f>
        <v>373</v>
      </c>
      <c r="C135" t="s">
        <v>32</v>
      </c>
      <c r="D135" t="s">
        <v>4140</v>
      </c>
      <c r="E135" t="s">
        <v>2193</v>
      </c>
      <c r="F135">
        <v>1</v>
      </c>
      <c r="G135" t="s">
        <v>57</v>
      </c>
      <c r="H135">
        <v>2</v>
      </c>
      <c r="I135" t="s">
        <v>146</v>
      </c>
      <c r="J135" t="s">
        <v>2191</v>
      </c>
      <c r="K135">
        <v>29</v>
      </c>
      <c r="L135" t="s">
        <v>402</v>
      </c>
      <c r="M135" t="s">
        <v>2192</v>
      </c>
      <c r="N135" t="s">
        <v>54</v>
      </c>
      <c r="O135" t="s">
        <v>30</v>
      </c>
      <c r="P135" t="s">
        <v>31</v>
      </c>
      <c r="Q135">
        <v>2</v>
      </c>
      <c r="R135">
        <v>50</v>
      </c>
      <c r="T135">
        <v>100</v>
      </c>
      <c r="V135" t="s">
        <v>59</v>
      </c>
      <c r="W135" t="s">
        <v>278</v>
      </c>
      <c r="X135" t="s">
        <v>569</v>
      </c>
      <c r="Y135" t="s">
        <v>2194</v>
      </c>
    </row>
    <row r="136" spans="1:25" x14ac:dyDescent="0.2">
      <c r="A136" t="s">
        <v>2195</v>
      </c>
      <c r="B136" s="1">
        <f>VALUE(RIGHT(A136,LEN(A136)-3))</f>
        <v>374</v>
      </c>
      <c r="C136" t="s">
        <v>32</v>
      </c>
      <c r="D136" t="s">
        <v>4140</v>
      </c>
      <c r="E136" t="s">
        <v>2198</v>
      </c>
      <c r="F136">
        <v>1</v>
      </c>
      <c r="G136" t="s">
        <v>57</v>
      </c>
      <c r="H136">
        <v>0</v>
      </c>
      <c r="J136" t="s">
        <v>2196</v>
      </c>
      <c r="K136">
        <v>29</v>
      </c>
      <c r="L136" t="s">
        <v>99</v>
      </c>
      <c r="M136" t="s">
        <v>385</v>
      </c>
      <c r="N136" t="s">
        <v>43</v>
      </c>
      <c r="O136" t="s">
        <v>30</v>
      </c>
      <c r="P136" t="s">
        <v>31</v>
      </c>
      <c r="Q136">
        <v>3</v>
      </c>
      <c r="R136">
        <v>30</v>
      </c>
      <c r="V136" t="s">
        <v>36</v>
      </c>
      <c r="W136" t="s">
        <v>2199</v>
      </c>
      <c r="X136" t="s">
        <v>61</v>
      </c>
      <c r="Y136" t="s">
        <v>2200</v>
      </c>
    </row>
    <row r="137" spans="1:25" x14ac:dyDescent="0.2">
      <c r="A137" t="s">
        <v>2201</v>
      </c>
      <c r="B137" s="1">
        <f>VALUE(RIGHT(A137,LEN(A137)-3))</f>
        <v>375</v>
      </c>
      <c r="C137" t="s">
        <v>32</v>
      </c>
      <c r="D137" t="s">
        <v>4140</v>
      </c>
      <c r="E137" t="s">
        <v>2206</v>
      </c>
      <c r="F137">
        <v>1</v>
      </c>
      <c r="G137" t="s">
        <v>57</v>
      </c>
      <c r="H137">
        <v>0</v>
      </c>
      <c r="J137" t="s">
        <v>2202</v>
      </c>
      <c r="K137">
        <v>41</v>
      </c>
      <c r="L137" t="s">
        <v>2203</v>
      </c>
      <c r="M137" t="s">
        <v>2204</v>
      </c>
      <c r="N137" t="s">
        <v>54</v>
      </c>
      <c r="O137" t="s">
        <v>30</v>
      </c>
      <c r="P137" t="s">
        <v>31</v>
      </c>
      <c r="Q137">
        <v>2</v>
      </c>
      <c r="R137">
        <v>100</v>
      </c>
      <c r="V137" t="s">
        <v>36</v>
      </c>
      <c r="W137" t="s">
        <v>1012</v>
      </c>
      <c r="X137" t="s">
        <v>61</v>
      </c>
      <c r="Y137" t="s">
        <v>2207</v>
      </c>
    </row>
    <row r="138" spans="1:25" x14ac:dyDescent="0.2">
      <c r="A138" t="s">
        <v>2213</v>
      </c>
      <c r="B138" s="1">
        <f>VALUE(RIGHT(A138,LEN(A138)-3))</f>
        <v>377</v>
      </c>
      <c r="C138" t="s">
        <v>32</v>
      </c>
      <c r="D138" t="s">
        <v>4140</v>
      </c>
      <c r="E138" t="s">
        <v>2216</v>
      </c>
      <c r="F138">
        <v>2</v>
      </c>
      <c r="G138" t="s">
        <v>94</v>
      </c>
      <c r="H138">
        <v>0</v>
      </c>
      <c r="J138" t="s">
        <v>2214</v>
      </c>
      <c r="K138">
        <v>38</v>
      </c>
      <c r="L138" t="s">
        <v>27</v>
      </c>
      <c r="M138" t="s">
        <v>373</v>
      </c>
      <c r="N138" t="s">
        <v>83</v>
      </c>
      <c r="O138" t="s">
        <v>30</v>
      </c>
      <c r="P138" t="s">
        <v>31</v>
      </c>
      <c r="Q138">
        <v>14</v>
      </c>
      <c r="R138">
        <v>700</v>
      </c>
      <c r="T138">
        <v>17000</v>
      </c>
      <c r="V138" t="s">
        <v>367</v>
      </c>
      <c r="W138" t="s">
        <v>857</v>
      </c>
      <c r="X138" t="s">
        <v>61</v>
      </c>
      <c r="Y138" t="s">
        <v>2217</v>
      </c>
    </row>
    <row r="139" spans="1:25" x14ac:dyDescent="0.2">
      <c r="A139" t="s">
        <v>2229</v>
      </c>
      <c r="B139" s="1">
        <f>VALUE(RIGHT(A139,LEN(A139)-3))</f>
        <v>380</v>
      </c>
      <c r="C139" t="s">
        <v>32</v>
      </c>
      <c r="D139" t="s">
        <v>4140</v>
      </c>
      <c r="E139" t="s">
        <v>2233</v>
      </c>
      <c r="F139">
        <v>2</v>
      </c>
      <c r="G139" t="s">
        <v>94</v>
      </c>
      <c r="H139">
        <v>2</v>
      </c>
      <c r="I139" t="s">
        <v>123</v>
      </c>
      <c r="J139" t="s">
        <v>2230</v>
      </c>
      <c r="K139">
        <v>35</v>
      </c>
      <c r="L139" t="s">
        <v>402</v>
      </c>
      <c r="M139" t="s">
        <v>2231</v>
      </c>
      <c r="N139" t="s">
        <v>746</v>
      </c>
      <c r="O139" t="s">
        <v>30</v>
      </c>
      <c r="P139" t="s">
        <v>31</v>
      </c>
      <c r="Q139">
        <v>1</v>
      </c>
      <c r="R139">
        <v>10</v>
      </c>
      <c r="T139">
        <v>250</v>
      </c>
      <c r="V139" t="s">
        <v>86</v>
      </c>
      <c r="W139" t="s">
        <v>2234</v>
      </c>
      <c r="X139" t="s">
        <v>61</v>
      </c>
      <c r="Y139" t="s">
        <v>2235</v>
      </c>
    </row>
    <row r="140" spans="1:25" x14ac:dyDescent="0.2">
      <c r="A140" t="s">
        <v>2236</v>
      </c>
      <c r="B140" s="1">
        <f>VALUE(RIGHT(A140,LEN(A140)-3))</f>
        <v>381</v>
      </c>
      <c r="C140" t="s">
        <v>32</v>
      </c>
      <c r="D140" t="s">
        <v>4140</v>
      </c>
      <c r="E140" t="s">
        <v>2240</v>
      </c>
      <c r="F140">
        <v>1</v>
      </c>
      <c r="G140" t="s">
        <v>57</v>
      </c>
      <c r="H140">
        <v>0</v>
      </c>
      <c r="J140" t="s">
        <v>2237</v>
      </c>
      <c r="L140" t="s">
        <v>2238</v>
      </c>
      <c r="M140" t="s">
        <v>65</v>
      </c>
      <c r="N140" t="s">
        <v>43</v>
      </c>
      <c r="O140" t="s">
        <v>30</v>
      </c>
      <c r="P140" t="s">
        <v>31</v>
      </c>
      <c r="Q140">
        <v>5</v>
      </c>
      <c r="R140">
        <v>400</v>
      </c>
      <c r="V140" t="s">
        <v>2241</v>
      </c>
      <c r="W140" t="s">
        <v>2242</v>
      </c>
      <c r="X140" t="s">
        <v>235</v>
      </c>
      <c r="Y140" t="s">
        <v>2243</v>
      </c>
    </row>
    <row r="141" spans="1:25" x14ac:dyDescent="0.2">
      <c r="A141" t="s">
        <v>2250</v>
      </c>
      <c r="B141" s="1">
        <f>VALUE(RIGHT(A141,LEN(A141)-3))</f>
        <v>383</v>
      </c>
      <c r="C141" t="s">
        <v>32</v>
      </c>
      <c r="D141" t="s">
        <v>4140</v>
      </c>
      <c r="E141" t="s">
        <v>2254</v>
      </c>
      <c r="F141">
        <v>2</v>
      </c>
      <c r="G141" t="s">
        <v>57</v>
      </c>
      <c r="H141">
        <v>2</v>
      </c>
      <c r="I141" t="s">
        <v>366</v>
      </c>
      <c r="J141" t="s">
        <v>2251</v>
      </c>
      <c r="K141">
        <v>25</v>
      </c>
      <c r="L141" t="s">
        <v>150</v>
      </c>
      <c r="M141" t="s">
        <v>2252</v>
      </c>
      <c r="N141" t="s">
        <v>83</v>
      </c>
      <c r="O141" t="s">
        <v>30</v>
      </c>
      <c r="P141" t="s">
        <v>31</v>
      </c>
      <c r="Q141">
        <v>3</v>
      </c>
      <c r="R141">
        <v>800</v>
      </c>
      <c r="T141">
        <v>1300</v>
      </c>
      <c r="V141" t="s">
        <v>200</v>
      </c>
      <c r="W141" t="s">
        <v>1304</v>
      </c>
      <c r="X141" t="s">
        <v>61</v>
      </c>
      <c r="Y141" t="s">
        <v>2255</v>
      </c>
    </row>
    <row r="142" spans="1:25" x14ac:dyDescent="0.2">
      <c r="A142" t="s">
        <v>2275</v>
      </c>
      <c r="B142" s="1">
        <f>VALUE(RIGHT(A142,LEN(A142)-3))</f>
        <v>387</v>
      </c>
      <c r="C142" t="s">
        <v>32</v>
      </c>
      <c r="D142" t="s">
        <v>4140</v>
      </c>
      <c r="E142" t="s">
        <v>2279</v>
      </c>
      <c r="F142">
        <v>1</v>
      </c>
      <c r="G142" t="s">
        <v>130</v>
      </c>
      <c r="H142">
        <v>0</v>
      </c>
      <c r="J142" t="s">
        <v>2276</v>
      </c>
      <c r="K142">
        <v>31</v>
      </c>
      <c r="L142" t="s">
        <v>150</v>
      </c>
      <c r="M142" t="s">
        <v>2277</v>
      </c>
      <c r="N142" t="s">
        <v>29</v>
      </c>
      <c r="O142" t="s">
        <v>30</v>
      </c>
      <c r="P142" t="s">
        <v>31</v>
      </c>
      <c r="Q142">
        <v>1</v>
      </c>
      <c r="R142">
        <v>40</v>
      </c>
      <c r="T142">
        <v>300</v>
      </c>
      <c r="V142" t="s">
        <v>200</v>
      </c>
      <c r="W142" t="s">
        <v>1304</v>
      </c>
      <c r="X142" t="s">
        <v>302</v>
      </c>
      <c r="Y142" t="s">
        <v>2280</v>
      </c>
    </row>
    <row r="143" spans="1:25" x14ac:dyDescent="0.2">
      <c r="A143" t="s">
        <v>2324</v>
      </c>
      <c r="B143" s="1">
        <f>VALUE(RIGHT(A143,LEN(A143)-3))</f>
        <v>395</v>
      </c>
      <c r="C143" t="s">
        <v>32</v>
      </c>
      <c r="D143" t="s">
        <v>4140</v>
      </c>
      <c r="E143" t="s">
        <v>2327</v>
      </c>
      <c r="F143">
        <v>1</v>
      </c>
      <c r="G143" t="s">
        <v>57</v>
      </c>
      <c r="H143">
        <v>1</v>
      </c>
      <c r="I143" t="s">
        <v>68</v>
      </c>
      <c r="J143" t="s">
        <v>2325</v>
      </c>
      <c r="K143">
        <v>57</v>
      </c>
      <c r="L143" t="s">
        <v>120</v>
      </c>
      <c r="M143" t="s">
        <v>972</v>
      </c>
      <c r="N143" t="s">
        <v>43</v>
      </c>
      <c r="O143" t="s">
        <v>30</v>
      </c>
      <c r="P143" t="s">
        <v>31</v>
      </c>
      <c r="Q143">
        <v>1</v>
      </c>
      <c r="R143">
        <v>1</v>
      </c>
      <c r="T143">
        <v>10000</v>
      </c>
      <c r="V143" t="s">
        <v>103</v>
      </c>
      <c r="W143" t="s">
        <v>2328</v>
      </c>
      <c r="X143" t="s">
        <v>61</v>
      </c>
      <c r="Y143" t="s">
        <v>2329</v>
      </c>
    </row>
    <row r="144" spans="1:25" x14ac:dyDescent="0.2">
      <c r="A144" t="s">
        <v>2349</v>
      </c>
      <c r="B144" s="1">
        <f>VALUE(RIGHT(A144,LEN(A144)-3))</f>
        <v>399</v>
      </c>
      <c r="C144" t="s">
        <v>32</v>
      </c>
      <c r="D144" t="s">
        <v>4140</v>
      </c>
      <c r="E144" t="s">
        <v>2353</v>
      </c>
      <c r="F144">
        <v>1</v>
      </c>
      <c r="G144" t="s">
        <v>35</v>
      </c>
      <c r="H144">
        <v>3</v>
      </c>
      <c r="I144" t="s">
        <v>1991</v>
      </c>
      <c r="J144" t="s">
        <v>2350</v>
      </c>
      <c r="K144">
        <v>33</v>
      </c>
      <c r="L144" t="s">
        <v>357</v>
      </c>
      <c r="M144" t="s">
        <v>2351</v>
      </c>
      <c r="N144" t="s">
        <v>43</v>
      </c>
      <c r="O144" t="s">
        <v>30</v>
      </c>
      <c r="P144" t="s">
        <v>31</v>
      </c>
      <c r="Q144">
        <v>1</v>
      </c>
      <c r="R144">
        <v>25</v>
      </c>
      <c r="T144">
        <v>300</v>
      </c>
      <c r="V144" t="s">
        <v>36</v>
      </c>
      <c r="W144" t="s">
        <v>2354</v>
      </c>
      <c r="X144" t="s">
        <v>48</v>
      </c>
      <c r="Y144" t="s">
        <v>2355</v>
      </c>
    </row>
    <row r="145" spans="1:25" x14ac:dyDescent="0.2">
      <c r="A145" t="s">
        <v>2356</v>
      </c>
      <c r="B145" s="1">
        <f>VALUE(RIGHT(A145,LEN(A145)-3))</f>
        <v>400</v>
      </c>
      <c r="C145" t="s">
        <v>32</v>
      </c>
      <c r="D145" t="s">
        <v>4140</v>
      </c>
      <c r="E145" t="s">
        <v>2360</v>
      </c>
      <c r="F145">
        <v>1</v>
      </c>
      <c r="G145" t="s">
        <v>57</v>
      </c>
      <c r="H145">
        <v>3</v>
      </c>
      <c r="I145" t="s">
        <v>2361</v>
      </c>
      <c r="J145" t="s">
        <v>2357</v>
      </c>
      <c r="K145">
        <v>27</v>
      </c>
      <c r="L145" t="s">
        <v>1863</v>
      </c>
      <c r="M145" t="s">
        <v>2358</v>
      </c>
      <c r="N145" t="s">
        <v>29</v>
      </c>
      <c r="O145" t="s">
        <v>30</v>
      </c>
      <c r="P145" t="s">
        <v>31</v>
      </c>
      <c r="Q145">
        <v>2</v>
      </c>
      <c r="R145">
        <v>40</v>
      </c>
      <c r="T145">
        <v>400</v>
      </c>
      <c r="V145" t="s">
        <v>200</v>
      </c>
      <c r="W145" t="s">
        <v>2362</v>
      </c>
      <c r="X145" t="s">
        <v>779</v>
      </c>
      <c r="Y145" t="s">
        <v>2363</v>
      </c>
    </row>
    <row r="146" spans="1:25" x14ac:dyDescent="0.2">
      <c r="A146" t="s">
        <v>2370</v>
      </c>
      <c r="B146" s="1">
        <f>VALUE(RIGHT(A146,LEN(A146)-3))</f>
        <v>402</v>
      </c>
      <c r="C146" t="s">
        <v>32</v>
      </c>
      <c r="D146" t="s">
        <v>4140</v>
      </c>
      <c r="E146" t="s">
        <v>2373</v>
      </c>
      <c r="F146">
        <v>2</v>
      </c>
      <c r="G146" t="s">
        <v>35</v>
      </c>
      <c r="H146">
        <v>3</v>
      </c>
      <c r="I146" t="s">
        <v>327</v>
      </c>
      <c r="J146" t="s">
        <v>2371</v>
      </c>
      <c r="K146">
        <v>31</v>
      </c>
      <c r="L146" t="s">
        <v>27</v>
      </c>
      <c r="M146" t="s">
        <v>461</v>
      </c>
      <c r="N146" t="s">
        <v>54</v>
      </c>
      <c r="O146" t="s">
        <v>30</v>
      </c>
      <c r="P146" t="s">
        <v>31</v>
      </c>
      <c r="R146">
        <v>1</v>
      </c>
      <c r="T146">
        <v>147</v>
      </c>
      <c r="V146" t="s">
        <v>138</v>
      </c>
      <c r="W146" t="s">
        <v>2055</v>
      </c>
      <c r="X146" t="s">
        <v>48</v>
      </c>
      <c r="Y146" t="s">
        <v>2374</v>
      </c>
    </row>
    <row r="147" spans="1:25" x14ac:dyDescent="0.2">
      <c r="A147" t="s">
        <v>2375</v>
      </c>
      <c r="B147" s="1">
        <f>VALUE(RIGHT(A147,LEN(A147)-3))</f>
        <v>403</v>
      </c>
      <c r="C147" t="s">
        <v>32</v>
      </c>
      <c r="D147" t="s">
        <v>4140</v>
      </c>
      <c r="E147" t="s">
        <v>2379</v>
      </c>
      <c r="F147">
        <v>1</v>
      </c>
      <c r="G147" t="s">
        <v>57</v>
      </c>
      <c r="H147">
        <v>3</v>
      </c>
      <c r="I147" t="s">
        <v>2380</v>
      </c>
      <c r="J147" t="s">
        <v>2376</v>
      </c>
      <c r="K147">
        <v>35</v>
      </c>
      <c r="L147" t="s">
        <v>178</v>
      </c>
      <c r="M147" t="s">
        <v>2377</v>
      </c>
      <c r="N147" t="s">
        <v>43</v>
      </c>
      <c r="O147" t="s">
        <v>30</v>
      </c>
      <c r="P147" t="s">
        <v>31</v>
      </c>
      <c r="Q147">
        <v>1</v>
      </c>
      <c r="R147">
        <v>5</v>
      </c>
      <c r="T147">
        <v>60</v>
      </c>
      <c r="V147" t="s">
        <v>200</v>
      </c>
      <c r="W147" t="s">
        <v>1025</v>
      </c>
      <c r="X147" t="s">
        <v>635</v>
      </c>
      <c r="Y147" t="s">
        <v>2381</v>
      </c>
    </row>
    <row r="148" spans="1:25" x14ac:dyDescent="0.2">
      <c r="A148" t="s">
        <v>2382</v>
      </c>
      <c r="B148" s="1">
        <f>VALUE(RIGHT(A148,LEN(A148)-3))</f>
        <v>404</v>
      </c>
      <c r="C148" t="s">
        <v>32</v>
      </c>
      <c r="D148" t="s">
        <v>4140</v>
      </c>
      <c r="E148" t="s">
        <v>2385</v>
      </c>
      <c r="F148">
        <v>1</v>
      </c>
      <c r="G148" t="s">
        <v>35</v>
      </c>
      <c r="H148">
        <v>2</v>
      </c>
      <c r="I148" t="s">
        <v>284</v>
      </c>
      <c r="J148" t="s">
        <v>2383</v>
      </c>
      <c r="K148">
        <v>36</v>
      </c>
      <c r="L148" t="s">
        <v>690</v>
      </c>
      <c r="M148" t="s">
        <v>1612</v>
      </c>
      <c r="N148" t="s">
        <v>43</v>
      </c>
      <c r="O148" t="s">
        <v>30</v>
      </c>
      <c r="P148" t="s">
        <v>31</v>
      </c>
      <c r="Q148">
        <v>1</v>
      </c>
      <c r="R148">
        <v>40</v>
      </c>
      <c r="T148">
        <v>50</v>
      </c>
      <c r="V148" t="s">
        <v>36</v>
      </c>
      <c r="W148" t="s">
        <v>760</v>
      </c>
      <c r="X148" t="s">
        <v>779</v>
      </c>
      <c r="Y148" t="s">
        <v>2386</v>
      </c>
    </row>
    <row r="149" spans="1:25" x14ac:dyDescent="0.2">
      <c r="A149" t="s">
        <v>2399</v>
      </c>
      <c r="B149" s="1">
        <f>VALUE(RIGHT(A149,LEN(A149)-3))</f>
        <v>407</v>
      </c>
      <c r="C149" t="s">
        <v>32</v>
      </c>
      <c r="D149" t="s">
        <v>4140</v>
      </c>
      <c r="E149" t="s">
        <v>2404</v>
      </c>
      <c r="F149">
        <v>1</v>
      </c>
      <c r="G149" t="s">
        <v>57</v>
      </c>
      <c r="H149">
        <v>1</v>
      </c>
      <c r="I149" t="s">
        <v>123</v>
      </c>
      <c r="J149" t="s">
        <v>2400</v>
      </c>
      <c r="K149">
        <v>52</v>
      </c>
      <c r="L149" t="s">
        <v>2401</v>
      </c>
      <c r="M149" t="s">
        <v>2402</v>
      </c>
      <c r="N149" t="s">
        <v>43</v>
      </c>
      <c r="O149" t="s">
        <v>30</v>
      </c>
      <c r="P149" t="s">
        <v>31</v>
      </c>
      <c r="Q149">
        <v>1</v>
      </c>
      <c r="R149">
        <v>10</v>
      </c>
      <c r="T149">
        <v>450</v>
      </c>
      <c r="V149" t="s">
        <v>36</v>
      </c>
      <c r="W149" t="s">
        <v>308</v>
      </c>
      <c r="X149" t="s">
        <v>235</v>
      </c>
      <c r="Y149" t="s">
        <v>2405</v>
      </c>
    </row>
    <row r="150" spans="1:25" x14ac:dyDescent="0.2">
      <c r="A150" t="s">
        <v>2429</v>
      </c>
      <c r="B150" s="1">
        <f>VALUE(RIGHT(A150,LEN(A150)-3))</f>
        <v>412</v>
      </c>
      <c r="C150" t="s">
        <v>32</v>
      </c>
      <c r="D150" t="s">
        <v>4140</v>
      </c>
      <c r="E150" t="s">
        <v>2432</v>
      </c>
      <c r="F150">
        <v>2</v>
      </c>
      <c r="G150" t="s">
        <v>57</v>
      </c>
      <c r="H150">
        <v>2</v>
      </c>
      <c r="I150" t="s">
        <v>123</v>
      </c>
      <c r="J150" t="s">
        <v>2430</v>
      </c>
      <c r="K150">
        <v>55</v>
      </c>
      <c r="L150" t="s">
        <v>217</v>
      </c>
      <c r="M150" t="s">
        <v>100</v>
      </c>
      <c r="N150" t="s">
        <v>43</v>
      </c>
      <c r="O150" t="s">
        <v>30</v>
      </c>
      <c r="P150" t="s">
        <v>31</v>
      </c>
      <c r="Q150">
        <v>2</v>
      </c>
      <c r="R150">
        <v>16</v>
      </c>
      <c r="T150">
        <v>144</v>
      </c>
      <c r="V150" t="s">
        <v>36</v>
      </c>
      <c r="W150" t="s">
        <v>2433</v>
      </c>
      <c r="X150" t="s">
        <v>235</v>
      </c>
      <c r="Y150" t="s">
        <v>2434</v>
      </c>
    </row>
    <row r="151" spans="1:25" x14ac:dyDescent="0.2">
      <c r="A151" t="s">
        <v>2462</v>
      </c>
      <c r="B151" s="1">
        <f>VALUE(RIGHT(A151,LEN(A151)-3))</f>
        <v>418</v>
      </c>
      <c r="C151" t="s">
        <v>32</v>
      </c>
      <c r="D151" t="s">
        <v>4140</v>
      </c>
      <c r="E151" t="s">
        <v>2466</v>
      </c>
      <c r="F151">
        <v>2</v>
      </c>
      <c r="G151" t="s">
        <v>35</v>
      </c>
      <c r="H151">
        <v>2</v>
      </c>
      <c r="I151" t="s">
        <v>267</v>
      </c>
      <c r="J151" t="s">
        <v>2463</v>
      </c>
      <c r="K151">
        <v>44</v>
      </c>
      <c r="L151" t="s">
        <v>440</v>
      </c>
      <c r="M151" t="s">
        <v>2464</v>
      </c>
      <c r="N151" t="s">
        <v>43</v>
      </c>
      <c r="O151" t="s">
        <v>30</v>
      </c>
      <c r="P151" t="s">
        <v>31</v>
      </c>
      <c r="Q151">
        <v>1</v>
      </c>
      <c r="R151">
        <v>100</v>
      </c>
      <c r="V151" t="s">
        <v>59</v>
      </c>
      <c r="W151" t="s">
        <v>2467</v>
      </c>
      <c r="X151" t="s">
        <v>569</v>
      </c>
      <c r="Y151" t="s">
        <v>2468</v>
      </c>
    </row>
    <row r="152" spans="1:25" x14ac:dyDescent="0.2">
      <c r="A152" t="s">
        <v>2481</v>
      </c>
      <c r="B152" s="1">
        <f>VALUE(RIGHT(A152,LEN(A152)-3))</f>
        <v>421</v>
      </c>
      <c r="C152" t="s">
        <v>32</v>
      </c>
      <c r="D152" t="s">
        <v>4140</v>
      </c>
      <c r="E152" t="s">
        <v>2485</v>
      </c>
      <c r="F152">
        <v>1</v>
      </c>
      <c r="G152" t="s">
        <v>57</v>
      </c>
      <c r="H152">
        <v>0</v>
      </c>
      <c r="J152" t="s">
        <v>2482</v>
      </c>
      <c r="K152">
        <v>55</v>
      </c>
      <c r="L152" t="s">
        <v>525</v>
      </c>
      <c r="M152" t="s">
        <v>2483</v>
      </c>
      <c r="N152" t="s">
        <v>43</v>
      </c>
      <c r="O152" t="s">
        <v>30</v>
      </c>
      <c r="P152" t="s">
        <v>31</v>
      </c>
      <c r="Q152">
        <v>25</v>
      </c>
      <c r="V152" t="s">
        <v>36</v>
      </c>
      <c r="W152" t="s">
        <v>308</v>
      </c>
      <c r="X152" t="s">
        <v>48</v>
      </c>
      <c r="Y152" t="s">
        <v>2486</v>
      </c>
    </row>
    <row r="153" spans="1:25" x14ac:dyDescent="0.2">
      <c r="A153" t="s">
        <v>2514</v>
      </c>
      <c r="B153" s="1">
        <f>VALUE(RIGHT(A153,LEN(A153)-3))</f>
        <v>428</v>
      </c>
      <c r="C153" t="s">
        <v>32</v>
      </c>
      <c r="D153" t="s">
        <v>4140</v>
      </c>
      <c r="E153" t="s">
        <v>2518</v>
      </c>
      <c r="F153">
        <v>1</v>
      </c>
      <c r="G153" t="s">
        <v>57</v>
      </c>
      <c r="H153">
        <v>1</v>
      </c>
      <c r="I153" t="s">
        <v>58</v>
      </c>
      <c r="J153" t="s">
        <v>2515</v>
      </c>
      <c r="K153">
        <v>41</v>
      </c>
      <c r="L153" t="s">
        <v>27</v>
      </c>
      <c r="M153" t="s">
        <v>2516</v>
      </c>
      <c r="N153" t="s">
        <v>29</v>
      </c>
      <c r="O153" t="s">
        <v>30</v>
      </c>
      <c r="P153" t="s">
        <v>31</v>
      </c>
      <c r="Q153">
        <v>7</v>
      </c>
      <c r="R153">
        <v>400</v>
      </c>
      <c r="T153">
        <v>400</v>
      </c>
      <c r="V153" t="s">
        <v>200</v>
      </c>
      <c r="W153" t="s">
        <v>2519</v>
      </c>
      <c r="X153" t="s">
        <v>302</v>
      </c>
      <c r="Y153" t="s">
        <v>2520</v>
      </c>
    </row>
    <row r="154" spans="1:25" x14ac:dyDescent="0.2">
      <c r="A154" t="s">
        <v>2525</v>
      </c>
      <c r="B154" s="1">
        <f>VALUE(RIGHT(A154,LEN(A154)-3))</f>
        <v>430</v>
      </c>
      <c r="C154" t="s">
        <v>32</v>
      </c>
      <c r="D154" t="s">
        <v>4140</v>
      </c>
      <c r="E154" t="s">
        <v>2529</v>
      </c>
      <c r="F154">
        <v>1</v>
      </c>
      <c r="G154" t="s">
        <v>57</v>
      </c>
      <c r="H154">
        <v>4</v>
      </c>
      <c r="I154" t="s">
        <v>2530</v>
      </c>
      <c r="J154" t="s">
        <v>2526</v>
      </c>
      <c r="K154">
        <v>33</v>
      </c>
      <c r="L154" t="s">
        <v>402</v>
      </c>
      <c r="M154" t="s">
        <v>2527</v>
      </c>
      <c r="N154" t="s">
        <v>43</v>
      </c>
      <c r="O154" t="s">
        <v>30</v>
      </c>
      <c r="P154" t="s">
        <v>31</v>
      </c>
      <c r="Q154">
        <v>2</v>
      </c>
      <c r="R154">
        <v>50</v>
      </c>
      <c r="T154">
        <v>100</v>
      </c>
      <c r="V154" t="s">
        <v>36</v>
      </c>
      <c r="W154" t="s">
        <v>2531</v>
      </c>
      <c r="X154" t="s">
        <v>48</v>
      </c>
      <c r="Y154" t="s">
        <v>2532</v>
      </c>
    </row>
    <row r="155" spans="1:25" x14ac:dyDescent="0.2">
      <c r="A155" t="s">
        <v>2560</v>
      </c>
      <c r="B155" s="1">
        <f>VALUE(RIGHT(A155,LEN(A155)-3))</f>
        <v>436</v>
      </c>
      <c r="C155" t="s">
        <v>32</v>
      </c>
      <c r="D155" t="s">
        <v>4140</v>
      </c>
      <c r="E155" t="s">
        <v>2563</v>
      </c>
      <c r="F155">
        <v>1</v>
      </c>
      <c r="G155" t="s">
        <v>57</v>
      </c>
      <c r="H155">
        <v>0</v>
      </c>
      <c r="J155" t="s">
        <v>2561</v>
      </c>
      <c r="K155">
        <v>33</v>
      </c>
      <c r="L155" t="s">
        <v>127</v>
      </c>
      <c r="M155" t="s">
        <v>1296</v>
      </c>
      <c r="N155" t="s">
        <v>43</v>
      </c>
      <c r="O155" t="s">
        <v>30</v>
      </c>
      <c r="P155" t="s">
        <v>31</v>
      </c>
      <c r="Q155">
        <v>6</v>
      </c>
      <c r="R155">
        <v>450</v>
      </c>
      <c r="S155">
        <v>5</v>
      </c>
      <c r="T155">
        <v>6000</v>
      </c>
      <c r="V155" t="s">
        <v>36</v>
      </c>
      <c r="W155" t="s">
        <v>2564</v>
      </c>
      <c r="X155" t="s">
        <v>369</v>
      </c>
      <c r="Y155" t="s">
        <v>2565</v>
      </c>
    </row>
    <row r="156" spans="1:25" x14ac:dyDescent="0.2">
      <c r="A156" t="s">
        <v>2583</v>
      </c>
      <c r="B156" s="1">
        <f>VALUE(RIGHT(A156,LEN(A156)-3))</f>
        <v>440</v>
      </c>
      <c r="C156" t="s">
        <v>32</v>
      </c>
      <c r="D156" t="s">
        <v>4140</v>
      </c>
      <c r="E156" t="s">
        <v>2586</v>
      </c>
      <c r="F156">
        <v>1</v>
      </c>
      <c r="G156" t="s">
        <v>35</v>
      </c>
      <c r="H156">
        <v>2</v>
      </c>
      <c r="I156" t="s">
        <v>267</v>
      </c>
      <c r="J156" t="s">
        <v>2584</v>
      </c>
      <c r="K156">
        <v>40</v>
      </c>
      <c r="L156" t="s">
        <v>120</v>
      </c>
      <c r="M156" t="s">
        <v>259</v>
      </c>
      <c r="N156" t="s">
        <v>43</v>
      </c>
      <c r="O156" t="s">
        <v>30</v>
      </c>
      <c r="P156" t="s">
        <v>31</v>
      </c>
      <c r="Q156">
        <v>9</v>
      </c>
      <c r="R156">
        <v>550</v>
      </c>
      <c r="T156">
        <v>600</v>
      </c>
      <c r="V156" t="s">
        <v>103</v>
      </c>
      <c r="W156" t="s">
        <v>234</v>
      </c>
      <c r="X156" t="s">
        <v>753</v>
      </c>
      <c r="Y156" t="s">
        <v>2587</v>
      </c>
    </row>
    <row r="157" spans="1:25" x14ac:dyDescent="0.2">
      <c r="A157" t="s">
        <v>2593</v>
      </c>
      <c r="B157" s="1">
        <f>VALUE(RIGHT(A157,LEN(A157)-3))</f>
        <v>442</v>
      </c>
      <c r="C157" t="s">
        <v>32</v>
      </c>
      <c r="D157" t="s">
        <v>4140</v>
      </c>
      <c r="E157" t="s">
        <v>2597</v>
      </c>
      <c r="F157">
        <v>2</v>
      </c>
      <c r="G157" t="s">
        <v>57</v>
      </c>
      <c r="H157">
        <v>3</v>
      </c>
      <c r="I157" t="s">
        <v>2598</v>
      </c>
      <c r="J157" t="s">
        <v>2594</v>
      </c>
      <c r="K157">
        <v>72</v>
      </c>
      <c r="L157" t="s">
        <v>551</v>
      </c>
      <c r="M157" t="s">
        <v>2595</v>
      </c>
      <c r="N157" t="s">
        <v>43</v>
      </c>
      <c r="O157" t="s">
        <v>30</v>
      </c>
      <c r="P157" t="s">
        <v>31</v>
      </c>
      <c r="Q157">
        <v>1</v>
      </c>
      <c r="R157">
        <v>25</v>
      </c>
      <c r="T157">
        <v>800</v>
      </c>
      <c r="V157" t="s">
        <v>36</v>
      </c>
      <c r="W157" t="s">
        <v>308</v>
      </c>
      <c r="X157" t="s">
        <v>635</v>
      </c>
      <c r="Y157" t="s">
        <v>2599</v>
      </c>
    </row>
    <row r="158" spans="1:25" x14ac:dyDescent="0.2">
      <c r="A158" t="s">
        <v>2600</v>
      </c>
      <c r="B158" s="1">
        <f>VALUE(RIGHT(A158,LEN(A158)-3))</f>
        <v>443</v>
      </c>
      <c r="C158" t="s">
        <v>32</v>
      </c>
      <c r="D158" t="s">
        <v>4140</v>
      </c>
      <c r="E158" t="s">
        <v>2602</v>
      </c>
      <c r="F158">
        <v>1</v>
      </c>
      <c r="G158" t="s">
        <v>57</v>
      </c>
      <c r="H158">
        <v>1</v>
      </c>
      <c r="I158" t="s">
        <v>123</v>
      </c>
      <c r="J158" t="s">
        <v>2601</v>
      </c>
      <c r="K158">
        <v>32</v>
      </c>
      <c r="L158" t="s">
        <v>178</v>
      </c>
      <c r="M158" t="s">
        <v>2377</v>
      </c>
      <c r="N158" t="s">
        <v>83</v>
      </c>
      <c r="O158" t="s">
        <v>30</v>
      </c>
      <c r="P158" t="s">
        <v>31</v>
      </c>
      <c r="Q158">
        <v>1</v>
      </c>
      <c r="R158">
        <v>100</v>
      </c>
      <c r="T158">
        <v>50</v>
      </c>
      <c r="V158" t="s">
        <v>200</v>
      </c>
      <c r="W158" t="s">
        <v>1046</v>
      </c>
      <c r="X158" t="s">
        <v>48</v>
      </c>
      <c r="Y158" t="s">
        <v>2603</v>
      </c>
    </row>
    <row r="159" spans="1:25" x14ac:dyDescent="0.2">
      <c r="A159" t="s">
        <v>2631</v>
      </c>
      <c r="B159" s="1">
        <f>VALUE(RIGHT(A159,LEN(A159)-3))</f>
        <v>449</v>
      </c>
      <c r="C159" t="s">
        <v>32</v>
      </c>
      <c r="D159" t="s">
        <v>4140</v>
      </c>
      <c r="E159" t="s">
        <v>2635</v>
      </c>
      <c r="F159">
        <v>1</v>
      </c>
      <c r="G159" t="s">
        <v>57</v>
      </c>
      <c r="H159">
        <v>1</v>
      </c>
      <c r="I159" t="s">
        <v>123</v>
      </c>
      <c r="J159" t="s">
        <v>2632</v>
      </c>
      <c r="L159" t="s">
        <v>402</v>
      </c>
      <c r="M159" t="s">
        <v>2633</v>
      </c>
      <c r="N159" t="s">
        <v>43</v>
      </c>
      <c r="O159" t="s">
        <v>30</v>
      </c>
      <c r="P159" t="s">
        <v>31</v>
      </c>
      <c r="V159" t="s">
        <v>889</v>
      </c>
      <c r="W159" t="s">
        <v>194</v>
      </c>
      <c r="X159" t="s">
        <v>194</v>
      </c>
      <c r="Y159" t="s">
        <v>2636</v>
      </c>
    </row>
    <row r="160" spans="1:25" x14ac:dyDescent="0.2">
      <c r="A160" t="s">
        <v>2637</v>
      </c>
      <c r="B160" s="1">
        <f>VALUE(RIGHT(A160,LEN(A160)-3))</f>
        <v>450</v>
      </c>
      <c r="C160" t="s">
        <v>32</v>
      </c>
      <c r="D160" t="s">
        <v>4140</v>
      </c>
      <c r="E160" t="s">
        <v>2641</v>
      </c>
      <c r="F160">
        <v>1</v>
      </c>
      <c r="G160" t="s">
        <v>57</v>
      </c>
      <c r="H160">
        <v>1</v>
      </c>
      <c r="I160" t="s">
        <v>68</v>
      </c>
      <c r="J160" t="s">
        <v>2638</v>
      </c>
      <c r="K160">
        <v>33</v>
      </c>
      <c r="L160" t="s">
        <v>1089</v>
      </c>
      <c r="M160" t="s">
        <v>2639</v>
      </c>
      <c r="N160" t="s">
        <v>746</v>
      </c>
      <c r="O160" t="s">
        <v>30</v>
      </c>
      <c r="P160" t="s">
        <v>31</v>
      </c>
      <c r="Q160">
        <v>4</v>
      </c>
      <c r="R160">
        <v>524</v>
      </c>
      <c r="S160">
        <v>85</v>
      </c>
      <c r="T160">
        <v>200</v>
      </c>
      <c r="V160" t="s">
        <v>242</v>
      </c>
      <c r="W160" t="s">
        <v>368</v>
      </c>
      <c r="X160" t="s">
        <v>569</v>
      </c>
      <c r="Y160" t="s">
        <v>2642</v>
      </c>
    </row>
    <row r="161" spans="1:25" x14ac:dyDescent="0.2">
      <c r="A161" t="s">
        <v>2699</v>
      </c>
      <c r="B161" s="1">
        <f>VALUE(RIGHT(A161,LEN(A161)-3))</f>
        <v>461</v>
      </c>
      <c r="C161" t="s">
        <v>32</v>
      </c>
      <c r="D161" t="s">
        <v>4140</v>
      </c>
      <c r="E161" t="s">
        <v>2702</v>
      </c>
      <c r="F161">
        <v>1</v>
      </c>
      <c r="G161" t="s">
        <v>57</v>
      </c>
      <c r="H161">
        <v>0</v>
      </c>
      <c r="J161" t="s">
        <v>2700</v>
      </c>
      <c r="L161" t="s">
        <v>690</v>
      </c>
      <c r="M161" t="s">
        <v>1612</v>
      </c>
      <c r="N161" t="s">
        <v>43</v>
      </c>
      <c r="O161" t="s">
        <v>30</v>
      </c>
      <c r="P161" t="s">
        <v>31</v>
      </c>
      <c r="V161" t="s">
        <v>36</v>
      </c>
      <c r="W161" t="s">
        <v>194</v>
      </c>
      <c r="X161" t="s">
        <v>48</v>
      </c>
      <c r="Y161" t="s">
        <v>2703</v>
      </c>
    </row>
    <row r="162" spans="1:25" x14ac:dyDescent="0.2">
      <c r="A162" t="s">
        <v>2749</v>
      </c>
      <c r="B162" s="1">
        <f>VALUE(RIGHT(A162,LEN(A162)-3))</f>
        <v>471</v>
      </c>
      <c r="C162" t="s">
        <v>32</v>
      </c>
      <c r="D162" t="s">
        <v>4140</v>
      </c>
      <c r="E162" t="s">
        <v>2752</v>
      </c>
      <c r="F162">
        <v>1</v>
      </c>
      <c r="G162" t="s">
        <v>57</v>
      </c>
      <c r="H162">
        <v>1</v>
      </c>
      <c r="I162" t="s">
        <v>58</v>
      </c>
      <c r="J162" t="s">
        <v>2750</v>
      </c>
      <c r="K162">
        <v>37</v>
      </c>
      <c r="L162" t="s">
        <v>690</v>
      </c>
      <c r="M162" t="s">
        <v>1612</v>
      </c>
      <c r="O162" t="s">
        <v>30</v>
      </c>
      <c r="P162" t="s">
        <v>31</v>
      </c>
      <c r="Q162">
        <v>3</v>
      </c>
      <c r="R162">
        <v>400</v>
      </c>
      <c r="T162">
        <v>250</v>
      </c>
      <c r="V162" t="s">
        <v>2753</v>
      </c>
      <c r="W162" t="s">
        <v>2754</v>
      </c>
      <c r="X162" t="s">
        <v>48</v>
      </c>
      <c r="Y162" t="s">
        <v>2755</v>
      </c>
    </row>
    <row r="163" spans="1:25" x14ac:dyDescent="0.2">
      <c r="A163" t="s">
        <v>2756</v>
      </c>
      <c r="B163" s="1">
        <f>VALUE(RIGHT(A163,LEN(A163)-3))</f>
        <v>472</v>
      </c>
      <c r="C163" t="s">
        <v>32</v>
      </c>
      <c r="D163" t="s">
        <v>4140</v>
      </c>
      <c r="E163" t="s">
        <v>2760</v>
      </c>
      <c r="F163">
        <v>1</v>
      </c>
      <c r="G163" t="s">
        <v>57</v>
      </c>
      <c r="H163">
        <v>3</v>
      </c>
      <c r="I163" t="s">
        <v>366</v>
      </c>
      <c r="J163" t="s">
        <v>2757</v>
      </c>
      <c r="K163">
        <v>33</v>
      </c>
      <c r="L163" t="s">
        <v>52</v>
      </c>
      <c r="M163" t="s">
        <v>2758</v>
      </c>
      <c r="N163" t="s">
        <v>54</v>
      </c>
      <c r="O163" t="s">
        <v>30</v>
      </c>
      <c r="P163" t="s">
        <v>31</v>
      </c>
      <c r="Q163">
        <v>1</v>
      </c>
      <c r="R163">
        <v>120</v>
      </c>
      <c r="T163">
        <v>5500</v>
      </c>
      <c r="V163" t="s">
        <v>59</v>
      </c>
      <c r="W163" t="s">
        <v>1757</v>
      </c>
      <c r="X163" t="s">
        <v>235</v>
      </c>
      <c r="Y163" t="s">
        <v>2761</v>
      </c>
    </row>
    <row r="164" spans="1:25" x14ac:dyDescent="0.2">
      <c r="A164" t="s">
        <v>2776</v>
      </c>
      <c r="B164" s="1">
        <f>VALUE(RIGHT(A164,LEN(A164)-3))</f>
        <v>476</v>
      </c>
      <c r="C164" t="s">
        <v>32</v>
      </c>
      <c r="D164" t="s">
        <v>4140</v>
      </c>
      <c r="E164" t="s">
        <v>2779</v>
      </c>
      <c r="F164">
        <v>1</v>
      </c>
      <c r="G164" t="s">
        <v>57</v>
      </c>
      <c r="H164">
        <v>2</v>
      </c>
      <c r="I164" t="s">
        <v>327</v>
      </c>
      <c r="J164" t="s">
        <v>2777</v>
      </c>
      <c r="K164">
        <v>41</v>
      </c>
      <c r="L164" t="s">
        <v>127</v>
      </c>
      <c r="M164" t="s">
        <v>385</v>
      </c>
      <c r="N164" t="s">
        <v>43</v>
      </c>
      <c r="O164" t="s">
        <v>30</v>
      </c>
      <c r="P164" t="s">
        <v>31</v>
      </c>
      <c r="Q164">
        <v>5</v>
      </c>
      <c r="R164">
        <v>100</v>
      </c>
      <c r="V164" t="s">
        <v>36</v>
      </c>
      <c r="W164" t="s">
        <v>308</v>
      </c>
      <c r="X164" t="s">
        <v>48</v>
      </c>
      <c r="Y164" t="s">
        <v>2780</v>
      </c>
    </row>
    <row r="165" spans="1:25" x14ac:dyDescent="0.2">
      <c r="A165" t="s">
        <v>2801</v>
      </c>
      <c r="B165" s="1">
        <f>VALUE(RIGHT(A165,LEN(A165)-3))</f>
        <v>480</v>
      </c>
      <c r="C165" t="s">
        <v>32</v>
      </c>
      <c r="D165" t="s">
        <v>4140</v>
      </c>
      <c r="E165" t="s">
        <v>2805</v>
      </c>
      <c r="F165">
        <v>1</v>
      </c>
      <c r="G165" t="s">
        <v>57</v>
      </c>
      <c r="H165">
        <v>1</v>
      </c>
      <c r="I165" t="s">
        <v>123</v>
      </c>
      <c r="J165" t="s">
        <v>2802</v>
      </c>
      <c r="K165">
        <v>58</v>
      </c>
      <c r="L165" t="s">
        <v>2803</v>
      </c>
      <c r="M165" t="s">
        <v>2678</v>
      </c>
      <c r="N165" t="s">
        <v>43</v>
      </c>
      <c r="O165" t="s">
        <v>30</v>
      </c>
      <c r="P165" t="s">
        <v>31</v>
      </c>
      <c r="Q165">
        <v>1</v>
      </c>
      <c r="R165">
        <v>425</v>
      </c>
      <c r="V165" t="s">
        <v>36</v>
      </c>
      <c r="W165" t="s">
        <v>1012</v>
      </c>
      <c r="X165" t="s">
        <v>613</v>
      </c>
      <c r="Y165" t="s">
        <v>2806</v>
      </c>
    </row>
    <row r="166" spans="1:25" x14ac:dyDescent="0.2">
      <c r="A166" t="s">
        <v>2824</v>
      </c>
      <c r="B166" s="1">
        <f>VALUE(RIGHT(A166,LEN(A166)-3))</f>
        <v>484</v>
      </c>
      <c r="C166" t="s">
        <v>32</v>
      </c>
      <c r="D166" t="s">
        <v>4140</v>
      </c>
      <c r="E166" t="s">
        <v>2827</v>
      </c>
      <c r="F166">
        <v>1</v>
      </c>
      <c r="G166" t="s">
        <v>35</v>
      </c>
      <c r="H166">
        <v>1</v>
      </c>
      <c r="I166" t="s">
        <v>123</v>
      </c>
      <c r="J166" t="s">
        <v>2825</v>
      </c>
      <c r="K166">
        <v>43</v>
      </c>
      <c r="L166" t="s">
        <v>27</v>
      </c>
      <c r="M166" t="s">
        <v>264</v>
      </c>
      <c r="N166" t="s">
        <v>43</v>
      </c>
      <c r="O166" t="s">
        <v>30</v>
      </c>
      <c r="P166" t="s">
        <v>31</v>
      </c>
      <c r="V166" t="s">
        <v>59</v>
      </c>
      <c r="W166" t="s">
        <v>78</v>
      </c>
      <c r="X166" t="s">
        <v>48</v>
      </c>
      <c r="Y166" t="s">
        <v>2828</v>
      </c>
    </row>
    <row r="167" spans="1:25" x14ac:dyDescent="0.2">
      <c r="A167" t="s">
        <v>2873</v>
      </c>
      <c r="B167" s="1">
        <f>VALUE(RIGHT(A167,LEN(A167)-3))</f>
        <v>494</v>
      </c>
      <c r="C167" t="s">
        <v>32</v>
      </c>
      <c r="D167" t="s">
        <v>4140</v>
      </c>
      <c r="E167" t="s">
        <v>2877</v>
      </c>
      <c r="F167">
        <v>1</v>
      </c>
      <c r="G167" t="s">
        <v>57</v>
      </c>
      <c r="H167">
        <v>1</v>
      </c>
      <c r="I167" t="s">
        <v>123</v>
      </c>
      <c r="J167" t="s">
        <v>2874</v>
      </c>
      <c r="K167">
        <v>53</v>
      </c>
      <c r="L167" t="s">
        <v>52</v>
      </c>
      <c r="M167" t="s">
        <v>2875</v>
      </c>
      <c r="N167" t="s">
        <v>83</v>
      </c>
      <c r="O167" t="s">
        <v>30</v>
      </c>
      <c r="P167" t="s">
        <v>31</v>
      </c>
      <c r="Q167">
        <v>1</v>
      </c>
      <c r="R167">
        <v>25</v>
      </c>
      <c r="T167">
        <v>1500</v>
      </c>
      <c r="V167" t="s">
        <v>166</v>
      </c>
      <c r="W167" t="s">
        <v>2571</v>
      </c>
      <c r="X167" t="s">
        <v>48</v>
      </c>
      <c r="Y167" t="s">
        <v>2878</v>
      </c>
    </row>
    <row r="168" spans="1:25" x14ac:dyDescent="0.2">
      <c r="A168" t="s">
        <v>2941</v>
      </c>
      <c r="B168" s="1">
        <f>VALUE(RIGHT(A168,LEN(A168)-3))</f>
        <v>506</v>
      </c>
      <c r="C168" t="s">
        <v>32</v>
      </c>
      <c r="D168" t="s">
        <v>4140</v>
      </c>
      <c r="E168" t="s">
        <v>2945</v>
      </c>
      <c r="F168">
        <v>1</v>
      </c>
      <c r="G168" t="s">
        <v>57</v>
      </c>
      <c r="H168">
        <v>2</v>
      </c>
      <c r="I168" t="s">
        <v>1544</v>
      </c>
      <c r="J168" t="s">
        <v>2942</v>
      </c>
      <c r="K168">
        <v>47</v>
      </c>
      <c r="L168" t="s">
        <v>27</v>
      </c>
      <c r="M168" t="s">
        <v>2943</v>
      </c>
      <c r="N168" t="s">
        <v>43</v>
      </c>
      <c r="O168" t="s">
        <v>30</v>
      </c>
      <c r="P168" t="s">
        <v>31</v>
      </c>
      <c r="Q168">
        <v>25</v>
      </c>
      <c r="V168" t="s">
        <v>36</v>
      </c>
      <c r="W168" t="s">
        <v>308</v>
      </c>
      <c r="X168" t="s">
        <v>61</v>
      </c>
      <c r="Y168" t="s">
        <v>2946</v>
      </c>
    </row>
    <row r="169" spans="1:25" x14ac:dyDescent="0.2">
      <c r="A169" t="s">
        <v>2973</v>
      </c>
      <c r="B169" s="1">
        <f>VALUE(RIGHT(A169,LEN(A169)-3))</f>
        <v>512</v>
      </c>
      <c r="C169" t="s">
        <v>32</v>
      </c>
      <c r="D169" t="s">
        <v>4140</v>
      </c>
      <c r="E169" t="s">
        <v>2977</v>
      </c>
      <c r="F169">
        <v>1</v>
      </c>
      <c r="G169" t="s">
        <v>57</v>
      </c>
      <c r="H169">
        <v>0</v>
      </c>
      <c r="J169" t="s">
        <v>2974</v>
      </c>
      <c r="K169">
        <v>43</v>
      </c>
      <c r="L169" t="s">
        <v>120</v>
      </c>
      <c r="M169" t="s">
        <v>2975</v>
      </c>
      <c r="N169" t="s">
        <v>746</v>
      </c>
      <c r="O169" t="s">
        <v>30</v>
      </c>
      <c r="P169" t="s">
        <v>31</v>
      </c>
      <c r="Q169">
        <v>11</v>
      </c>
      <c r="R169">
        <v>1360</v>
      </c>
      <c r="T169">
        <v>450</v>
      </c>
      <c r="V169" t="s">
        <v>36</v>
      </c>
      <c r="W169" t="s">
        <v>2978</v>
      </c>
      <c r="X169" t="s">
        <v>369</v>
      </c>
      <c r="Y169" t="s">
        <v>2979</v>
      </c>
    </row>
    <row r="170" spans="1:25" x14ac:dyDescent="0.2">
      <c r="A170" t="s">
        <v>2980</v>
      </c>
      <c r="B170" s="1">
        <f>VALUE(RIGHT(A170,LEN(A170)-3))</f>
        <v>513</v>
      </c>
      <c r="C170" t="s">
        <v>32</v>
      </c>
      <c r="D170" t="s">
        <v>4140</v>
      </c>
      <c r="E170" t="s">
        <v>2983</v>
      </c>
      <c r="F170">
        <v>2</v>
      </c>
      <c r="G170" t="s">
        <v>94</v>
      </c>
      <c r="H170">
        <v>6</v>
      </c>
      <c r="I170" t="s">
        <v>2542</v>
      </c>
      <c r="J170" t="s">
        <v>2981</v>
      </c>
      <c r="K170">
        <v>19</v>
      </c>
      <c r="L170" t="s">
        <v>27</v>
      </c>
      <c r="M170" t="s">
        <v>65</v>
      </c>
      <c r="N170" t="s">
        <v>29</v>
      </c>
      <c r="O170" t="s">
        <v>30</v>
      </c>
      <c r="P170" t="s">
        <v>31</v>
      </c>
      <c r="Q170">
        <v>1</v>
      </c>
      <c r="R170">
        <v>59</v>
      </c>
      <c r="T170">
        <v>12</v>
      </c>
      <c r="V170" t="s">
        <v>889</v>
      </c>
      <c r="W170" t="s">
        <v>1407</v>
      </c>
      <c r="X170" t="s">
        <v>235</v>
      </c>
      <c r="Y170" t="s">
        <v>2984</v>
      </c>
    </row>
    <row r="171" spans="1:25" x14ac:dyDescent="0.2">
      <c r="A171" t="s">
        <v>3013</v>
      </c>
      <c r="B171" s="1">
        <f>VALUE(RIGHT(A171,LEN(A171)-3))</f>
        <v>520</v>
      </c>
      <c r="C171" t="s">
        <v>32</v>
      </c>
      <c r="D171" t="s">
        <v>4140</v>
      </c>
      <c r="E171" t="s">
        <v>3016</v>
      </c>
      <c r="F171">
        <v>1</v>
      </c>
      <c r="G171" t="s">
        <v>57</v>
      </c>
      <c r="H171">
        <v>0</v>
      </c>
      <c r="J171" t="s">
        <v>3014</v>
      </c>
      <c r="K171">
        <v>44</v>
      </c>
      <c r="L171" t="s">
        <v>178</v>
      </c>
      <c r="M171" t="s">
        <v>623</v>
      </c>
      <c r="N171" t="s">
        <v>746</v>
      </c>
      <c r="O171" t="s">
        <v>30</v>
      </c>
      <c r="P171" t="s">
        <v>31</v>
      </c>
      <c r="Q171">
        <v>8</v>
      </c>
      <c r="R171">
        <v>400</v>
      </c>
      <c r="T171">
        <v>1000</v>
      </c>
      <c r="V171" t="s">
        <v>103</v>
      </c>
      <c r="W171" t="s">
        <v>1407</v>
      </c>
      <c r="X171" t="s">
        <v>194</v>
      </c>
      <c r="Y171" t="s">
        <v>3017</v>
      </c>
    </row>
    <row r="172" spans="1:25" x14ac:dyDescent="0.2">
      <c r="A172" t="s">
        <v>3065</v>
      </c>
      <c r="B172" s="1">
        <f>VALUE(RIGHT(A172,LEN(A172)-3))</f>
        <v>529</v>
      </c>
      <c r="C172" t="s">
        <v>32</v>
      </c>
      <c r="D172" t="s">
        <v>4140</v>
      </c>
      <c r="E172" t="s">
        <v>3068</v>
      </c>
      <c r="F172">
        <v>2</v>
      </c>
      <c r="G172" t="s">
        <v>94</v>
      </c>
      <c r="H172">
        <v>4</v>
      </c>
      <c r="I172" t="s">
        <v>3069</v>
      </c>
      <c r="J172" t="s">
        <v>3066</v>
      </c>
      <c r="K172">
        <v>34</v>
      </c>
      <c r="L172" t="s">
        <v>1601</v>
      </c>
      <c r="M172" t="s">
        <v>259</v>
      </c>
      <c r="N172" t="s">
        <v>43</v>
      </c>
      <c r="O172" t="s">
        <v>30</v>
      </c>
      <c r="P172" t="s">
        <v>31</v>
      </c>
      <c r="Q172">
        <v>2</v>
      </c>
      <c r="R172">
        <v>150</v>
      </c>
      <c r="V172" t="s">
        <v>36</v>
      </c>
      <c r="W172" t="s">
        <v>3070</v>
      </c>
      <c r="X172" t="s">
        <v>302</v>
      </c>
      <c r="Y172" t="s">
        <v>3071</v>
      </c>
    </row>
    <row r="173" spans="1:25" x14ac:dyDescent="0.2">
      <c r="A173" t="s">
        <v>3076</v>
      </c>
      <c r="B173" s="1">
        <f>VALUE(RIGHT(A173,LEN(A173)-3))</f>
        <v>531</v>
      </c>
      <c r="C173" t="s">
        <v>32</v>
      </c>
      <c r="D173" t="s">
        <v>4140</v>
      </c>
      <c r="E173" t="s">
        <v>3079</v>
      </c>
      <c r="F173">
        <v>1</v>
      </c>
      <c r="G173" t="s">
        <v>57</v>
      </c>
      <c r="H173">
        <v>0</v>
      </c>
      <c r="J173" t="s">
        <v>3077</v>
      </c>
      <c r="K173">
        <v>33</v>
      </c>
      <c r="L173" t="s">
        <v>690</v>
      </c>
      <c r="M173" t="s">
        <v>3078</v>
      </c>
      <c r="N173" t="s">
        <v>43</v>
      </c>
      <c r="O173" t="s">
        <v>30</v>
      </c>
      <c r="P173" t="s">
        <v>31</v>
      </c>
      <c r="V173" t="s">
        <v>36</v>
      </c>
      <c r="W173" t="s">
        <v>3080</v>
      </c>
      <c r="X173" t="s">
        <v>48</v>
      </c>
      <c r="Y173" t="s">
        <v>3081</v>
      </c>
    </row>
    <row r="174" spans="1:25" x14ac:dyDescent="0.2">
      <c r="A174" t="s">
        <v>3092</v>
      </c>
      <c r="B174" s="1">
        <f>VALUE(RIGHT(A174,LEN(A174)-3))</f>
        <v>534</v>
      </c>
      <c r="C174" t="s">
        <v>32</v>
      </c>
      <c r="D174" t="s">
        <v>4140</v>
      </c>
      <c r="E174" t="s">
        <v>3095</v>
      </c>
      <c r="F174">
        <v>1</v>
      </c>
      <c r="G174" t="s">
        <v>35</v>
      </c>
      <c r="H174">
        <v>3</v>
      </c>
      <c r="I174" t="s">
        <v>907</v>
      </c>
      <c r="J174" t="s">
        <v>3093</v>
      </c>
      <c r="K174">
        <v>28</v>
      </c>
      <c r="L174" t="s">
        <v>217</v>
      </c>
      <c r="M174" t="s">
        <v>259</v>
      </c>
      <c r="N174" t="s">
        <v>83</v>
      </c>
      <c r="O174" t="s">
        <v>30</v>
      </c>
      <c r="P174" t="s">
        <v>31</v>
      </c>
      <c r="Q174">
        <v>3</v>
      </c>
      <c r="R174">
        <v>300</v>
      </c>
      <c r="V174" t="s">
        <v>59</v>
      </c>
      <c r="W174" t="s">
        <v>3096</v>
      </c>
      <c r="X174" t="s">
        <v>48</v>
      </c>
      <c r="Y174" t="s">
        <v>3097</v>
      </c>
    </row>
    <row r="175" spans="1:25" x14ac:dyDescent="0.2">
      <c r="A175" t="s">
        <v>600</v>
      </c>
      <c r="B175" s="1">
        <f>VALUE(RIGHT(A175,LEN(A175)-3))</f>
        <v>86</v>
      </c>
      <c r="C175" t="s">
        <v>32</v>
      </c>
      <c r="D175" t="s">
        <v>4140</v>
      </c>
      <c r="E175" t="s">
        <v>605</v>
      </c>
      <c r="F175">
        <v>1</v>
      </c>
      <c r="G175" t="s">
        <v>57</v>
      </c>
      <c r="H175">
        <v>0</v>
      </c>
      <c r="J175" t="s">
        <v>601</v>
      </c>
      <c r="L175" t="s">
        <v>120</v>
      </c>
      <c r="M175" t="s">
        <v>113</v>
      </c>
      <c r="N175" t="s">
        <v>43</v>
      </c>
      <c r="O175" t="s">
        <v>602</v>
      </c>
      <c r="P175" t="s">
        <v>603</v>
      </c>
      <c r="R175">
        <v>800</v>
      </c>
      <c r="V175" t="s">
        <v>103</v>
      </c>
      <c r="W175" t="s">
        <v>606</v>
      </c>
      <c r="X175" t="s">
        <v>61</v>
      </c>
      <c r="Y175" t="s">
        <v>607</v>
      </c>
    </row>
    <row r="176" spans="1:25" x14ac:dyDescent="0.2">
      <c r="A176" t="s">
        <v>643</v>
      </c>
      <c r="B176" s="1">
        <f>VALUE(RIGHT(A176,LEN(A176)-3))</f>
        <v>92</v>
      </c>
      <c r="C176" t="s">
        <v>32</v>
      </c>
      <c r="D176" t="s">
        <v>4140</v>
      </c>
      <c r="E176" t="s">
        <v>646</v>
      </c>
      <c r="F176">
        <v>1</v>
      </c>
      <c r="G176" t="s">
        <v>57</v>
      </c>
      <c r="H176">
        <v>1</v>
      </c>
      <c r="I176" t="s">
        <v>291</v>
      </c>
      <c r="J176" t="s">
        <v>644</v>
      </c>
      <c r="L176" t="s">
        <v>120</v>
      </c>
      <c r="M176" t="s">
        <v>288</v>
      </c>
      <c r="N176" t="s">
        <v>43</v>
      </c>
      <c r="O176" t="s">
        <v>602</v>
      </c>
      <c r="P176" t="s">
        <v>603</v>
      </c>
      <c r="V176" t="s">
        <v>173</v>
      </c>
      <c r="W176" t="s">
        <v>647</v>
      </c>
      <c r="X176" t="s">
        <v>61</v>
      </c>
      <c r="Y176" t="s">
        <v>648</v>
      </c>
    </row>
    <row r="177" spans="1:25" x14ac:dyDescent="0.2">
      <c r="A177" t="s">
        <v>677</v>
      </c>
      <c r="B177" s="1">
        <f>VALUE(RIGHT(A177,LEN(A177)-3))</f>
        <v>99</v>
      </c>
      <c r="C177" t="s">
        <v>32</v>
      </c>
      <c r="D177" t="s">
        <v>4140</v>
      </c>
      <c r="E177" t="s">
        <v>680</v>
      </c>
      <c r="F177">
        <v>1</v>
      </c>
      <c r="G177" t="s">
        <v>130</v>
      </c>
      <c r="H177">
        <v>0</v>
      </c>
      <c r="J177" t="s">
        <v>678</v>
      </c>
      <c r="L177" t="s">
        <v>120</v>
      </c>
      <c r="M177" t="s">
        <v>100</v>
      </c>
      <c r="N177" t="s">
        <v>43</v>
      </c>
      <c r="O177" t="s">
        <v>602</v>
      </c>
      <c r="P177" t="s">
        <v>603</v>
      </c>
      <c r="V177" t="s">
        <v>242</v>
      </c>
      <c r="W177" t="s">
        <v>681</v>
      </c>
      <c r="X177" t="s">
        <v>61</v>
      </c>
      <c r="Y177" t="s">
        <v>682</v>
      </c>
    </row>
    <row r="178" spans="1:25" x14ac:dyDescent="0.2">
      <c r="A178" t="s">
        <v>897</v>
      </c>
      <c r="B178" s="1">
        <f>VALUE(RIGHT(A178,LEN(A178)-3))</f>
        <v>137</v>
      </c>
      <c r="C178" t="s">
        <v>32</v>
      </c>
      <c r="D178" t="s">
        <v>4140</v>
      </c>
      <c r="E178" t="s">
        <v>900</v>
      </c>
      <c r="F178">
        <v>1</v>
      </c>
      <c r="G178" t="s">
        <v>57</v>
      </c>
      <c r="H178">
        <v>0</v>
      </c>
      <c r="J178" t="s">
        <v>898</v>
      </c>
      <c r="L178" t="s">
        <v>899</v>
      </c>
      <c r="M178" t="s">
        <v>259</v>
      </c>
      <c r="N178" t="s">
        <v>43</v>
      </c>
      <c r="O178" t="s">
        <v>602</v>
      </c>
      <c r="P178" t="s">
        <v>603</v>
      </c>
      <c r="V178" t="s">
        <v>36</v>
      </c>
      <c r="W178" t="s">
        <v>901</v>
      </c>
      <c r="X178" t="s">
        <v>61</v>
      </c>
      <c r="Y178" t="s">
        <v>902</v>
      </c>
    </row>
    <row r="179" spans="1:25" x14ac:dyDescent="0.2">
      <c r="A179" t="s">
        <v>930</v>
      </c>
      <c r="B179" s="1">
        <f>VALUE(RIGHT(A179,LEN(A179)-3))</f>
        <v>142</v>
      </c>
      <c r="C179" t="s">
        <v>32</v>
      </c>
      <c r="D179" t="s">
        <v>4140</v>
      </c>
      <c r="E179" t="s">
        <v>933</v>
      </c>
      <c r="F179">
        <v>1</v>
      </c>
      <c r="G179" t="s">
        <v>35</v>
      </c>
      <c r="H179">
        <v>1</v>
      </c>
      <c r="I179" t="s">
        <v>123</v>
      </c>
      <c r="J179" t="s">
        <v>931</v>
      </c>
      <c r="L179" t="s">
        <v>217</v>
      </c>
      <c r="M179" t="s">
        <v>259</v>
      </c>
      <c r="N179" t="s">
        <v>43</v>
      </c>
      <c r="O179" t="s">
        <v>602</v>
      </c>
      <c r="P179" t="s">
        <v>603</v>
      </c>
      <c r="Q179">
        <v>5</v>
      </c>
      <c r="R179">
        <v>250</v>
      </c>
      <c r="T179">
        <v>2000</v>
      </c>
      <c r="V179" t="s">
        <v>242</v>
      </c>
      <c r="W179" t="s">
        <v>934</v>
      </c>
      <c r="X179" t="s">
        <v>61</v>
      </c>
      <c r="Y179" t="s">
        <v>935</v>
      </c>
    </row>
    <row r="180" spans="1:25" x14ac:dyDescent="0.2">
      <c r="A180" t="s">
        <v>1076</v>
      </c>
      <c r="B180" s="1">
        <f>VALUE(RIGHT(A180,LEN(A180)-3))</f>
        <v>168</v>
      </c>
      <c r="C180" t="s">
        <v>32</v>
      </c>
      <c r="D180" t="s">
        <v>4140</v>
      </c>
      <c r="E180" t="s">
        <v>1079</v>
      </c>
      <c r="F180">
        <v>1</v>
      </c>
      <c r="G180" t="s">
        <v>130</v>
      </c>
      <c r="H180">
        <v>0</v>
      </c>
      <c r="J180" t="s">
        <v>1077</v>
      </c>
      <c r="L180" t="s">
        <v>112</v>
      </c>
      <c r="M180" t="s">
        <v>496</v>
      </c>
      <c r="N180" t="s">
        <v>43</v>
      </c>
      <c r="O180" t="s">
        <v>602</v>
      </c>
      <c r="P180" t="s">
        <v>603</v>
      </c>
      <c r="V180" t="s">
        <v>242</v>
      </c>
      <c r="W180" t="s">
        <v>1080</v>
      </c>
      <c r="X180" t="s">
        <v>1081</v>
      </c>
      <c r="Y180" t="s">
        <v>1082</v>
      </c>
    </row>
    <row r="181" spans="1:25" x14ac:dyDescent="0.2">
      <c r="A181" t="s">
        <v>1095</v>
      </c>
      <c r="B181" s="1">
        <f>VALUE(RIGHT(A181,LEN(A181)-3))</f>
        <v>171</v>
      </c>
      <c r="C181" t="s">
        <v>32</v>
      </c>
      <c r="D181" t="s">
        <v>4140</v>
      </c>
      <c r="E181" t="s">
        <v>1099</v>
      </c>
      <c r="F181">
        <v>1</v>
      </c>
      <c r="G181" t="s">
        <v>35</v>
      </c>
      <c r="H181">
        <v>0</v>
      </c>
      <c r="J181" t="s">
        <v>1096</v>
      </c>
      <c r="L181" t="s">
        <v>27</v>
      </c>
      <c r="M181" t="s">
        <v>1097</v>
      </c>
      <c r="N181" t="s">
        <v>43</v>
      </c>
      <c r="O181" t="s">
        <v>602</v>
      </c>
      <c r="P181" t="s">
        <v>603</v>
      </c>
      <c r="V181" t="s">
        <v>59</v>
      </c>
      <c r="W181" t="s">
        <v>78</v>
      </c>
      <c r="X181" t="s">
        <v>182</v>
      </c>
      <c r="Y181" t="s">
        <v>1100</v>
      </c>
    </row>
    <row r="182" spans="1:25" x14ac:dyDescent="0.2">
      <c r="A182" t="s">
        <v>1129</v>
      </c>
      <c r="B182" s="1">
        <f>VALUE(RIGHT(A182,LEN(A182)-3))</f>
        <v>177</v>
      </c>
      <c r="C182" t="s">
        <v>32</v>
      </c>
      <c r="D182" t="s">
        <v>4140</v>
      </c>
      <c r="E182" t="s">
        <v>1133</v>
      </c>
      <c r="F182">
        <v>1</v>
      </c>
      <c r="G182" t="s">
        <v>57</v>
      </c>
      <c r="H182">
        <v>1</v>
      </c>
      <c r="I182" t="s">
        <v>123</v>
      </c>
      <c r="J182" t="s">
        <v>1130</v>
      </c>
      <c r="L182" t="s">
        <v>1131</v>
      </c>
      <c r="M182" t="s">
        <v>259</v>
      </c>
      <c r="N182" t="s">
        <v>43</v>
      </c>
      <c r="O182" t="s">
        <v>602</v>
      </c>
      <c r="P182" t="s">
        <v>603</v>
      </c>
      <c r="V182" t="s">
        <v>242</v>
      </c>
      <c r="W182" t="s">
        <v>360</v>
      </c>
      <c r="X182" t="s">
        <v>61</v>
      </c>
      <c r="Y182" t="s">
        <v>1134</v>
      </c>
    </row>
    <row r="183" spans="1:25" x14ac:dyDescent="0.2">
      <c r="A183" t="s">
        <v>1159</v>
      </c>
      <c r="B183" s="1">
        <f>VALUE(RIGHT(A183,LEN(A183)-3))</f>
        <v>182</v>
      </c>
      <c r="C183" t="s">
        <v>32</v>
      </c>
      <c r="D183" t="s">
        <v>4140</v>
      </c>
      <c r="E183" t="s">
        <v>1160</v>
      </c>
      <c r="F183">
        <v>1</v>
      </c>
      <c r="G183" t="s">
        <v>57</v>
      </c>
      <c r="H183">
        <v>0</v>
      </c>
      <c r="J183" t="s">
        <v>1153</v>
      </c>
      <c r="L183" t="s">
        <v>690</v>
      </c>
      <c r="M183" t="s">
        <v>745</v>
      </c>
      <c r="N183" t="s">
        <v>43</v>
      </c>
      <c r="O183" t="s">
        <v>602</v>
      </c>
      <c r="P183" t="s">
        <v>603</v>
      </c>
      <c r="V183" t="s">
        <v>103</v>
      </c>
      <c r="W183" t="s">
        <v>314</v>
      </c>
      <c r="X183" t="s">
        <v>61</v>
      </c>
      <c r="Y183" t="s">
        <v>1161</v>
      </c>
    </row>
    <row r="184" spans="1:25" x14ac:dyDescent="0.2">
      <c r="A184" t="s">
        <v>1216</v>
      </c>
      <c r="B184" s="1">
        <f>VALUE(RIGHT(A184,LEN(A184)-3))</f>
        <v>192</v>
      </c>
      <c r="C184" t="s">
        <v>32</v>
      </c>
      <c r="D184" t="s">
        <v>4140</v>
      </c>
      <c r="E184" t="s">
        <v>1219</v>
      </c>
      <c r="F184">
        <v>1</v>
      </c>
      <c r="G184" t="s">
        <v>130</v>
      </c>
      <c r="H184">
        <v>0</v>
      </c>
      <c r="J184" t="s">
        <v>1217</v>
      </c>
      <c r="L184" t="s">
        <v>99</v>
      </c>
      <c r="M184" t="s">
        <v>288</v>
      </c>
      <c r="N184" t="s">
        <v>43</v>
      </c>
      <c r="O184" t="s">
        <v>602</v>
      </c>
      <c r="P184" t="s">
        <v>603</v>
      </c>
      <c r="V184" t="s">
        <v>200</v>
      </c>
      <c r="W184" t="s">
        <v>201</v>
      </c>
      <c r="X184" t="s">
        <v>61</v>
      </c>
      <c r="Y184" t="s">
        <v>1220</v>
      </c>
    </row>
    <row r="185" spans="1:25" x14ac:dyDescent="0.2">
      <c r="A185" t="s">
        <v>1444</v>
      </c>
      <c r="B185" s="1">
        <f>VALUE(RIGHT(A185,LEN(A185)-3))</f>
        <v>234</v>
      </c>
      <c r="C185" t="s">
        <v>32</v>
      </c>
      <c r="D185" t="s">
        <v>4140</v>
      </c>
      <c r="E185" t="s">
        <v>1447</v>
      </c>
      <c r="F185">
        <v>1</v>
      </c>
      <c r="G185" t="s">
        <v>57</v>
      </c>
      <c r="H185">
        <v>0</v>
      </c>
      <c r="J185" t="s">
        <v>1445</v>
      </c>
      <c r="L185" t="s">
        <v>178</v>
      </c>
      <c r="M185" t="s">
        <v>300</v>
      </c>
      <c r="N185" t="s">
        <v>43</v>
      </c>
      <c r="O185" t="s">
        <v>602</v>
      </c>
      <c r="P185" t="s">
        <v>603</v>
      </c>
      <c r="V185" t="s">
        <v>103</v>
      </c>
      <c r="W185" t="s">
        <v>851</v>
      </c>
      <c r="X185" t="s">
        <v>48</v>
      </c>
      <c r="Y185" t="s">
        <v>1448</v>
      </c>
    </row>
    <row r="186" spans="1:25" x14ac:dyDescent="0.2">
      <c r="A186" t="s">
        <v>1455</v>
      </c>
      <c r="B186" s="1">
        <f>VALUE(RIGHT(A186,LEN(A186)-3))</f>
        <v>236</v>
      </c>
      <c r="C186" t="s">
        <v>32</v>
      </c>
      <c r="D186" t="s">
        <v>4140</v>
      </c>
      <c r="E186" t="s">
        <v>1458</v>
      </c>
      <c r="F186">
        <v>2</v>
      </c>
      <c r="G186" t="s">
        <v>94</v>
      </c>
      <c r="H186">
        <v>2</v>
      </c>
      <c r="I186" t="s">
        <v>568</v>
      </c>
      <c r="J186" t="s">
        <v>1456</v>
      </c>
      <c r="L186" t="s">
        <v>357</v>
      </c>
      <c r="M186" t="s">
        <v>385</v>
      </c>
      <c r="N186" t="s">
        <v>43</v>
      </c>
      <c r="O186" t="s">
        <v>602</v>
      </c>
      <c r="P186" t="s">
        <v>603</v>
      </c>
      <c r="R186">
        <v>70</v>
      </c>
      <c r="V186" t="s">
        <v>36</v>
      </c>
      <c r="W186" t="s">
        <v>1459</v>
      </c>
      <c r="X186" t="s">
        <v>376</v>
      </c>
      <c r="Y186" t="s">
        <v>1460</v>
      </c>
    </row>
    <row r="187" spans="1:25" x14ac:dyDescent="0.2">
      <c r="A187" t="s">
        <v>1525</v>
      </c>
      <c r="B187" s="1">
        <f>VALUE(RIGHT(A187,LEN(A187)-3))</f>
        <v>249</v>
      </c>
      <c r="C187" t="s">
        <v>32</v>
      </c>
      <c r="D187" t="s">
        <v>4140</v>
      </c>
      <c r="E187" t="s">
        <v>1528</v>
      </c>
      <c r="F187">
        <v>1</v>
      </c>
      <c r="G187" t="s">
        <v>57</v>
      </c>
      <c r="H187">
        <v>0</v>
      </c>
      <c r="J187" t="s">
        <v>1526</v>
      </c>
      <c r="L187" t="s">
        <v>150</v>
      </c>
      <c r="M187" t="s">
        <v>385</v>
      </c>
      <c r="N187" t="s">
        <v>43</v>
      </c>
      <c r="O187" t="s">
        <v>602</v>
      </c>
      <c r="P187" t="s">
        <v>603</v>
      </c>
      <c r="V187" t="s">
        <v>173</v>
      </c>
      <c r="W187" t="s">
        <v>1529</v>
      </c>
      <c r="X187" t="s">
        <v>61</v>
      </c>
      <c r="Y187" t="s">
        <v>1530</v>
      </c>
    </row>
    <row r="188" spans="1:25" x14ac:dyDescent="0.2">
      <c r="A188" t="s">
        <v>1546</v>
      </c>
      <c r="B188" s="1">
        <f>VALUE(RIGHT(A188,LEN(A188)-3))</f>
        <v>253</v>
      </c>
      <c r="C188" t="s">
        <v>32</v>
      </c>
      <c r="D188" t="s">
        <v>4140</v>
      </c>
      <c r="E188" t="s">
        <v>1548</v>
      </c>
      <c r="F188">
        <v>1</v>
      </c>
      <c r="G188" t="s">
        <v>57</v>
      </c>
      <c r="H188">
        <v>0</v>
      </c>
      <c r="J188" t="s">
        <v>1547</v>
      </c>
      <c r="L188" t="s">
        <v>150</v>
      </c>
      <c r="M188" t="s">
        <v>259</v>
      </c>
      <c r="N188" t="s">
        <v>43</v>
      </c>
      <c r="O188" t="s">
        <v>602</v>
      </c>
      <c r="P188" t="s">
        <v>603</v>
      </c>
      <c r="R188">
        <v>250</v>
      </c>
      <c r="T188">
        <v>700</v>
      </c>
      <c r="V188" t="s">
        <v>173</v>
      </c>
      <c r="W188" t="s">
        <v>1407</v>
      </c>
      <c r="X188" t="s">
        <v>61</v>
      </c>
      <c r="Y188" t="s">
        <v>1549</v>
      </c>
    </row>
    <row r="189" spans="1:25" x14ac:dyDescent="0.2">
      <c r="A189" t="s">
        <v>1555</v>
      </c>
      <c r="B189" s="1">
        <f>VALUE(RIGHT(A189,LEN(A189)-3))</f>
        <v>255</v>
      </c>
      <c r="C189" t="s">
        <v>32</v>
      </c>
      <c r="D189" t="s">
        <v>4140</v>
      </c>
      <c r="E189" t="s">
        <v>1557</v>
      </c>
      <c r="F189">
        <v>1</v>
      </c>
      <c r="G189" t="s">
        <v>57</v>
      </c>
      <c r="H189">
        <v>1</v>
      </c>
      <c r="I189" t="s">
        <v>68</v>
      </c>
      <c r="J189" t="s">
        <v>1556</v>
      </c>
      <c r="L189" t="s">
        <v>217</v>
      </c>
      <c r="M189" t="s">
        <v>385</v>
      </c>
      <c r="N189" t="s">
        <v>43</v>
      </c>
      <c r="O189" t="s">
        <v>602</v>
      </c>
      <c r="P189" t="s">
        <v>603</v>
      </c>
      <c r="V189" t="s">
        <v>173</v>
      </c>
      <c r="W189" t="s">
        <v>314</v>
      </c>
      <c r="X189" t="s">
        <v>613</v>
      </c>
      <c r="Y189" t="s">
        <v>1558</v>
      </c>
    </row>
    <row r="190" spans="1:25" x14ac:dyDescent="0.2">
      <c r="A190" t="s">
        <v>1699</v>
      </c>
      <c r="B190" s="1">
        <f>VALUE(RIGHT(A190,LEN(A190)-3))</f>
        <v>283</v>
      </c>
      <c r="C190" t="s">
        <v>32</v>
      </c>
      <c r="D190" t="s">
        <v>4140</v>
      </c>
      <c r="E190" t="s">
        <v>1703</v>
      </c>
      <c r="F190">
        <v>1</v>
      </c>
      <c r="G190" t="s">
        <v>57</v>
      </c>
      <c r="H190">
        <v>2</v>
      </c>
      <c r="I190" t="s">
        <v>1704</v>
      </c>
      <c r="J190" t="s">
        <v>1700</v>
      </c>
      <c r="K190">
        <v>33</v>
      </c>
      <c r="L190" t="s">
        <v>338</v>
      </c>
      <c r="M190" t="s">
        <v>259</v>
      </c>
      <c r="N190" t="s">
        <v>43</v>
      </c>
      <c r="O190" t="s">
        <v>602</v>
      </c>
      <c r="P190" t="s">
        <v>1701</v>
      </c>
      <c r="V190" t="s">
        <v>173</v>
      </c>
      <c r="W190" t="s">
        <v>1407</v>
      </c>
      <c r="X190" t="s">
        <v>182</v>
      </c>
      <c r="Y190" t="s">
        <v>1705</v>
      </c>
    </row>
    <row r="191" spans="1:25" x14ac:dyDescent="0.2">
      <c r="A191" t="s">
        <v>1764</v>
      </c>
      <c r="B191" s="1">
        <f>VALUE(RIGHT(A191,LEN(A191)-3))</f>
        <v>294</v>
      </c>
      <c r="C191" t="s">
        <v>32</v>
      </c>
      <c r="D191" t="s">
        <v>4140</v>
      </c>
      <c r="E191" t="s">
        <v>1768</v>
      </c>
      <c r="F191">
        <v>1</v>
      </c>
      <c r="G191" t="s">
        <v>130</v>
      </c>
      <c r="H191">
        <v>0</v>
      </c>
      <c r="J191" t="s">
        <v>1765</v>
      </c>
      <c r="K191">
        <v>30</v>
      </c>
      <c r="L191" t="s">
        <v>27</v>
      </c>
      <c r="M191" t="s">
        <v>502</v>
      </c>
      <c r="N191" t="s">
        <v>43</v>
      </c>
      <c r="O191" t="s">
        <v>602</v>
      </c>
      <c r="P191" t="s">
        <v>1766</v>
      </c>
      <c r="V191" t="s">
        <v>242</v>
      </c>
      <c r="W191" t="s">
        <v>934</v>
      </c>
      <c r="X191" t="s">
        <v>61</v>
      </c>
      <c r="Y191" t="s">
        <v>1769</v>
      </c>
    </row>
    <row r="192" spans="1:25" x14ac:dyDescent="0.2">
      <c r="A192" t="s">
        <v>1774</v>
      </c>
      <c r="B192" s="1">
        <f>VALUE(RIGHT(A192,LEN(A192)-3))</f>
        <v>296</v>
      </c>
      <c r="C192" t="s">
        <v>32</v>
      </c>
      <c r="D192" t="s">
        <v>4140</v>
      </c>
      <c r="E192" t="s">
        <v>1777</v>
      </c>
      <c r="F192">
        <v>1</v>
      </c>
      <c r="G192" t="s">
        <v>57</v>
      </c>
      <c r="H192">
        <v>0</v>
      </c>
      <c r="J192" t="s">
        <v>1775</v>
      </c>
      <c r="K192">
        <v>35</v>
      </c>
      <c r="L192" t="s">
        <v>27</v>
      </c>
      <c r="M192" t="s">
        <v>1110</v>
      </c>
      <c r="N192" t="s">
        <v>43</v>
      </c>
      <c r="O192" t="s">
        <v>602</v>
      </c>
      <c r="P192" t="s">
        <v>1701</v>
      </c>
      <c r="V192" t="s">
        <v>242</v>
      </c>
      <c r="W192" t="s">
        <v>934</v>
      </c>
      <c r="X192" t="s">
        <v>61</v>
      </c>
      <c r="Y192" t="s">
        <v>1778</v>
      </c>
    </row>
    <row r="193" spans="1:25" x14ac:dyDescent="0.2">
      <c r="A193" t="s">
        <v>1779</v>
      </c>
      <c r="B193" s="1">
        <f>VALUE(RIGHT(A193,LEN(A193)-3))</f>
        <v>297</v>
      </c>
      <c r="C193" t="s">
        <v>32</v>
      </c>
      <c r="D193" t="s">
        <v>4140</v>
      </c>
      <c r="E193" t="s">
        <v>1782</v>
      </c>
      <c r="F193">
        <v>1</v>
      </c>
      <c r="G193" t="s">
        <v>57</v>
      </c>
      <c r="H193">
        <v>1</v>
      </c>
      <c r="I193" t="s">
        <v>68</v>
      </c>
      <c r="J193" t="s">
        <v>1775</v>
      </c>
      <c r="K193">
        <v>38</v>
      </c>
      <c r="L193" t="s">
        <v>178</v>
      </c>
      <c r="M193" t="s">
        <v>496</v>
      </c>
      <c r="N193" t="s">
        <v>43</v>
      </c>
      <c r="O193" t="s">
        <v>4154</v>
      </c>
      <c r="P193" t="s">
        <v>1780</v>
      </c>
      <c r="V193" t="s">
        <v>103</v>
      </c>
      <c r="W193" t="s">
        <v>104</v>
      </c>
      <c r="X193" t="s">
        <v>753</v>
      </c>
      <c r="Y193" t="s">
        <v>1783</v>
      </c>
    </row>
    <row r="194" spans="1:25" x14ac:dyDescent="0.2">
      <c r="A194" t="s">
        <v>1789</v>
      </c>
      <c r="B194" s="1">
        <f>VALUE(RIGHT(A194,LEN(A194)-3))</f>
        <v>299</v>
      </c>
      <c r="C194" t="s">
        <v>32</v>
      </c>
      <c r="D194" t="s">
        <v>4140</v>
      </c>
      <c r="E194" t="s">
        <v>1792</v>
      </c>
      <c r="F194">
        <v>2</v>
      </c>
      <c r="G194" t="s">
        <v>94</v>
      </c>
      <c r="H194">
        <v>2</v>
      </c>
      <c r="I194" t="s">
        <v>291</v>
      </c>
      <c r="J194" t="s">
        <v>1785</v>
      </c>
      <c r="K194">
        <v>27</v>
      </c>
      <c r="L194" t="s">
        <v>120</v>
      </c>
      <c r="M194" t="s">
        <v>1790</v>
      </c>
      <c r="N194" t="s">
        <v>43</v>
      </c>
      <c r="O194" t="s">
        <v>602</v>
      </c>
      <c r="P194" t="s">
        <v>1701</v>
      </c>
      <c r="R194">
        <v>400</v>
      </c>
      <c r="V194" t="s">
        <v>242</v>
      </c>
      <c r="W194" t="s">
        <v>786</v>
      </c>
      <c r="X194" t="s">
        <v>61</v>
      </c>
      <c r="Y194" t="s">
        <v>1793</v>
      </c>
    </row>
    <row r="195" spans="1:25" x14ac:dyDescent="0.2">
      <c r="A195" t="s">
        <v>1794</v>
      </c>
      <c r="B195" s="1">
        <f>VALUE(RIGHT(A195,LEN(A195)-3))</f>
        <v>300</v>
      </c>
      <c r="C195" t="s">
        <v>32</v>
      </c>
      <c r="D195" t="s">
        <v>4140</v>
      </c>
      <c r="E195" t="s">
        <v>1797</v>
      </c>
      <c r="F195">
        <v>1</v>
      </c>
      <c r="G195" t="s">
        <v>35</v>
      </c>
      <c r="H195">
        <v>0</v>
      </c>
      <c r="J195" t="s">
        <v>1785</v>
      </c>
      <c r="K195">
        <v>32</v>
      </c>
      <c r="L195" t="s">
        <v>178</v>
      </c>
      <c r="M195" t="s">
        <v>1110</v>
      </c>
      <c r="N195" t="s">
        <v>43</v>
      </c>
      <c r="O195" t="s">
        <v>4154</v>
      </c>
      <c r="P195" t="s">
        <v>1795</v>
      </c>
      <c r="V195" t="s">
        <v>242</v>
      </c>
      <c r="W195" t="s">
        <v>555</v>
      </c>
      <c r="X195" t="s">
        <v>48</v>
      </c>
      <c r="Y195" t="s">
        <v>1798</v>
      </c>
    </row>
    <row r="196" spans="1:25" x14ac:dyDescent="0.2">
      <c r="A196" t="s">
        <v>1805</v>
      </c>
      <c r="B196" s="1">
        <f>VALUE(RIGHT(A196,LEN(A196)-3))</f>
        <v>302</v>
      </c>
      <c r="C196" t="s">
        <v>32</v>
      </c>
      <c r="D196" t="s">
        <v>4140</v>
      </c>
      <c r="E196" t="s">
        <v>1806</v>
      </c>
      <c r="F196">
        <v>1</v>
      </c>
      <c r="G196" t="s">
        <v>57</v>
      </c>
      <c r="H196">
        <v>1</v>
      </c>
      <c r="I196" t="s">
        <v>68</v>
      </c>
      <c r="J196" t="s">
        <v>1800</v>
      </c>
      <c r="K196">
        <v>49</v>
      </c>
      <c r="L196" t="s">
        <v>27</v>
      </c>
      <c r="M196" t="s">
        <v>259</v>
      </c>
      <c r="N196" t="s">
        <v>43</v>
      </c>
      <c r="O196" t="s">
        <v>602</v>
      </c>
      <c r="P196" t="s">
        <v>603</v>
      </c>
      <c r="V196" t="s">
        <v>103</v>
      </c>
      <c r="W196" t="s">
        <v>845</v>
      </c>
      <c r="X196" t="s">
        <v>445</v>
      </c>
      <c r="Y196" t="s">
        <v>1807</v>
      </c>
    </row>
    <row r="197" spans="1:25" x14ac:dyDescent="0.2">
      <c r="A197" t="s">
        <v>1921</v>
      </c>
      <c r="B197" s="1">
        <f>VALUE(RIGHT(A197,LEN(A197)-3))</f>
        <v>324</v>
      </c>
      <c r="C197" t="s">
        <v>32</v>
      </c>
      <c r="D197" t="s">
        <v>4140</v>
      </c>
      <c r="E197" t="s">
        <v>1924</v>
      </c>
      <c r="F197">
        <v>1</v>
      </c>
      <c r="G197" t="s">
        <v>57</v>
      </c>
      <c r="H197">
        <v>1</v>
      </c>
      <c r="I197" t="s">
        <v>123</v>
      </c>
      <c r="J197" t="s">
        <v>1922</v>
      </c>
      <c r="K197">
        <v>25</v>
      </c>
      <c r="L197" t="s">
        <v>258</v>
      </c>
      <c r="M197" t="s">
        <v>259</v>
      </c>
      <c r="N197" t="s">
        <v>43</v>
      </c>
      <c r="O197" t="s">
        <v>602</v>
      </c>
      <c r="P197" t="s">
        <v>603</v>
      </c>
      <c r="Q197">
        <v>1</v>
      </c>
      <c r="R197">
        <v>25</v>
      </c>
      <c r="V197" t="s">
        <v>200</v>
      </c>
      <c r="W197" t="s">
        <v>1046</v>
      </c>
      <c r="X197" t="s">
        <v>61</v>
      </c>
      <c r="Y197" t="s">
        <v>1925</v>
      </c>
    </row>
    <row r="198" spans="1:25" x14ac:dyDescent="0.2">
      <c r="A198" t="s">
        <v>1932</v>
      </c>
      <c r="B198" s="1">
        <f>VALUE(RIGHT(A198,LEN(A198)-3))</f>
        <v>326</v>
      </c>
      <c r="C198" t="s">
        <v>32</v>
      </c>
      <c r="D198" t="s">
        <v>4140</v>
      </c>
      <c r="E198" t="s">
        <v>1935</v>
      </c>
      <c r="F198">
        <v>1</v>
      </c>
      <c r="G198" t="s">
        <v>57</v>
      </c>
      <c r="H198">
        <v>1</v>
      </c>
      <c r="I198" t="s">
        <v>68</v>
      </c>
      <c r="J198" t="s">
        <v>1933</v>
      </c>
      <c r="K198">
        <v>28</v>
      </c>
      <c r="L198" t="s">
        <v>357</v>
      </c>
      <c r="M198" t="s">
        <v>259</v>
      </c>
      <c r="N198" t="s">
        <v>43</v>
      </c>
      <c r="O198" t="s">
        <v>4154</v>
      </c>
      <c r="P198" t="s">
        <v>1934</v>
      </c>
      <c r="Q198">
        <v>8</v>
      </c>
      <c r="R198">
        <v>380</v>
      </c>
      <c r="S198">
        <v>40</v>
      </c>
      <c r="T198">
        <v>300</v>
      </c>
      <c r="V198" t="s">
        <v>103</v>
      </c>
      <c r="W198" t="s">
        <v>1936</v>
      </c>
      <c r="X198" t="s">
        <v>182</v>
      </c>
      <c r="Y198" t="s">
        <v>1937</v>
      </c>
    </row>
    <row r="199" spans="1:25" x14ac:dyDescent="0.2">
      <c r="A199" t="s">
        <v>1993</v>
      </c>
      <c r="B199" s="1">
        <f>VALUE(RIGHT(A199,LEN(A199)-3))</f>
        <v>337</v>
      </c>
      <c r="C199" t="s">
        <v>32</v>
      </c>
      <c r="D199" t="s">
        <v>4140</v>
      </c>
      <c r="E199" t="s">
        <v>1997</v>
      </c>
      <c r="F199">
        <v>1</v>
      </c>
      <c r="G199" t="s">
        <v>57</v>
      </c>
      <c r="H199">
        <v>2</v>
      </c>
      <c r="I199" t="s">
        <v>592</v>
      </c>
      <c r="J199" t="s">
        <v>1994</v>
      </c>
      <c r="K199">
        <v>50</v>
      </c>
      <c r="L199" t="s">
        <v>551</v>
      </c>
      <c r="M199" t="s">
        <v>385</v>
      </c>
      <c r="N199" t="s">
        <v>43</v>
      </c>
      <c r="O199" t="s">
        <v>4154</v>
      </c>
      <c r="P199" t="s">
        <v>1995</v>
      </c>
      <c r="Q199">
        <v>2</v>
      </c>
      <c r="R199">
        <v>143</v>
      </c>
      <c r="T199">
        <v>150</v>
      </c>
      <c r="V199" t="s">
        <v>367</v>
      </c>
      <c r="W199" t="s">
        <v>1998</v>
      </c>
      <c r="X199" t="s">
        <v>48</v>
      </c>
      <c r="Y199" t="s">
        <v>1999</v>
      </c>
    </row>
    <row r="200" spans="1:25" x14ac:dyDescent="0.2">
      <c r="A200" t="s">
        <v>2007</v>
      </c>
      <c r="B200" s="1">
        <f>VALUE(RIGHT(A200,LEN(A200)-3))</f>
        <v>339</v>
      </c>
      <c r="C200" t="s">
        <v>32</v>
      </c>
      <c r="D200" t="s">
        <v>4140</v>
      </c>
      <c r="E200" t="s">
        <v>2011</v>
      </c>
      <c r="F200">
        <v>1</v>
      </c>
      <c r="G200" t="s">
        <v>57</v>
      </c>
      <c r="H200">
        <v>0</v>
      </c>
      <c r="J200" t="s">
        <v>2008</v>
      </c>
      <c r="K200">
        <v>27</v>
      </c>
      <c r="L200" t="s">
        <v>178</v>
      </c>
      <c r="M200" t="s">
        <v>2009</v>
      </c>
      <c r="N200" t="s">
        <v>43</v>
      </c>
      <c r="O200" t="s">
        <v>602</v>
      </c>
      <c r="P200" t="s">
        <v>1701</v>
      </c>
      <c r="Q200">
        <v>3</v>
      </c>
      <c r="R200">
        <v>400</v>
      </c>
      <c r="T200">
        <v>250</v>
      </c>
      <c r="V200" t="s">
        <v>103</v>
      </c>
      <c r="W200" t="s">
        <v>432</v>
      </c>
      <c r="X200" t="s">
        <v>48</v>
      </c>
      <c r="Y200" t="s">
        <v>2012</v>
      </c>
    </row>
    <row r="201" spans="1:25" x14ac:dyDescent="0.2">
      <c r="A201" t="s">
        <v>2013</v>
      </c>
      <c r="B201" s="1">
        <f>VALUE(RIGHT(A201,LEN(A201)-3))</f>
        <v>340</v>
      </c>
      <c r="C201" t="s">
        <v>32</v>
      </c>
      <c r="D201" t="s">
        <v>4140</v>
      </c>
      <c r="E201" t="s">
        <v>2016</v>
      </c>
      <c r="F201">
        <v>1</v>
      </c>
      <c r="G201" t="s">
        <v>57</v>
      </c>
      <c r="H201">
        <v>2</v>
      </c>
      <c r="I201" t="s">
        <v>592</v>
      </c>
      <c r="J201" t="s">
        <v>2014</v>
      </c>
      <c r="K201">
        <v>27</v>
      </c>
      <c r="L201" t="s">
        <v>99</v>
      </c>
      <c r="M201" t="s">
        <v>502</v>
      </c>
      <c r="N201" t="s">
        <v>43</v>
      </c>
      <c r="O201" t="s">
        <v>602</v>
      </c>
      <c r="P201" t="s">
        <v>603</v>
      </c>
      <c r="Q201">
        <v>2</v>
      </c>
      <c r="R201">
        <v>70</v>
      </c>
      <c r="T201">
        <v>2000</v>
      </c>
      <c r="V201" t="s">
        <v>173</v>
      </c>
      <c r="W201" t="s">
        <v>2017</v>
      </c>
      <c r="X201" t="s">
        <v>48</v>
      </c>
      <c r="Y201" t="s">
        <v>2018</v>
      </c>
    </row>
    <row r="202" spans="1:25" x14ac:dyDescent="0.2">
      <c r="A202" t="s">
        <v>2024</v>
      </c>
      <c r="B202" s="1">
        <f>VALUE(RIGHT(A202,LEN(A202)-3))</f>
        <v>342</v>
      </c>
      <c r="C202" t="s">
        <v>32</v>
      </c>
      <c r="D202" t="s">
        <v>4140</v>
      </c>
      <c r="E202" t="s">
        <v>2026</v>
      </c>
      <c r="F202">
        <v>2</v>
      </c>
      <c r="G202" t="s">
        <v>57</v>
      </c>
      <c r="H202">
        <v>2</v>
      </c>
      <c r="I202" t="s">
        <v>1991</v>
      </c>
      <c r="J202" t="s">
        <v>2025</v>
      </c>
      <c r="K202">
        <v>46</v>
      </c>
      <c r="L202" t="s">
        <v>440</v>
      </c>
      <c r="M202" t="s">
        <v>288</v>
      </c>
      <c r="N202" t="s">
        <v>43</v>
      </c>
      <c r="O202" t="s">
        <v>602</v>
      </c>
      <c r="P202" t="s">
        <v>1701</v>
      </c>
      <c r="Q202">
        <v>1</v>
      </c>
      <c r="R202">
        <v>19</v>
      </c>
      <c r="V202" t="s">
        <v>173</v>
      </c>
      <c r="W202" t="s">
        <v>2027</v>
      </c>
      <c r="X202" t="s">
        <v>182</v>
      </c>
      <c r="Y202" t="s">
        <v>2028</v>
      </c>
    </row>
    <row r="203" spans="1:25" x14ac:dyDescent="0.2">
      <c r="A203" t="s">
        <v>2074</v>
      </c>
      <c r="B203" s="1">
        <f>VALUE(RIGHT(A203,LEN(A203)-3))</f>
        <v>352</v>
      </c>
      <c r="C203" t="s">
        <v>32</v>
      </c>
      <c r="D203" t="s">
        <v>4140</v>
      </c>
      <c r="E203" t="s">
        <v>2077</v>
      </c>
      <c r="F203">
        <v>1</v>
      </c>
      <c r="G203" t="s">
        <v>57</v>
      </c>
      <c r="H203">
        <v>1</v>
      </c>
      <c r="I203" t="s">
        <v>58</v>
      </c>
      <c r="J203" t="s">
        <v>2075</v>
      </c>
      <c r="K203">
        <v>44</v>
      </c>
      <c r="L203" t="s">
        <v>52</v>
      </c>
      <c r="M203" t="s">
        <v>259</v>
      </c>
      <c r="N203" t="s">
        <v>43</v>
      </c>
      <c r="O203" t="s">
        <v>602</v>
      </c>
      <c r="P203" t="s">
        <v>1701</v>
      </c>
      <c r="Q203">
        <v>2</v>
      </c>
      <c r="R203">
        <v>185</v>
      </c>
      <c r="T203">
        <v>250</v>
      </c>
      <c r="V203" t="s">
        <v>242</v>
      </c>
      <c r="W203" t="s">
        <v>2078</v>
      </c>
      <c r="X203" t="s">
        <v>61</v>
      </c>
      <c r="Y203" t="s">
        <v>2079</v>
      </c>
    </row>
    <row r="204" spans="1:25" x14ac:dyDescent="0.2">
      <c r="A204" t="s">
        <v>2084</v>
      </c>
      <c r="B204" s="1">
        <f>VALUE(RIGHT(A204,LEN(A204)-3))</f>
        <v>354</v>
      </c>
      <c r="C204" t="s">
        <v>32</v>
      </c>
      <c r="D204" t="s">
        <v>4140</v>
      </c>
      <c r="E204" t="s">
        <v>2087</v>
      </c>
      <c r="F204">
        <v>1</v>
      </c>
      <c r="G204" t="s">
        <v>57</v>
      </c>
      <c r="H204">
        <v>0</v>
      </c>
      <c r="J204" t="s">
        <v>2085</v>
      </c>
      <c r="K204">
        <v>33</v>
      </c>
      <c r="L204" t="s">
        <v>120</v>
      </c>
      <c r="M204" t="s">
        <v>1514</v>
      </c>
      <c r="N204" t="s">
        <v>43</v>
      </c>
      <c r="O204" t="s">
        <v>4154</v>
      </c>
      <c r="P204" t="s">
        <v>2086</v>
      </c>
      <c r="Q204">
        <v>5</v>
      </c>
      <c r="T204">
        <v>350</v>
      </c>
      <c r="V204" t="s">
        <v>242</v>
      </c>
      <c r="W204" t="s">
        <v>681</v>
      </c>
      <c r="X204" t="s">
        <v>61</v>
      </c>
      <c r="Y204" t="s">
        <v>2088</v>
      </c>
    </row>
    <row r="205" spans="1:25" x14ac:dyDescent="0.2">
      <c r="A205" t="s">
        <v>2095</v>
      </c>
      <c r="B205" s="1">
        <f>VALUE(RIGHT(A205,LEN(A205)-3))</f>
        <v>356</v>
      </c>
      <c r="C205" t="s">
        <v>32</v>
      </c>
      <c r="D205" t="s">
        <v>4140</v>
      </c>
      <c r="E205" t="s">
        <v>2099</v>
      </c>
      <c r="F205">
        <v>1</v>
      </c>
      <c r="G205" t="s">
        <v>130</v>
      </c>
      <c r="H205">
        <v>0</v>
      </c>
      <c r="J205" t="s">
        <v>2096</v>
      </c>
      <c r="K205">
        <v>36</v>
      </c>
      <c r="L205" t="s">
        <v>551</v>
      </c>
      <c r="M205" t="s">
        <v>697</v>
      </c>
      <c r="N205" t="s">
        <v>43</v>
      </c>
      <c r="O205" t="s">
        <v>602</v>
      </c>
      <c r="P205" t="s">
        <v>2097</v>
      </c>
      <c r="Q205">
        <v>1</v>
      </c>
      <c r="R205">
        <v>100</v>
      </c>
      <c r="T205">
        <v>1500</v>
      </c>
      <c r="V205" t="s">
        <v>103</v>
      </c>
      <c r="W205" t="s">
        <v>347</v>
      </c>
      <c r="X205" t="s">
        <v>883</v>
      </c>
      <c r="Y205" t="s">
        <v>2100</v>
      </c>
    </row>
    <row r="206" spans="1:25" x14ac:dyDescent="0.2">
      <c r="A206" t="s">
        <v>2139</v>
      </c>
      <c r="B206" s="1">
        <f>VALUE(RIGHT(A206,LEN(A206)-3))</f>
        <v>364</v>
      </c>
      <c r="C206" t="s">
        <v>32</v>
      </c>
      <c r="D206" t="s">
        <v>4140</v>
      </c>
      <c r="E206" t="s">
        <v>2143</v>
      </c>
      <c r="F206">
        <v>2</v>
      </c>
      <c r="G206" t="s">
        <v>94</v>
      </c>
      <c r="H206">
        <v>3</v>
      </c>
      <c r="I206" t="s">
        <v>146</v>
      </c>
      <c r="J206" t="s">
        <v>2140</v>
      </c>
      <c r="K206">
        <v>30</v>
      </c>
      <c r="L206" t="s">
        <v>357</v>
      </c>
      <c r="M206" t="s">
        <v>259</v>
      </c>
      <c r="N206" t="s">
        <v>43</v>
      </c>
      <c r="O206" t="s">
        <v>602</v>
      </c>
      <c r="P206" t="s">
        <v>2141</v>
      </c>
      <c r="Q206">
        <v>1</v>
      </c>
      <c r="R206">
        <v>75</v>
      </c>
      <c r="S206">
        <v>5</v>
      </c>
      <c r="T206">
        <v>380</v>
      </c>
      <c r="V206" t="s">
        <v>173</v>
      </c>
      <c r="W206" t="s">
        <v>174</v>
      </c>
      <c r="X206" t="s">
        <v>779</v>
      </c>
      <c r="Y206" t="s">
        <v>2144</v>
      </c>
    </row>
    <row r="207" spans="1:25" x14ac:dyDescent="0.2">
      <c r="A207" t="s">
        <v>2177</v>
      </c>
      <c r="B207" s="1">
        <f>VALUE(RIGHT(A207,LEN(A207)-3))</f>
        <v>371</v>
      </c>
      <c r="C207" t="s">
        <v>32</v>
      </c>
      <c r="D207" t="s">
        <v>4140</v>
      </c>
      <c r="E207" t="s">
        <v>2181</v>
      </c>
      <c r="F207">
        <v>2</v>
      </c>
      <c r="G207" t="s">
        <v>1562</v>
      </c>
      <c r="H207">
        <v>2</v>
      </c>
      <c r="I207" t="s">
        <v>444</v>
      </c>
      <c r="J207" t="s">
        <v>2178</v>
      </c>
      <c r="K207">
        <v>35</v>
      </c>
      <c r="L207" t="s">
        <v>27</v>
      </c>
      <c r="M207" t="s">
        <v>2179</v>
      </c>
      <c r="N207" t="s">
        <v>43</v>
      </c>
      <c r="O207" t="s">
        <v>602</v>
      </c>
      <c r="P207" t="s">
        <v>2141</v>
      </c>
      <c r="Q207">
        <v>1</v>
      </c>
      <c r="R207">
        <v>90</v>
      </c>
      <c r="T207">
        <v>352</v>
      </c>
      <c r="V207" t="s">
        <v>242</v>
      </c>
      <c r="W207" t="s">
        <v>2182</v>
      </c>
      <c r="X207" t="s">
        <v>779</v>
      </c>
      <c r="Y207" t="s">
        <v>2183</v>
      </c>
    </row>
    <row r="208" spans="1:25" x14ac:dyDescent="0.2">
      <c r="A208" t="s">
        <v>2184</v>
      </c>
      <c r="B208" s="1">
        <f>VALUE(RIGHT(A208,LEN(A208)-3))</f>
        <v>372</v>
      </c>
      <c r="C208" t="s">
        <v>32</v>
      </c>
      <c r="D208" t="s">
        <v>4140</v>
      </c>
      <c r="E208" t="s">
        <v>2188</v>
      </c>
      <c r="F208">
        <v>1</v>
      </c>
      <c r="G208" t="s">
        <v>57</v>
      </c>
      <c r="H208">
        <v>1</v>
      </c>
      <c r="I208" t="s">
        <v>58</v>
      </c>
      <c r="J208" t="s">
        <v>2185</v>
      </c>
      <c r="K208">
        <v>51</v>
      </c>
      <c r="L208" t="s">
        <v>27</v>
      </c>
      <c r="M208" t="s">
        <v>259</v>
      </c>
      <c r="N208" t="s">
        <v>43</v>
      </c>
      <c r="O208" t="s">
        <v>4154</v>
      </c>
      <c r="P208" t="s">
        <v>2186</v>
      </c>
      <c r="Q208">
        <v>8</v>
      </c>
      <c r="R208">
        <v>140</v>
      </c>
      <c r="T208">
        <v>300</v>
      </c>
      <c r="V208" t="s">
        <v>367</v>
      </c>
      <c r="W208" t="s">
        <v>857</v>
      </c>
      <c r="X208" t="s">
        <v>61</v>
      </c>
      <c r="Y208" t="s">
        <v>2189</v>
      </c>
    </row>
    <row r="209" spans="1:25" x14ac:dyDescent="0.2">
      <c r="A209" t="s">
        <v>2218</v>
      </c>
      <c r="B209" s="1">
        <f>VALUE(RIGHT(A209,LEN(A209)-3))</f>
        <v>378</v>
      </c>
      <c r="C209" t="s">
        <v>32</v>
      </c>
      <c r="D209" t="s">
        <v>4140</v>
      </c>
      <c r="E209" t="s">
        <v>2221</v>
      </c>
      <c r="F209">
        <v>1</v>
      </c>
      <c r="G209" t="s">
        <v>35</v>
      </c>
      <c r="H209">
        <v>1</v>
      </c>
      <c r="I209" t="s">
        <v>123</v>
      </c>
      <c r="J209" t="s">
        <v>2219</v>
      </c>
      <c r="K209">
        <v>53</v>
      </c>
      <c r="L209" t="s">
        <v>178</v>
      </c>
      <c r="M209" t="s">
        <v>1050</v>
      </c>
      <c r="N209" t="s">
        <v>43</v>
      </c>
      <c r="O209" t="s">
        <v>4154</v>
      </c>
      <c r="P209" t="s">
        <v>1995</v>
      </c>
      <c r="Q209">
        <v>20</v>
      </c>
      <c r="V209" t="s">
        <v>173</v>
      </c>
      <c r="W209" t="s">
        <v>2222</v>
      </c>
      <c r="X209" t="s">
        <v>61</v>
      </c>
      <c r="Y209" t="s">
        <v>2223</v>
      </c>
    </row>
    <row r="210" spans="1:25" x14ac:dyDescent="0.2">
      <c r="A210" t="s">
        <v>2281</v>
      </c>
      <c r="B210" s="1">
        <f>VALUE(RIGHT(A210,LEN(A210)-3))</f>
        <v>388</v>
      </c>
      <c r="C210" t="s">
        <v>32</v>
      </c>
      <c r="D210" t="s">
        <v>4140</v>
      </c>
      <c r="E210" t="s">
        <v>2284</v>
      </c>
      <c r="F210">
        <v>1</v>
      </c>
      <c r="G210" t="s">
        <v>57</v>
      </c>
      <c r="H210">
        <v>2</v>
      </c>
      <c r="I210" t="s">
        <v>2285</v>
      </c>
      <c r="J210" t="s">
        <v>2282</v>
      </c>
      <c r="K210">
        <v>64</v>
      </c>
      <c r="L210" t="s">
        <v>150</v>
      </c>
      <c r="M210" t="s">
        <v>385</v>
      </c>
      <c r="N210" t="s">
        <v>43</v>
      </c>
      <c r="O210" t="s">
        <v>602</v>
      </c>
      <c r="P210" t="s">
        <v>2141</v>
      </c>
      <c r="Q210">
        <v>1</v>
      </c>
      <c r="R210">
        <v>60</v>
      </c>
      <c r="T210">
        <v>1700</v>
      </c>
      <c r="V210" t="s">
        <v>200</v>
      </c>
      <c r="W210" t="s">
        <v>2286</v>
      </c>
      <c r="X210" t="s">
        <v>2287</v>
      </c>
      <c r="Y210" t="s">
        <v>2288</v>
      </c>
    </row>
    <row r="211" spans="1:25" x14ac:dyDescent="0.2">
      <c r="A211" t="s">
        <v>2330</v>
      </c>
      <c r="B211" s="1">
        <f>VALUE(RIGHT(A211,LEN(A211)-3))</f>
        <v>396</v>
      </c>
      <c r="C211" t="s">
        <v>32</v>
      </c>
      <c r="D211" t="s">
        <v>4140</v>
      </c>
      <c r="E211" t="s">
        <v>2333</v>
      </c>
      <c r="F211">
        <v>1</v>
      </c>
      <c r="G211" t="s">
        <v>57</v>
      </c>
      <c r="H211">
        <v>3</v>
      </c>
      <c r="I211" t="s">
        <v>1213</v>
      </c>
      <c r="J211" t="s">
        <v>2325</v>
      </c>
      <c r="K211">
        <v>35</v>
      </c>
      <c r="L211" t="s">
        <v>1753</v>
      </c>
      <c r="M211" t="s">
        <v>1790</v>
      </c>
      <c r="N211" t="s">
        <v>43</v>
      </c>
      <c r="O211" t="s">
        <v>4154</v>
      </c>
      <c r="P211" t="s">
        <v>2331</v>
      </c>
      <c r="Q211">
        <v>4</v>
      </c>
      <c r="R211">
        <v>130</v>
      </c>
      <c r="T211">
        <v>550</v>
      </c>
      <c r="V211" t="s">
        <v>242</v>
      </c>
      <c r="W211" t="s">
        <v>104</v>
      </c>
      <c r="X211" t="s">
        <v>61</v>
      </c>
      <c r="Y211" t="s">
        <v>2334</v>
      </c>
    </row>
    <row r="212" spans="1:25" x14ac:dyDescent="0.2">
      <c r="A212" t="s">
        <v>2442</v>
      </c>
      <c r="B212" s="1">
        <f>VALUE(RIGHT(A212,LEN(A212)-3))</f>
        <v>414</v>
      </c>
      <c r="C212" t="s">
        <v>32</v>
      </c>
      <c r="D212" t="s">
        <v>4140</v>
      </c>
      <c r="E212" t="s">
        <v>2445</v>
      </c>
      <c r="F212">
        <v>1</v>
      </c>
      <c r="G212" t="s">
        <v>57</v>
      </c>
      <c r="H212">
        <v>0</v>
      </c>
      <c r="J212" t="s">
        <v>2443</v>
      </c>
      <c r="K212">
        <v>32</v>
      </c>
      <c r="L212" t="s">
        <v>27</v>
      </c>
      <c r="M212" t="s">
        <v>1097</v>
      </c>
      <c r="N212" t="s">
        <v>43</v>
      </c>
      <c r="O212" t="s">
        <v>602</v>
      </c>
      <c r="P212" t="s">
        <v>2444</v>
      </c>
      <c r="Q212">
        <v>8</v>
      </c>
      <c r="R212">
        <v>500</v>
      </c>
      <c r="V212" t="s">
        <v>173</v>
      </c>
      <c r="W212" t="s">
        <v>174</v>
      </c>
      <c r="X212" t="s">
        <v>48</v>
      </c>
      <c r="Y212" t="s">
        <v>2446</v>
      </c>
    </row>
    <row r="213" spans="1:25" x14ac:dyDescent="0.2">
      <c r="A213" t="s">
        <v>2447</v>
      </c>
      <c r="B213" s="1">
        <f>VALUE(RIGHT(A213,LEN(A213)-3))</f>
        <v>415</v>
      </c>
      <c r="C213" t="s">
        <v>32</v>
      </c>
      <c r="D213" t="s">
        <v>4140</v>
      </c>
      <c r="E213" t="s">
        <v>2449</v>
      </c>
      <c r="F213">
        <v>1</v>
      </c>
      <c r="G213" t="s">
        <v>57</v>
      </c>
      <c r="H213">
        <v>1</v>
      </c>
      <c r="I213" t="s">
        <v>68</v>
      </c>
      <c r="J213" t="s">
        <v>2448</v>
      </c>
      <c r="K213">
        <v>50</v>
      </c>
      <c r="L213" t="s">
        <v>120</v>
      </c>
      <c r="M213" t="s">
        <v>1271</v>
      </c>
      <c r="N213" t="s">
        <v>43</v>
      </c>
      <c r="O213" t="s">
        <v>4154</v>
      </c>
      <c r="P213" t="s">
        <v>2331</v>
      </c>
      <c r="Q213">
        <v>5</v>
      </c>
      <c r="R213">
        <v>550</v>
      </c>
      <c r="T213">
        <v>800</v>
      </c>
      <c r="V213" t="s">
        <v>103</v>
      </c>
      <c r="W213" t="s">
        <v>2450</v>
      </c>
      <c r="X213" t="s">
        <v>1904</v>
      </c>
      <c r="Y213" t="s">
        <v>2451</v>
      </c>
    </row>
    <row r="214" spans="1:25" x14ac:dyDescent="0.2">
      <c r="A214" t="s">
        <v>2487</v>
      </c>
      <c r="B214" s="1">
        <f>VALUE(RIGHT(A214,LEN(A214)-3))</f>
        <v>422</v>
      </c>
      <c r="C214" t="s">
        <v>32</v>
      </c>
      <c r="D214" t="s">
        <v>4140</v>
      </c>
      <c r="E214" t="s">
        <v>2490</v>
      </c>
      <c r="F214">
        <v>2</v>
      </c>
      <c r="G214" t="s">
        <v>57</v>
      </c>
      <c r="H214">
        <v>2</v>
      </c>
      <c r="I214" t="s">
        <v>2491</v>
      </c>
      <c r="J214" t="s">
        <v>2488</v>
      </c>
      <c r="K214">
        <v>48</v>
      </c>
      <c r="L214" t="s">
        <v>217</v>
      </c>
      <c r="M214" t="s">
        <v>259</v>
      </c>
      <c r="N214" t="s">
        <v>43</v>
      </c>
      <c r="O214" t="s">
        <v>4154</v>
      </c>
      <c r="P214" t="s">
        <v>2331</v>
      </c>
      <c r="Q214">
        <v>3</v>
      </c>
      <c r="R214">
        <v>380</v>
      </c>
      <c r="T214">
        <v>400</v>
      </c>
      <c r="V214" t="s">
        <v>103</v>
      </c>
      <c r="W214" t="s">
        <v>851</v>
      </c>
      <c r="X214" t="s">
        <v>48</v>
      </c>
      <c r="Y214" t="s">
        <v>2492</v>
      </c>
    </row>
    <row r="215" spans="1:25" x14ac:dyDescent="0.2">
      <c r="A215" t="s">
        <v>2538</v>
      </c>
      <c r="B215" s="1">
        <f>VALUE(RIGHT(A215,LEN(A215)-3))</f>
        <v>432</v>
      </c>
      <c r="C215" t="s">
        <v>32</v>
      </c>
      <c r="D215" t="s">
        <v>4140</v>
      </c>
      <c r="E215" t="s">
        <v>2541</v>
      </c>
      <c r="F215">
        <v>1</v>
      </c>
      <c r="G215" t="s">
        <v>35</v>
      </c>
      <c r="H215">
        <v>3</v>
      </c>
      <c r="I215" t="s">
        <v>2542</v>
      </c>
      <c r="J215" t="s">
        <v>2539</v>
      </c>
      <c r="K215">
        <v>33</v>
      </c>
      <c r="L215" t="s">
        <v>150</v>
      </c>
      <c r="M215" t="s">
        <v>385</v>
      </c>
      <c r="N215" t="s">
        <v>43</v>
      </c>
      <c r="O215" t="s">
        <v>4154</v>
      </c>
      <c r="P215" t="s">
        <v>2540</v>
      </c>
      <c r="V215" t="s">
        <v>173</v>
      </c>
      <c r="W215" t="s">
        <v>174</v>
      </c>
      <c r="X215" t="s">
        <v>48</v>
      </c>
      <c r="Y215" t="s">
        <v>2543</v>
      </c>
    </row>
    <row r="216" spans="1:25" x14ac:dyDescent="0.2">
      <c r="A216" t="s">
        <v>2544</v>
      </c>
      <c r="B216" s="1">
        <f>VALUE(RIGHT(A216,LEN(A216)-3))</f>
        <v>433</v>
      </c>
      <c r="C216" t="s">
        <v>32</v>
      </c>
      <c r="D216" t="s">
        <v>4140</v>
      </c>
      <c r="E216" t="s">
        <v>2547</v>
      </c>
      <c r="F216">
        <v>1</v>
      </c>
      <c r="G216" t="s">
        <v>57</v>
      </c>
      <c r="H216">
        <v>1</v>
      </c>
      <c r="I216" t="s">
        <v>58</v>
      </c>
      <c r="J216" t="s">
        <v>2545</v>
      </c>
      <c r="L216" t="s">
        <v>178</v>
      </c>
      <c r="M216" t="s">
        <v>259</v>
      </c>
      <c r="N216" t="s">
        <v>43</v>
      </c>
      <c r="O216" t="s">
        <v>4154</v>
      </c>
      <c r="P216" t="s">
        <v>2331</v>
      </c>
      <c r="Q216">
        <v>4</v>
      </c>
      <c r="V216" t="s">
        <v>103</v>
      </c>
      <c r="W216" t="s">
        <v>492</v>
      </c>
      <c r="X216" t="s">
        <v>235</v>
      </c>
      <c r="Y216" t="s">
        <v>2548</v>
      </c>
    </row>
    <row r="217" spans="1:25" x14ac:dyDescent="0.2">
      <c r="A217" t="s">
        <v>2676</v>
      </c>
      <c r="B217" s="1">
        <f>VALUE(RIGHT(A217,LEN(A217)-3))</f>
        <v>457</v>
      </c>
      <c r="C217" t="s">
        <v>32</v>
      </c>
      <c r="D217" t="s">
        <v>4140</v>
      </c>
      <c r="E217" t="s">
        <v>2680</v>
      </c>
      <c r="F217">
        <v>1</v>
      </c>
      <c r="G217" t="s">
        <v>57</v>
      </c>
      <c r="H217">
        <v>0</v>
      </c>
      <c r="J217" t="s">
        <v>2677</v>
      </c>
      <c r="K217">
        <v>39</v>
      </c>
      <c r="L217" t="s">
        <v>99</v>
      </c>
      <c r="M217" t="s">
        <v>2678</v>
      </c>
      <c r="N217" t="s">
        <v>43</v>
      </c>
      <c r="O217" t="s">
        <v>4154</v>
      </c>
      <c r="P217" t="s">
        <v>2331</v>
      </c>
      <c r="Q217">
        <v>13</v>
      </c>
      <c r="R217">
        <v>815</v>
      </c>
      <c r="T217">
        <v>1500</v>
      </c>
      <c r="V217" t="s">
        <v>36</v>
      </c>
      <c r="W217" t="s">
        <v>2681</v>
      </c>
      <c r="X217" t="s">
        <v>48</v>
      </c>
      <c r="Y217" t="s">
        <v>2682</v>
      </c>
    </row>
    <row r="218" spans="1:25" x14ac:dyDescent="0.2">
      <c r="A218" t="s">
        <v>2689</v>
      </c>
      <c r="B218" s="1">
        <f>VALUE(RIGHT(A218,LEN(A218)-3))</f>
        <v>459</v>
      </c>
      <c r="C218" t="s">
        <v>32</v>
      </c>
      <c r="D218" t="s">
        <v>4140</v>
      </c>
      <c r="E218" t="s">
        <v>2692</v>
      </c>
      <c r="F218">
        <v>1</v>
      </c>
      <c r="G218" t="s">
        <v>57</v>
      </c>
      <c r="H218">
        <v>0</v>
      </c>
      <c r="J218" t="s">
        <v>2690</v>
      </c>
      <c r="K218">
        <v>40</v>
      </c>
      <c r="L218" t="s">
        <v>217</v>
      </c>
      <c r="M218" t="s">
        <v>259</v>
      </c>
      <c r="N218" t="s">
        <v>43</v>
      </c>
      <c r="O218" t="s">
        <v>602</v>
      </c>
      <c r="P218" t="s">
        <v>1701</v>
      </c>
      <c r="V218" t="s">
        <v>242</v>
      </c>
      <c r="W218" t="s">
        <v>2693</v>
      </c>
      <c r="X218" t="s">
        <v>235</v>
      </c>
      <c r="Y218" t="s">
        <v>2694</v>
      </c>
    </row>
    <row r="219" spans="1:25" x14ac:dyDescent="0.2">
      <c r="A219" t="s">
        <v>2718</v>
      </c>
      <c r="B219" s="1">
        <f>VALUE(RIGHT(A219,LEN(A219)-3))</f>
        <v>465</v>
      </c>
      <c r="C219" t="s">
        <v>32</v>
      </c>
      <c r="D219" t="s">
        <v>4140</v>
      </c>
      <c r="E219" t="s">
        <v>2722</v>
      </c>
      <c r="F219">
        <v>1</v>
      </c>
      <c r="G219" t="s">
        <v>57</v>
      </c>
      <c r="H219">
        <v>1</v>
      </c>
      <c r="I219" t="s">
        <v>1354</v>
      </c>
      <c r="J219" t="s">
        <v>2719</v>
      </c>
      <c r="K219">
        <v>33</v>
      </c>
      <c r="L219" t="s">
        <v>74</v>
      </c>
      <c r="M219" t="s">
        <v>259</v>
      </c>
      <c r="N219" t="s">
        <v>43</v>
      </c>
      <c r="O219" t="s">
        <v>602</v>
      </c>
      <c r="P219" t="s">
        <v>2720</v>
      </c>
      <c r="Q219">
        <v>2</v>
      </c>
      <c r="R219">
        <v>250</v>
      </c>
      <c r="T219">
        <v>500</v>
      </c>
      <c r="V219" t="s">
        <v>173</v>
      </c>
      <c r="W219" t="s">
        <v>2158</v>
      </c>
      <c r="X219" t="s">
        <v>2723</v>
      </c>
      <c r="Y219" t="s">
        <v>2724</v>
      </c>
    </row>
    <row r="220" spans="1:25" x14ac:dyDescent="0.2">
      <c r="A220" t="s">
        <v>2812</v>
      </c>
      <c r="B220" s="1">
        <f>VALUE(RIGHT(A220,LEN(A220)-3))</f>
        <v>482</v>
      </c>
      <c r="C220" t="s">
        <v>32</v>
      </c>
      <c r="D220" t="s">
        <v>4140</v>
      </c>
      <c r="E220" t="s">
        <v>2816</v>
      </c>
      <c r="F220">
        <v>1</v>
      </c>
      <c r="G220" t="s">
        <v>35</v>
      </c>
      <c r="H220">
        <v>0</v>
      </c>
      <c r="J220" t="s">
        <v>2813</v>
      </c>
      <c r="K220">
        <v>37</v>
      </c>
      <c r="L220" t="s">
        <v>150</v>
      </c>
      <c r="M220" t="s">
        <v>2814</v>
      </c>
      <c r="N220" t="s">
        <v>43</v>
      </c>
      <c r="O220" t="s">
        <v>602</v>
      </c>
      <c r="P220" t="s">
        <v>1701</v>
      </c>
      <c r="Q220">
        <v>4</v>
      </c>
      <c r="R220">
        <v>200</v>
      </c>
      <c r="T220">
        <v>350</v>
      </c>
      <c r="V220" t="s">
        <v>2817</v>
      </c>
      <c r="W220" t="s">
        <v>681</v>
      </c>
      <c r="X220" t="s">
        <v>48</v>
      </c>
      <c r="Y220" t="s">
        <v>2818</v>
      </c>
    </row>
    <row r="221" spans="1:25" x14ac:dyDescent="0.2">
      <c r="A221" t="s">
        <v>2903</v>
      </c>
      <c r="B221" s="1">
        <f>VALUE(RIGHT(A221,LEN(A221)-3))</f>
        <v>499</v>
      </c>
      <c r="C221" t="s">
        <v>32</v>
      </c>
      <c r="D221" t="s">
        <v>4140</v>
      </c>
      <c r="E221" t="s">
        <v>2906</v>
      </c>
      <c r="F221">
        <v>1</v>
      </c>
      <c r="G221" t="s">
        <v>57</v>
      </c>
      <c r="H221">
        <v>1</v>
      </c>
      <c r="I221" t="s">
        <v>68</v>
      </c>
      <c r="J221" t="s">
        <v>2904</v>
      </c>
      <c r="K221">
        <v>43</v>
      </c>
      <c r="L221" t="s">
        <v>178</v>
      </c>
      <c r="M221" t="s">
        <v>259</v>
      </c>
      <c r="N221" t="s">
        <v>43</v>
      </c>
      <c r="O221" t="s">
        <v>602</v>
      </c>
      <c r="P221" t="s">
        <v>2905</v>
      </c>
      <c r="V221" t="s">
        <v>36</v>
      </c>
      <c r="W221" t="s">
        <v>2118</v>
      </c>
      <c r="X221" t="s">
        <v>406</v>
      </c>
      <c r="Y221" t="s">
        <v>2907</v>
      </c>
    </row>
    <row r="222" spans="1:25" x14ac:dyDescent="0.2">
      <c r="A222" t="s">
        <v>3042</v>
      </c>
      <c r="B222" s="1">
        <f>VALUE(RIGHT(A222,LEN(A222)-3))</f>
        <v>525</v>
      </c>
      <c r="C222" t="s">
        <v>32</v>
      </c>
      <c r="D222" t="s">
        <v>4140</v>
      </c>
      <c r="E222" t="s">
        <v>3047</v>
      </c>
      <c r="F222">
        <v>1</v>
      </c>
      <c r="G222" t="s">
        <v>57</v>
      </c>
      <c r="H222">
        <v>2</v>
      </c>
      <c r="I222" t="s">
        <v>1991</v>
      </c>
      <c r="J222" t="s">
        <v>3043</v>
      </c>
      <c r="K222">
        <v>37</v>
      </c>
      <c r="L222" t="s">
        <v>120</v>
      </c>
      <c r="M222" t="s">
        <v>3044</v>
      </c>
      <c r="N222" t="s">
        <v>43</v>
      </c>
      <c r="O222" t="s">
        <v>4154</v>
      </c>
      <c r="P222" t="s">
        <v>3045</v>
      </c>
      <c r="Q222">
        <v>8</v>
      </c>
      <c r="R222">
        <v>750</v>
      </c>
      <c r="T222">
        <v>500</v>
      </c>
      <c r="V222" t="s">
        <v>3048</v>
      </c>
      <c r="W222" t="s">
        <v>1936</v>
      </c>
      <c r="X222" t="s">
        <v>48</v>
      </c>
      <c r="Y222" t="s">
        <v>3049</v>
      </c>
    </row>
    <row r="223" spans="1:25" x14ac:dyDescent="0.2">
      <c r="A223" t="s">
        <v>3086</v>
      </c>
      <c r="B223" s="1">
        <f>VALUE(RIGHT(A223,LEN(A223)-3))</f>
        <v>533</v>
      </c>
      <c r="C223" t="s">
        <v>32</v>
      </c>
      <c r="D223" t="s">
        <v>4140</v>
      </c>
      <c r="E223" t="s">
        <v>3090</v>
      </c>
      <c r="F223">
        <v>1</v>
      </c>
      <c r="G223" t="s">
        <v>57</v>
      </c>
      <c r="H223">
        <v>0</v>
      </c>
      <c r="J223" t="s">
        <v>3087</v>
      </c>
      <c r="K223">
        <v>39</v>
      </c>
      <c r="L223" t="s">
        <v>3088</v>
      </c>
      <c r="M223" t="s">
        <v>1790</v>
      </c>
      <c r="N223" t="s">
        <v>43</v>
      </c>
      <c r="O223" t="s">
        <v>4154</v>
      </c>
      <c r="P223" t="s">
        <v>2086</v>
      </c>
      <c r="Q223">
        <v>17</v>
      </c>
      <c r="R223">
        <v>500</v>
      </c>
      <c r="V223" t="s">
        <v>3048</v>
      </c>
      <c r="W223" t="s">
        <v>1866</v>
      </c>
      <c r="X223" t="s">
        <v>48</v>
      </c>
      <c r="Y223" t="s">
        <v>3091</v>
      </c>
    </row>
    <row r="224" spans="1:25" x14ac:dyDescent="0.2">
      <c r="A224" t="s">
        <v>2303</v>
      </c>
      <c r="B224" s="1">
        <f>VALUE(RIGHT(A224,LEN(A224)-3))</f>
        <v>391</v>
      </c>
      <c r="C224" t="s">
        <v>32</v>
      </c>
      <c r="D224" t="s">
        <v>4140</v>
      </c>
      <c r="E224" t="s">
        <v>2307</v>
      </c>
      <c r="F224">
        <v>1</v>
      </c>
      <c r="G224" t="s">
        <v>130</v>
      </c>
      <c r="H224">
        <v>0</v>
      </c>
      <c r="J224" t="s">
        <v>2304</v>
      </c>
      <c r="K224">
        <v>27</v>
      </c>
      <c r="L224" t="s">
        <v>150</v>
      </c>
      <c r="M224" t="s">
        <v>259</v>
      </c>
      <c r="N224" t="s">
        <v>43</v>
      </c>
      <c r="O224" t="s">
        <v>2305</v>
      </c>
      <c r="P224" t="s">
        <v>31</v>
      </c>
      <c r="V224" t="s">
        <v>242</v>
      </c>
      <c r="W224" t="s">
        <v>2158</v>
      </c>
      <c r="X224" t="s">
        <v>406</v>
      </c>
      <c r="Y224" t="s">
        <v>2308</v>
      </c>
    </row>
    <row r="225" spans="1:25" x14ac:dyDescent="0.2">
      <c r="A225" t="s">
        <v>2502</v>
      </c>
      <c r="B225" s="1">
        <f>VALUE(RIGHT(A225,LEN(A225)-3))</f>
        <v>425</v>
      </c>
      <c r="C225" t="s">
        <v>32</v>
      </c>
      <c r="D225" t="s">
        <v>4140</v>
      </c>
      <c r="E225" t="s">
        <v>2505</v>
      </c>
      <c r="F225">
        <v>1</v>
      </c>
      <c r="G225" t="s">
        <v>57</v>
      </c>
      <c r="H225">
        <v>0</v>
      </c>
      <c r="J225" t="s">
        <v>2503</v>
      </c>
      <c r="K225">
        <v>34</v>
      </c>
      <c r="L225" t="s">
        <v>52</v>
      </c>
      <c r="M225" t="s">
        <v>1050</v>
      </c>
      <c r="N225" t="s">
        <v>43</v>
      </c>
      <c r="O225" t="s">
        <v>2305</v>
      </c>
      <c r="P225" t="s">
        <v>31</v>
      </c>
      <c r="R225">
        <v>40</v>
      </c>
      <c r="V225" t="s">
        <v>103</v>
      </c>
      <c r="W225" t="s">
        <v>308</v>
      </c>
      <c r="X225" t="s">
        <v>235</v>
      </c>
      <c r="Y225" t="s">
        <v>2506</v>
      </c>
    </row>
    <row r="226" spans="1:25" x14ac:dyDescent="0.2">
      <c r="A226" t="s">
        <v>2626</v>
      </c>
      <c r="B226" s="1">
        <f>VALUE(RIGHT(A226,LEN(A226)-3))</f>
        <v>448</v>
      </c>
      <c r="C226" t="s">
        <v>32</v>
      </c>
      <c r="D226" t="s">
        <v>4140</v>
      </c>
      <c r="E226" t="s">
        <v>2629</v>
      </c>
      <c r="F226">
        <v>1</v>
      </c>
      <c r="G226" t="s">
        <v>57</v>
      </c>
      <c r="H226">
        <v>2</v>
      </c>
      <c r="I226" t="s">
        <v>592</v>
      </c>
      <c r="J226" t="s">
        <v>2627</v>
      </c>
      <c r="K226">
        <v>37</v>
      </c>
      <c r="L226" t="s">
        <v>1508</v>
      </c>
      <c r="M226" t="s">
        <v>1110</v>
      </c>
      <c r="N226" t="s">
        <v>43</v>
      </c>
      <c r="O226" t="s">
        <v>2305</v>
      </c>
      <c r="P226" t="s">
        <v>31</v>
      </c>
      <c r="Q226">
        <v>3</v>
      </c>
      <c r="R226">
        <v>180</v>
      </c>
      <c r="T226">
        <v>900</v>
      </c>
      <c r="V226" t="s">
        <v>36</v>
      </c>
      <c r="W226" t="s">
        <v>308</v>
      </c>
      <c r="X226" t="s">
        <v>753</v>
      </c>
      <c r="Y226" t="s">
        <v>2630</v>
      </c>
    </row>
    <row r="227" spans="1:25" x14ac:dyDescent="0.2">
      <c r="A227" t="s">
        <v>2662</v>
      </c>
      <c r="B227" s="1">
        <f>VALUE(RIGHT(A227,LEN(A227)-3))</f>
        <v>454</v>
      </c>
      <c r="C227" t="s">
        <v>32</v>
      </c>
      <c r="D227" t="s">
        <v>4140</v>
      </c>
      <c r="E227" t="s">
        <v>2664</v>
      </c>
      <c r="F227">
        <v>1</v>
      </c>
      <c r="G227" t="s">
        <v>57</v>
      </c>
      <c r="H227">
        <v>0</v>
      </c>
      <c r="J227" t="s">
        <v>2663</v>
      </c>
      <c r="K227">
        <v>45</v>
      </c>
      <c r="L227" t="s">
        <v>178</v>
      </c>
      <c r="M227" t="s">
        <v>259</v>
      </c>
      <c r="N227" t="s">
        <v>43</v>
      </c>
      <c r="O227" t="s">
        <v>2305</v>
      </c>
      <c r="P227" t="s">
        <v>520</v>
      </c>
      <c r="Q227">
        <v>15</v>
      </c>
      <c r="V227" t="s">
        <v>103</v>
      </c>
      <c r="W227" t="s">
        <v>492</v>
      </c>
      <c r="X227" t="s">
        <v>61</v>
      </c>
      <c r="Y227" t="s">
        <v>2665</v>
      </c>
    </row>
    <row r="228" spans="1:25" x14ac:dyDescent="0.2">
      <c r="A228" t="s">
        <v>500</v>
      </c>
      <c r="B228" s="1">
        <f>VALUE(RIGHT(A228,LEN(A228)-3))</f>
        <v>70</v>
      </c>
      <c r="C228" t="s">
        <v>32</v>
      </c>
      <c r="D228" t="s">
        <v>4140</v>
      </c>
      <c r="E228" t="s">
        <v>506</v>
      </c>
      <c r="F228">
        <v>1</v>
      </c>
      <c r="G228" t="s">
        <v>57</v>
      </c>
      <c r="H228">
        <v>1</v>
      </c>
      <c r="I228" t="s">
        <v>123</v>
      </c>
      <c r="J228" t="s">
        <v>501</v>
      </c>
      <c r="K228">
        <v>27</v>
      </c>
      <c r="L228" t="s">
        <v>357</v>
      </c>
      <c r="M228" t="s">
        <v>502</v>
      </c>
      <c r="N228" t="s">
        <v>43</v>
      </c>
      <c r="O228" t="s">
        <v>503</v>
      </c>
      <c r="P228" t="s">
        <v>504</v>
      </c>
      <c r="R228">
        <v>30</v>
      </c>
      <c r="S228">
        <v>2</v>
      </c>
      <c r="T228">
        <v>500</v>
      </c>
      <c r="U228">
        <v>20</v>
      </c>
      <c r="V228" t="s">
        <v>173</v>
      </c>
      <c r="W228" t="s">
        <v>507</v>
      </c>
      <c r="X228" t="s">
        <v>48</v>
      </c>
      <c r="Y228" t="s">
        <v>508</v>
      </c>
    </row>
    <row r="229" spans="1:25" x14ac:dyDescent="0.2">
      <c r="A229" t="s">
        <v>509</v>
      </c>
      <c r="B229" s="1">
        <f>VALUE(RIGHT(A229,LEN(A229)-3))</f>
        <v>71</v>
      </c>
      <c r="C229" t="s">
        <v>32</v>
      </c>
      <c r="D229" t="s">
        <v>4140</v>
      </c>
      <c r="E229" t="s">
        <v>513</v>
      </c>
      <c r="F229">
        <v>1</v>
      </c>
      <c r="G229" t="s">
        <v>35</v>
      </c>
      <c r="H229">
        <v>1</v>
      </c>
      <c r="I229" t="s">
        <v>514</v>
      </c>
      <c r="J229" t="s">
        <v>510</v>
      </c>
      <c r="K229">
        <v>30</v>
      </c>
      <c r="L229" t="s">
        <v>27</v>
      </c>
      <c r="M229" t="s">
        <v>288</v>
      </c>
      <c r="N229" t="s">
        <v>43</v>
      </c>
      <c r="O229" t="s">
        <v>503</v>
      </c>
      <c r="P229" t="s">
        <v>511</v>
      </c>
      <c r="V229" t="s">
        <v>103</v>
      </c>
      <c r="W229" t="s">
        <v>515</v>
      </c>
      <c r="X229" t="s">
        <v>61</v>
      </c>
      <c r="Y229" t="s">
        <v>516</v>
      </c>
    </row>
    <row r="230" spans="1:25" x14ac:dyDescent="0.2">
      <c r="A230" t="s">
        <v>549</v>
      </c>
      <c r="B230" s="1">
        <f>VALUE(RIGHT(A230,LEN(A230)-3))</f>
        <v>78</v>
      </c>
      <c r="C230" t="s">
        <v>32</v>
      </c>
      <c r="D230" t="s">
        <v>4140</v>
      </c>
      <c r="E230" t="s">
        <v>554</v>
      </c>
      <c r="F230">
        <v>1</v>
      </c>
      <c r="G230" t="s">
        <v>35</v>
      </c>
      <c r="H230">
        <v>0</v>
      </c>
      <c r="J230" t="s">
        <v>550</v>
      </c>
      <c r="L230" t="s">
        <v>551</v>
      </c>
      <c r="M230" t="s">
        <v>552</v>
      </c>
      <c r="N230" t="s">
        <v>43</v>
      </c>
      <c r="O230" t="s">
        <v>503</v>
      </c>
      <c r="P230" t="s">
        <v>520</v>
      </c>
      <c r="V230" t="s">
        <v>242</v>
      </c>
      <c r="W230" t="s">
        <v>555</v>
      </c>
      <c r="X230" t="s">
        <v>48</v>
      </c>
      <c r="Y230" t="s">
        <v>556</v>
      </c>
    </row>
    <row r="231" spans="1:25" x14ac:dyDescent="0.2">
      <c r="A231" t="s">
        <v>588</v>
      </c>
      <c r="B231" s="1">
        <f>VALUE(RIGHT(A231,LEN(A231)-3))</f>
        <v>84</v>
      </c>
      <c r="C231" t="s">
        <v>32</v>
      </c>
      <c r="D231" t="s">
        <v>4140</v>
      </c>
      <c r="E231" t="s">
        <v>591</v>
      </c>
      <c r="F231">
        <v>1</v>
      </c>
      <c r="G231" t="s">
        <v>57</v>
      </c>
      <c r="H231">
        <v>2</v>
      </c>
      <c r="I231" t="s">
        <v>592</v>
      </c>
      <c r="J231" t="s">
        <v>589</v>
      </c>
      <c r="L231" t="s">
        <v>112</v>
      </c>
      <c r="M231" t="s">
        <v>259</v>
      </c>
      <c r="N231" t="s">
        <v>43</v>
      </c>
      <c r="O231" t="s">
        <v>503</v>
      </c>
      <c r="P231" t="s">
        <v>520</v>
      </c>
      <c r="V231" t="s">
        <v>173</v>
      </c>
      <c r="W231" t="s">
        <v>174</v>
      </c>
      <c r="X231" t="s">
        <v>61</v>
      </c>
      <c r="Y231" t="s">
        <v>593</v>
      </c>
    </row>
    <row r="232" spans="1:25" x14ac:dyDescent="0.2">
      <c r="A232" t="s">
        <v>627</v>
      </c>
      <c r="B232" s="1">
        <f>VALUE(RIGHT(A232,LEN(A232)-3))</f>
        <v>90</v>
      </c>
      <c r="C232" t="s">
        <v>32</v>
      </c>
      <c r="D232" t="s">
        <v>4140</v>
      </c>
      <c r="E232" t="s">
        <v>632</v>
      </c>
      <c r="F232">
        <v>2</v>
      </c>
      <c r="G232" t="s">
        <v>94</v>
      </c>
      <c r="H232">
        <v>3</v>
      </c>
      <c r="I232" t="s">
        <v>633</v>
      </c>
      <c r="J232" t="s">
        <v>628</v>
      </c>
      <c r="L232" t="s">
        <v>551</v>
      </c>
      <c r="M232" t="s">
        <v>629</v>
      </c>
      <c r="N232" t="s">
        <v>43</v>
      </c>
      <c r="O232" t="s">
        <v>503</v>
      </c>
      <c r="P232" t="s">
        <v>630</v>
      </c>
      <c r="R232">
        <v>100</v>
      </c>
      <c r="S232">
        <v>11</v>
      </c>
      <c r="V232" t="s">
        <v>242</v>
      </c>
      <c r="W232" t="s">
        <v>634</v>
      </c>
      <c r="X232" t="s">
        <v>635</v>
      </c>
      <c r="Y232" t="s">
        <v>636</v>
      </c>
    </row>
    <row r="233" spans="1:25" x14ac:dyDescent="0.2">
      <c r="A233" t="s">
        <v>762</v>
      </c>
      <c r="B233" s="1">
        <f>VALUE(RIGHT(A233,LEN(A233)-3))</f>
        <v>113</v>
      </c>
      <c r="C233" t="s">
        <v>32</v>
      </c>
      <c r="D233" t="s">
        <v>4140</v>
      </c>
      <c r="E233" t="s">
        <v>766</v>
      </c>
      <c r="F233">
        <v>2</v>
      </c>
      <c r="G233" t="s">
        <v>94</v>
      </c>
      <c r="H233">
        <v>2</v>
      </c>
      <c r="I233" t="s">
        <v>241</v>
      </c>
      <c r="J233" t="s">
        <v>763</v>
      </c>
      <c r="K233">
        <v>41</v>
      </c>
      <c r="L233" t="s">
        <v>27</v>
      </c>
      <c r="M233" t="s">
        <v>764</v>
      </c>
      <c r="N233" t="s">
        <v>43</v>
      </c>
      <c r="O233" t="s">
        <v>503</v>
      </c>
      <c r="P233" t="s">
        <v>520</v>
      </c>
      <c r="R233">
        <v>103</v>
      </c>
      <c r="S233">
        <v>45</v>
      </c>
      <c r="T233">
        <v>700</v>
      </c>
      <c r="V233" t="s">
        <v>242</v>
      </c>
      <c r="W233" t="s">
        <v>543</v>
      </c>
      <c r="X233" t="s">
        <v>767</v>
      </c>
      <c r="Y233" t="s">
        <v>768</v>
      </c>
    </row>
    <row r="234" spans="1:25" x14ac:dyDescent="0.2">
      <c r="A234" t="s">
        <v>781</v>
      </c>
      <c r="B234" s="1">
        <f>VALUE(RIGHT(A234,LEN(A234)-3))</f>
        <v>116</v>
      </c>
      <c r="C234" t="s">
        <v>32</v>
      </c>
      <c r="D234" t="s">
        <v>4140</v>
      </c>
      <c r="E234" t="s">
        <v>785</v>
      </c>
      <c r="F234">
        <v>1</v>
      </c>
      <c r="G234" t="s">
        <v>57</v>
      </c>
      <c r="H234">
        <v>0</v>
      </c>
      <c r="J234" t="s">
        <v>782</v>
      </c>
      <c r="L234" t="s">
        <v>120</v>
      </c>
      <c r="M234" t="s">
        <v>496</v>
      </c>
      <c r="N234" t="s">
        <v>43</v>
      </c>
      <c r="O234" t="s">
        <v>503</v>
      </c>
      <c r="P234" t="s">
        <v>783</v>
      </c>
      <c r="V234" t="s">
        <v>242</v>
      </c>
      <c r="W234" t="s">
        <v>786</v>
      </c>
      <c r="X234" t="s">
        <v>61</v>
      </c>
      <c r="Y234" t="s">
        <v>787</v>
      </c>
    </row>
    <row r="235" spans="1:25" x14ac:dyDescent="0.2">
      <c r="A235" t="s">
        <v>821</v>
      </c>
      <c r="B235" s="1">
        <f>VALUE(RIGHT(A235,LEN(A235)-3))</f>
        <v>123</v>
      </c>
      <c r="C235" t="s">
        <v>32</v>
      </c>
      <c r="D235" t="s">
        <v>4140</v>
      </c>
      <c r="E235" t="s">
        <v>824</v>
      </c>
      <c r="F235">
        <v>1</v>
      </c>
      <c r="G235" t="s">
        <v>57</v>
      </c>
      <c r="H235">
        <v>0</v>
      </c>
      <c r="J235" t="s">
        <v>816</v>
      </c>
      <c r="L235" t="s">
        <v>52</v>
      </c>
      <c r="M235" t="s">
        <v>822</v>
      </c>
      <c r="N235" t="s">
        <v>43</v>
      </c>
      <c r="O235" t="s">
        <v>503</v>
      </c>
      <c r="P235" t="s">
        <v>520</v>
      </c>
      <c r="V235" t="s">
        <v>173</v>
      </c>
      <c r="W235" t="s">
        <v>647</v>
      </c>
      <c r="X235" t="s">
        <v>61</v>
      </c>
      <c r="Y235" t="s">
        <v>825</v>
      </c>
    </row>
    <row r="236" spans="1:25" x14ac:dyDescent="0.2">
      <c r="A236" t="s">
        <v>826</v>
      </c>
      <c r="B236" s="1">
        <f>VALUE(RIGHT(A236,LEN(A236)-3))</f>
        <v>124</v>
      </c>
      <c r="C236" t="s">
        <v>32</v>
      </c>
      <c r="D236" t="s">
        <v>4140</v>
      </c>
      <c r="E236" t="s">
        <v>828</v>
      </c>
      <c r="F236">
        <v>1</v>
      </c>
      <c r="G236" t="s">
        <v>35</v>
      </c>
      <c r="H236">
        <v>0</v>
      </c>
      <c r="J236" t="s">
        <v>827</v>
      </c>
      <c r="L236" t="s">
        <v>178</v>
      </c>
      <c r="M236" t="s">
        <v>259</v>
      </c>
      <c r="N236" t="s">
        <v>43</v>
      </c>
      <c r="O236" t="s">
        <v>503</v>
      </c>
      <c r="P236" t="s">
        <v>520</v>
      </c>
      <c r="V236" t="s">
        <v>242</v>
      </c>
      <c r="W236" t="s">
        <v>786</v>
      </c>
      <c r="X236" t="s">
        <v>61</v>
      </c>
      <c r="Y236" t="s">
        <v>829</v>
      </c>
    </row>
    <row r="237" spans="1:25" x14ac:dyDescent="0.2">
      <c r="A237" t="s">
        <v>830</v>
      </c>
      <c r="B237" s="1">
        <f>VALUE(RIGHT(A237,LEN(A237)-3))</f>
        <v>125</v>
      </c>
      <c r="C237" t="s">
        <v>32</v>
      </c>
      <c r="D237" t="s">
        <v>4140</v>
      </c>
      <c r="E237" t="s">
        <v>833</v>
      </c>
      <c r="F237">
        <v>1</v>
      </c>
      <c r="G237" t="s">
        <v>57</v>
      </c>
      <c r="H237">
        <v>1</v>
      </c>
      <c r="I237" t="s">
        <v>291</v>
      </c>
      <c r="J237" t="s">
        <v>831</v>
      </c>
      <c r="L237" t="s">
        <v>120</v>
      </c>
      <c r="M237" t="s">
        <v>259</v>
      </c>
      <c r="N237" t="s">
        <v>43</v>
      </c>
      <c r="O237" t="s">
        <v>503</v>
      </c>
      <c r="P237" t="s">
        <v>520</v>
      </c>
      <c r="V237" t="s">
        <v>173</v>
      </c>
      <c r="W237" t="s">
        <v>834</v>
      </c>
      <c r="X237" t="s">
        <v>61</v>
      </c>
      <c r="Y237" t="s">
        <v>835</v>
      </c>
    </row>
    <row r="238" spans="1:25" x14ac:dyDescent="0.2">
      <c r="A238" t="s">
        <v>840</v>
      </c>
      <c r="B238" s="1">
        <f>VALUE(RIGHT(A238,LEN(A238)-3))</f>
        <v>127</v>
      </c>
      <c r="C238" t="s">
        <v>32</v>
      </c>
      <c r="D238" t="s">
        <v>4140</v>
      </c>
      <c r="E238" t="s">
        <v>843</v>
      </c>
      <c r="F238">
        <v>1</v>
      </c>
      <c r="G238" t="s">
        <v>57</v>
      </c>
      <c r="H238">
        <v>4</v>
      </c>
      <c r="I238" t="s">
        <v>844</v>
      </c>
      <c r="J238" t="s">
        <v>841</v>
      </c>
      <c r="L238" t="s">
        <v>318</v>
      </c>
      <c r="M238" t="s">
        <v>259</v>
      </c>
      <c r="N238" t="s">
        <v>43</v>
      </c>
      <c r="O238" t="s">
        <v>503</v>
      </c>
      <c r="P238" t="s">
        <v>520</v>
      </c>
      <c r="V238" t="s">
        <v>242</v>
      </c>
      <c r="W238" t="s">
        <v>845</v>
      </c>
      <c r="X238" t="s">
        <v>61</v>
      </c>
      <c r="Y238" t="s">
        <v>846</v>
      </c>
    </row>
    <row r="239" spans="1:25" x14ac:dyDescent="0.2">
      <c r="A239" t="s">
        <v>847</v>
      </c>
      <c r="B239" s="1">
        <f>VALUE(RIGHT(A239,LEN(A239)-3))</f>
        <v>128</v>
      </c>
      <c r="C239" t="s">
        <v>32</v>
      </c>
      <c r="D239" t="s">
        <v>4140</v>
      </c>
      <c r="E239" t="s">
        <v>850</v>
      </c>
      <c r="F239">
        <v>1</v>
      </c>
      <c r="G239" t="s">
        <v>57</v>
      </c>
      <c r="H239">
        <v>1</v>
      </c>
      <c r="I239" t="s">
        <v>68</v>
      </c>
      <c r="J239" t="s">
        <v>848</v>
      </c>
      <c r="L239" t="s">
        <v>357</v>
      </c>
      <c r="M239" t="s">
        <v>455</v>
      </c>
      <c r="N239" t="s">
        <v>43</v>
      </c>
      <c r="O239" t="s">
        <v>503</v>
      </c>
      <c r="P239" t="s">
        <v>520</v>
      </c>
      <c r="V239" t="s">
        <v>367</v>
      </c>
      <c r="W239" t="s">
        <v>851</v>
      </c>
      <c r="X239" t="s">
        <v>779</v>
      </c>
      <c r="Y239" t="s">
        <v>852</v>
      </c>
    </row>
    <row r="240" spans="1:25" x14ac:dyDescent="0.2">
      <c r="A240" t="s">
        <v>873</v>
      </c>
      <c r="B240" s="1">
        <f>VALUE(RIGHT(A240,LEN(A240)-3))</f>
        <v>133</v>
      </c>
      <c r="C240" t="s">
        <v>32</v>
      </c>
      <c r="D240" t="s">
        <v>4140</v>
      </c>
      <c r="E240" t="s">
        <v>876</v>
      </c>
      <c r="F240">
        <v>1</v>
      </c>
      <c r="G240" t="s">
        <v>57</v>
      </c>
      <c r="H240">
        <v>1</v>
      </c>
      <c r="I240" t="s">
        <v>291</v>
      </c>
      <c r="J240" t="s">
        <v>874</v>
      </c>
      <c r="K240">
        <v>39</v>
      </c>
      <c r="L240" t="s">
        <v>127</v>
      </c>
      <c r="M240" t="s">
        <v>151</v>
      </c>
      <c r="N240" t="s">
        <v>43</v>
      </c>
      <c r="O240" t="s">
        <v>503</v>
      </c>
      <c r="P240" t="s">
        <v>520</v>
      </c>
      <c r="V240" t="s">
        <v>242</v>
      </c>
      <c r="W240" t="s">
        <v>314</v>
      </c>
      <c r="X240" t="s">
        <v>877</v>
      </c>
      <c r="Y240" t="s">
        <v>878</v>
      </c>
    </row>
    <row r="241" spans="1:25" x14ac:dyDescent="0.2">
      <c r="A241" t="s">
        <v>891</v>
      </c>
      <c r="B241" s="1">
        <f>VALUE(RIGHT(A241,LEN(A241)-3))</f>
        <v>136</v>
      </c>
      <c r="C241" t="s">
        <v>32</v>
      </c>
      <c r="D241" t="s">
        <v>4140</v>
      </c>
      <c r="E241" t="s">
        <v>895</v>
      </c>
      <c r="F241">
        <v>2</v>
      </c>
      <c r="G241" t="s">
        <v>94</v>
      </c>
      <c r="H241">
        <v>2</v>
      </c>
      <c r="I241" t="s">
        <v>123</v>
      </c>
      <c r="J241" t="s">
        <v>892</v>
      </c>
      <c r="L241" t="s">
        <v>893</v>
      </c>
      <c r="M241" t="s">
        <v>100</v>
      </c>
      <c r="N241" t="s">
        <v>43</v>
      </c>
      <c r="O241" t="s">
        <v>503</v>
      </c>
      <c r="P241" t="s">
        <v>520</v>
      </c>
      <c r="V241" t="s">
        <v>242</v>
      </c>
      <c r="W241" t="s">
        <v>681</v>
      </c>
      <c r="X241" t="s">
        <v>341</v>
      </c>
      <c r="Y241" t="s">
        <v>896</v>
      </c>
    </row>
    <row r="242" spans="1:25" x14ac:dyDescent="0.2">
      <c r="A242" t="s">
        <v>903</v>
      </c>
      <c r="B242" s="1">
        <f>VALUE(RIGHT(A242,LEN(A242)-3))</f>
        <v>138</v>
      </c>
      <c r="C242" t="s">
        <v>32</v>
      </c>
      <c r="D242" t="s">
        <v>4140</v>
      </c>
      <c r="E242" t="s">
        <v>906</v>
      </c>
      <c r="F242">
        <v>1</v>
      </c>
      <c r="G242" t="s">
        <v>35</v>
      </c>
      <c r="H242">
        <v>3</v>
      </c>
      <c r="I242" t="s">
        <v>907</v>
      </c>
      <c r="J242" t="s">
        <v>904</v>
      </c>
      <c r="L242" t="s">
        <v>27</v>
      </c>
      <c r="M242" t="s">
        <v>530</v>
      </c>
      <c r="N242" t="s">
        <v>43</v>
      </c>
      <c r="O242" t="s">
        <v>503</v>
      </c>
      <c r="P242" t="s">
        <v>520</v>
      </c>
      <c r="V242" t="s">
        <v>242</v>
      </c>
      <c r="W242" t="s">
        <v>908</v>
      </c>
      <c r="X242" t="s">
        <v>909</v>
      </c>
      <c r="Y242" t="s">
        <v>910</v>
      </c>
    </row>
    <row r="243" spans="1:25" x14ac:dyDescent="0.2">
      <c r="A243" t="s">
        <v>911</v>
      </c>
      <c r="B243" s="1">
        <f>VALUE(RIGHT(A243,LEN(A243)-3))</f>
        <v>139</v>
      </c>
      <c r="C243" t="s">
        <v>32</v>
      </c>
      <c r="D243" t="s">
        <v>4140</v>
      </c>
      <c r="E243" t="s">
        <v>915</v>
      </c>
      <c r="F243">
        <v>1</v>
      </c>
      <c r="G243" t="s">
        <v>57</v>
      </c>
      <c r="H243">
        <v>0</v>
      </c>
      <c r="J243" t="s">
        <v>912</v>
      </c>
      <c r="L243" t="s">
        <v>120</v>
      </c>
      <c r="M243" t="s">
        <v>913</v>
      </c>
      <c r="N243" t="s">
        <v>43</v>
      </c>
      <c r="O243" t="s">
        <v>503</v>
      </c>
      <c r="P243" t="s">
        <v>520</v>
      </c>
      <c r="V243" t="s">
        <v>242</v>
      </c>
      <c r="W243" t="s">
        <v>916</v>
      </c>
      <c r="X243" t="s">
        <v>61</v>
      </c>
      <c r="Y243" t="s">
        <v>917</v>
      </c>
    </row>
    <row r="244" spans="1:25" x14ac:dyDescent="0.2">
      <c r="A244" t="s">
        <v>953</v>
      </c>
      <c r="B244" s="1">
        <f>VALUE(RIGHT(A244,LEN(A244)-3))</f>
        <v>146</v>
      </c>
      <c r="C244" t="s">
        <v>32</v>
      </c>
      <c r="D244" t="s">
        <v>4140</v>
      </c>
      <c r="E244" t="s">
        <v>957</v>
      </c>
      <c r="F244">
        <v>1</v>
      </c>
      <c r="G244" t="s">
        <v>35</v>
      </c>
      <c r="H244">
        <v>2</v>
      </c>
      <c r="I244" t="s">
        <v>284</v>
      </c>
      <c r="J244" t="s">
        <v>954</v>
      </c>
      <c r="L244" t="s">
        <v>893</v>
      </c>
      <c r="M244" t="s">
        <v>955</v>
      </c>
      <c r="N244" t="s">
        <v>43</v>
      </c>
      <c r="O244" t="s">
        <v>503</v>
      </c>
      <c r="P244" t="s">
        <v>520</v>
      </c>
      <c r="V244" t="s">
        <v>242</v>
      </c>
      <c r="W244" t="s">
        <v>786</v>
      </c>
      <c r="X244" t="s">
        <v>61</v>
      </c>
      <c r="Y244" t="s">
        <v>958</v>
      </c>
    </row>
    <row r="245" spans="1:25" x14ac:dyDescent="0.2">
      <c r="A245" t="s">
        <v>965</v>
      </c>
      <c r="B245" s="1">
        <f>VALUE(RIGHT(A245,LEN(A245)-3))</f>
        <v>148</v>
      </c>
      <c r="C245" t="s">
        <v>32</v>
      </c>
      <c r="D245" t="s">
        <v>4140</v>
      </c>
      <c r="E245" t="s">
        <v>968</v>
      </c>
      <c r="F245">
        <v>1</v>
      </c>
      <c r="G245" t="s">
        <v>57</v>
      </c>
      <c r="H245">
        <v>0</v>
      </c>
      <c r="J245" t="s">
        <v>966</v>
      </c>
      <c r="L245" t="s">
        <v>120</v>
      </c>
      <c r="M245" t="s">
        <v>764</v>
      </c>
      <c r="N245" t="s">
        <v>43</v>
      </c>
      <c r="O245" t="s">
        <v>503</v>
      </c>
      <c r="P245" t="s">
        <v>520</v>
      </c>
      <c r="V245" t="s">
        <v>103</v>
      </c>
      <c r="W245" t="s">
        <v>845</v>
      </c>
      <c r="X245" t="s">
        <v>767</v>
      </c>
      <c r="Y245" t="s">
        <v>969</v>
      </c>
    </row>
    <row r="246" spans="1:25" x14ac:dyDescent="0.2">
      <c r="A246" t="s">
        <v>977</v>
      </c>
      <c r="B246" s="1">
        <f>VALUE(RIGHT(A246,LEN(A246)-3))</f>
        <v>150</v>
      </c>
      <c r="C246" t="s">
        <v>32</v>
      </c>
      <c r="D246" t="s">
        <v>4140</v>
      </c>
      <c r="E246" t="s">
        <v>980</v>
      </c>
      <c r="F246">
        <v>2</v>
      </c>
      <c r="G246" t="s">
        <v>94</v>
      </c>
      <c r="H246">
        <v>3</v>
      </c>
      <c r="I246" t="s">
        <v>284</v>
      </c>
      <c r="J246" t="s">
        <v>978</v>
      </c>
      <c r="L246" t="s">
        <v>423</v>
      </c>
      <c r="M246" t="s">
        <v>300</v>
      </c>
      <c r="N246" t="s">
        <v>43</v>
      </c>
      <c r="O246" t="s">
        <v>503</v>
      </c>
      <c r="P246" t="s">
        <v>520</v>
      </c>
      <c r="V246" t="s">
        <v>103</v>
      </c>
      <c r="W246" t="s">
        <v>104</v>
      </c>
      <c r="X246" t="s">
        <v>61</v>
      </c>
      <c r="Y246" t="s">
        <v>981</v>
      </c>
    </row>
    <row r="247" spans="1:25" x14ac:dyDescent="0.2">
      <c r="A247" t="s">
        <v>1014</v>
      </c>
      <c r="B247" s="1">
        <f>VALUE(RIGHT(A247,LEN(A247)-3))</f>
        <v>157</v>
      </c>
      <c r="C247" t="s">
        <v>32</v>
      </c>
      <c r="D247" t="s">
        <v>4140</v>
      </c>
      <c r="E247" t="s">
        <v>1018</v>
      </c>
      <c r="F247">
        <v>1</v>
      </c>
      <c r="G247" t="s">
        <v>57</v>
      </c>
      <c r="H247">
        <v>1</v>
      </c>
      <c r="I247" t="s">
        <v>291</v>
      </c>
      <c r="J247" t="s">
        <v>1015</v>
      </c>
      <c r="L247" t="s">
        <v>127</v>
      </c>
      <c r="M247" t="s">
        <v>259</v>
      </c>
      <c r="N247" t="s">
        <v>43</v>
      </c>
      <c r="O247" t="s">
        <v>503</v>
      </c>
      <c r="P247" t="s">
        <v>1016</v>
      </c>
      <c r="V247" t="s">
        <v>173</v>
      </c>
      <c r="W247" t="s">
        <v>857</v>
      </c>
      <c r="X247" t="s">
        <v>61</v>
      </c>
      <c r="Y247" t="s">
        <v>1019</v>
      </c>
    </row>
    <row r="248" spans="1:25" x14ac:dyDescent="0.2">
      <c r="A248" t="s">
        <v>1031</v>
      </c>
      <c r="B248" s="1">
        <f>VALUE(RIGHT(A248,LEN(A248)-3))</f>
        <v>160</v>
      </c>
      <c r="C248" t="s">
        <v>32</v>
      </c>
      <c r="D248" t="s">
        <v>4140</v>
      </c>
      <c r="E248" t="s">
        <v>1034</v>
      </c>
      <c r="F248">
        <v>1</v>
      </c>
      <c r="G248" t="s">
        <v>57</v>
      </c>
      <c r="H248">
        <v>0</v>
      </c>
      <c r="J248" t="s">
        <v>1032</v>
      </c>
      <c r="L248" t="s">
        <v>722</v>
      </c>
      <c r="M248" t="s">
        <v>259</v>
      </c>
      <c r="N248" t="s">
        <v>43</v>
      </c>
      <c r="O248" t="s">
        <v>503</v>
      </c>
      <c r="P248" t="s">
        <v>520</v>
      </c>
      <c r="V248" t="s">
        <v>173</v>
      </c>
      <c r="W248" t="s">
        <v>845</v>
      </c>
      <c r="X248" t="s">
        <v>61</v>
      </c>
      <c r="Y248" t="s">
        <v>1035</v>
      </c>
    </row>
    <row r="249" spans="1:25" x14ac:dyDescent="0.2">
      <c r="A249" t="s">
        <v>1036</v>
      </c>
      <c r="B249" s="1">
        <f>VALUE(RIGHT(A249,LEN(A249)-3))</f>
        <v>161</v>
      </c>
      <c r="C249" t="s">
        <v>32</v>
      </c>
      <c r="D249" t="s">
        <v>4140</v>
      </c>
      <c r="E249" t="s">
        <v>1039</v>
      </c>
      <c r="F249">
        <v>1</v>
      </c>
      <c r="G249" t="s">
        <v>57</v>
      </c>
      <c r="H249">
        <v>1</v>
      </c>
      <c r="I249" t="s">
        <v>123</v>
      </c>
      <c r="J249" t="s">
        <v>1037</v>
      </c>
      <c r="L249" t="s">
        <v>52</v>
      </c>
      <c r="M249" t="s">
        <v>259</v>
      </c>
      <c r="N249" t="s">
        <v>43</v>
      </c>
      <c r="O249" t="s">
        <v>503</v>
      </c>
      <c r="P249" t="s">
        <v>783</v>
      </c>
      <c r="R249">
        <v>400</v>
      </c>
      <c r="T249">
        <v>8000</v>
      </c>
      <c r="V249" t="s">
        <v>103</v>
      </c>
      <c r="W249" t="s">
        <v>845</v>
      </c>
      <c r="X249" t="s">
        <v>61</v>
      </c>
      <c r="Y249" t="s">
        <v>1040</v>
      </c>
    </row>
    <row r="250" spans="1:25" x14ac:dyDescent="0.2">
      <c r="A250" t="s">
        <v>1048</v>
      </c>
      <c r="B250" s="1">
        <f>VALUE(RIGHT(A250,LEN(A250)-3))</f>
        <v>163</v>
      </c>
      <c r="C250" t="s">
        <v>32</v>
      </c>
      <c r="D250" t="s">
        <v>4140</v>
      </c>
      <c r="E250" t="s">
        <v>1053</v>
      </c>
      <c r="F250">
        <v>1</v>
      </c>
      <c r="G250" t="s">
        <v>57</v>
      </c>
      <c r="H250">
        <v>0</v>
      </c>
      <c r="J250" t="s">
        <v>1049</v>
      </c>
      <c r="K250">
        <v>23</v>
      </c>
      <c r="L250" t="s">
        <v>178</v>
      </c>
      <c r="M250" t="s">
        <v>1050</v>
      </c>
      <c r="N250" t="s">
        <v>43</v>
      </c>
      <c r="O250" t="s">
        <v>503</v>
      </c>
      <c r="P250" t="s">
        <v>1051</v>
      </c>
      <c r="R250">
        <v>120</v>
      </c>
      <c r="S250">
        <v>50</v>
      </c>
      <c r="V250" t="s">
        <v>367</v>
      </c>
      <c r="W250" t="s">
        <v>368</v>
      </c>
      <c r="X250" t="s">
        <v>61</v>
      </c>
      <c r="Y250" t="s">
        <v>1054</v>
      </c>
    </row>
    <row r="251" spans="1:25" x14ac:dyDescent="0.2">
      <c r="A251" t="s">
        <v>1060</v>
      </c>
      <c r="B251" s="1">
        <f>VALUE(RIGHT(A251,LEN(A251)-3))</f>
        <v>165</v>
      </c>
      <c r="C251" t="s">
        <v>32</v>
      </c>
      <c r="D251" t="s">
        <v>4140</v>
      </c>
      <c r="E251" t="s">
        <v>1063</v>
      </c>
      <c r="F251">
        <v>2</v>
      </c>
      <c r="G251" t="s">
        <v>94</v>
      </c>
      <c r="H251">
        <v>0</v>
      </c>
      <c r="J251" t="s">
        <v>1061</v>
      </c>
      <c r="L251" t="s">
        <v>217</v>
      </c>
      <c r="M251" t="s">
        <v>300</v>
      </c>
      <c r="N251" t="s">
        <v>43</v>
      </c>
      <c r="O251" t="s">
        <v>503</v>
      </c>
      <c r="P251" t="s">
        <v>520</v>
      </c>
      <c r="V251" t="s">
        <v>242</v>
      </c>
      <c r="W251" t="s">
        <v>1064</v>
      </c>
      <c r="X251" t="s">
        <v>61</v>
      </c>
      <c r="Y251" t="s">
        <v>1065</v>
      </c>
    </row>
    <row r="252" spans="1:25" x14ac:dyDescent="0.2">
      <c r="A252" t="s">
        <v>1101</v>
      </c>
      <c r="B252" s="1">
        <f>VALUE(RIGHT(A252,LEN(A252)-3))</f>
        <v>172</v>
      </c>
      <c r="C252" t="s">
        <v>32</v>
      </c>
      <c r="D252" t="s">
        <v>4140</v>
      </c>
      <c r="E252" t="s">
        <v>1104</v>
      </c>
      <c r="F252">
        <v>1</v>
      </c>
      <c r="G252" t="s">
        <v>57</v>
      </c>
      <c r="H252">
        <v>1</v>
      </c>
      <c r="I252" t="s">
        <v>1105</v>
      </c>
      <c r="J252" t="s">
        <v>1102</v>
      </c>
      <c r="L252" t="s">
        <v>338</v>
      </c>
      <c r="M252" t="s">
        <v>100</v>
      </c>
      <c r="N252" t="s">
        <v>43</v>
      </c>
      <c r="O252" t="s">
        <v>503</v>
      </c>
      <c r="P252" t="s">
        <v>520</v>
      </c>
      <c r="V252" t="s">
        <v>173</v>
      </c>
      <c r="W252" t="s">
        <v>1106</v>
      </c>
      <c r="X252" t="s">
        <v>877</v>
      </c>
      <c r="Y252" t="s">
        <v>1107</v>
      </c>
    </row>
    <row r="253" spans="1:25" x14ac:dyDescent="0.2">
      <c r="A253" t="s">
        <v>1118</v>
      </c>
      <c r="B253" s="1">
        <f>VALUE(RIGHT(A253,LEN(A253)-3))</f>
        <v>175</v>
      </c>
      <c r="C253" t="s">
        <v>32</v>
      </c>
      <c r="D253" t="s">
        <v>4140</v>
      </c>
      <c r="E253" t="s">
        <v>1123</v>
      </c>
      <c r="F253">
        <v>1</v>
      </c>
      <c r="G253" t="s">
        <v>35</v>
      </c>
      <c r="H253">
        <v>1</v>
      </c>
      <c r="I253" t="s">
        <v>123</v>
      </c>
      <c r="J253" t="s">
        <v>1119</v>
      </c>
      <c r="L253" t="s">
        <v>1120</v>
      </c>
      <c r="M253" t="s">
        <v>1121</v>
      </c>
      <c r="N253" t="s">
        <v>43</v>
      </c>
      <c r="O253" t="s">
        <v>503</v>
      </c>
      <c r="P253" t="s">
        <v>520</v>
      </c>
      <c r="Q253">
        <v>2</v>
      </c>
      <c r="R253">
        <v>150</v>
      </c>
      <c r="S253">
        <v>50</v>
      </c>
      <c r="V253" t="s">
        <v>242</v>
      </c>
      <c r="W253" t="s">
        <v>492</v>
      </c>
      <c r="X253" t="s">
        <v>182</v>
      </c>
      <c r="Y253" t="s">
        <v>1124</v>
      </c>
    </row>
    <row r="254" spans="1:25" x14ac:dyDescent="0.2">
      <c r="A254" t="s">
        <v>1135</v>
      </c>
      <c r="B254" s="1">
        <f>VALUE(RIGHT(A254,LEN(A254)-3))</f>
        <v>178</v>
      </c>
      <c r="C254" t="s">
        <v>32</v>
      </c>
      <c r="D254" t="s">
        <v>4140</v>
      </c>
      <c r="E254" t="s">
        <v>1139</v>
      </c>
      <c r="F254">
        <v>1</v>
      </c>
      <c r="G254" t="s">
        <v>57</v>
      </c>
      <c r="H254">
        <v>0</v>
      </c>
      <c r="J254" t="s">
        <v>1136</v>
      </c>
      <c r="L254" t="s">
        <v>27</v>
      </c>
      <c r="M254" t="s">
        <v>1137</v>
      </c>
      <c r="N254" t="s">
        <v>43</v>
      </c>
      <c r="O254" t="s">
        <v>503</v>
      </c>
      <c r="P254" t="s">
        <v>520</v>
      </c>
      <c r="V254" t="s">
        <v>242</v>
      </c>
      <c r="W254" t="s">
        <v>47</v>
      </c>
      <c r="X254" t="s">
        <v>194</v>
      </c>
      <c r="Y254" t="s">
        <v>1140</v>
      </c>
    </row>
    <row r="255" spans="1:25" x14ac:dyDescent="0.2">
      <c r="A255" t="s">
        <v>1141</v>
      </c>
      <c r="B255" s="1">
        <f>VALUE(RIGHT(A255,LEN(A255)-3))</f>
        <v>179</v>
      </c>
      <c r="C255" t="s">
        <v>32</v>
      </c>
      <c r="D255" t="s">
        <v>4140</v>
      </c>
      <c r="E255" t="s">
        <v>1145</v>
      </c>
      <c r="F255">
        <v>1</v>
      </c>
      <c r="G255" t="s">
        <v>35</v>
      </c>
      <c r="H255">
        <v>1</v>
      </c>
      <c r="I255" t="s">
        <v>123</v>
      </c>
      <c r="J255" t="s">
        <v>1142</v>
      </c>
      <c r="L255" t="s">
        <v>178</v>
      </c>
      <c r="M255" t="s">
        <v>1137</v>
      </c>
      <c r="N255" t="s">
        <v>43</v>
      </c>
      <c r="O255" t="s">
        <v>503</v>
      </c>
      <c r="P255" t="s">
        <v>1143</v>
      </c>
      <c r="V255" t="s">
        <v>242</v>
      </c>
      <c r="W255" t="s">
        <v>1146</v>
      </c>
      <c r="X255" t="s">
        <v>48</v>
      </c>
      <c r="Y255" t="s">
        <v>1147</v>
      </c>
    </row>
    <row r="256" spans="1:25" x14ac:dyDescent="0.2">
      <c r="A256" t="s">
        <v>1179</v>
      </c>
      <c r="B256" s="1">
        <f>VALUE(RIGHT(A256,LEN(A256)-3))</f>
        <v>186</v>
      </c>
      <c r="C256" t="s">
        <v>32</v>
      </c>
      <c r="D256" t="s">
        <v>4140</v>
      </c>
      <c r="E256" t="s">
        <v>1182</v>
      </c>
      <c r="F256">
        <v>1</v>
      </c>
      <c r="G256" t="s">
        <v>130</v>
      </c>
      <c r="H256">
        <v>0</v>
      </c>
      <c r="J256" t="s">
        <v>1180</v>
      </c>
      <c r="K256">
        <v>51</v>
      </c>
      <c r="L256" t="s">
        <v>178</v>
      </c>
      <c r="M256" t="s">
        <v>1006</v>
      </c>
      <c r="N256" t="s">
        <v>43</v>
      </c>
      <c r="O256" t="s">
        <v>503</v>
      </c>
      <c r="P256" t="s">
        <v>520</v>
      </c>
      <c r="V256" t="s">
        <v>242</v>
      </c>
      <c r="W256" t="s">
        <v>1183</v>
      </c>
      <c r="X256" t="s">
        <v>61</v>
      </c>
      <c r="Y256" t="s">
        <v>1184</v>
      </c>
    </row>
    <row r="257" spans="1:25" x14ac:dyDescent="0.2">
      <c r="A257" t="s">
        <v>1185</v>
      </c>
      <c r="B257" s="1">
        <f>VALUE(RIGHT(A257,LEN(A257)-3))</f>
        <v>187</v>
      </c>
      <c r="C257" t="s">
        <v>32</v>
      </c>
      <c r="D257" t="s">
        <v>4140</v>
      </c>
      <c r="E257" t="s">
        <v>1189</v>
      </c>
      <c r="F257">
        <v>1</v>
      </c>
      <c r="G257" t="s">
        <v>57</v>
      </c>
      <c r="H257">
        <v>2</v>
      </c>
      <c r="I257" t="s">
        <v>284</v>
      </c>
      <c r="J257" t="s">
        <v>1186</v>
      </c>
      <c r="L257" t="s">
        <v>112</v>
      </c>
      <c r="M257" t="s">
        <v>552</v>
      </c>
      <c r="N257" t="s">
        <v>43</v>
      </c>
      <c r="O257" t="s">
        <v>503</v>
      </c>
      <c r="P257" t="s">
        <v>1187</v>
      </c>
      <c r="V257" t="s">
        <v>242</v>
      </c>
      <c r="W257" t="s">
        <v>786</v>
      </c>
      <c r="X257" t="s">
        <v>61</v>
      </c>
      <c r="Y257" t="s">
        <v>1190</v>
      </c>
    </row>
    <row r="258" spans="1:25" x14ac:dyDescent="0.2">
      <c r="A258" t="s">
        <v>1191</v>
      </c>
      <c r="B258" s="1">
        <f>VALUE(RIGHT(A258,LEN(A258)-3))</f>
        <v>188</v>
      </c>
      <c r="C258" t="s">
        <v>32</v>
      </c>
      <c r="D258" t="s">
        <v>4140</v>
      </c>
      <c r="E258" t="s">
        <v>1194</v>
      </c>
      <c r="F258">
        <v>1</v>
      </c>
      <c r="G258" t="s">
        <v>57</v>
      </c>
      <c r="H258">
        <v>0</v>
      </c>
      <c r="J258" t="s">
        <v>1192</v>
      </c>
      <c r="L258" t="s">
        <v>690</v>
      </c>
      <c r="M258" t="s">
        <v>100</v>
      </c>
      <c r="N258" t="s">
        <v>43</v>
      </c>
      <c r="O258" t="s">
        <v>503</v>
      </c>
      <c r="P258" t="s">
        <v>1193</v>
      </c>
      <c r="V258" t="s">
        <v>103</v>
      </c>
      <c r="W258" t="s">
        <v>1195</v>
      </c>
      <c r="X258" t="s">
        <v>61</v>
      </c>
      <c r="Y258" t="s">
        <v>1196</v>
      </c>
    </row>
    <row r="259" spans="1:25" x14ac:dyDescent="0.2">
      <c r="A259" t="s">
        <v>1203</v>
      </c>
      <c r="B259" s="1">
        <f>VALUE(RIGHT(A259,LEN(A259)-3))</f>
        <v>190</v>
      </c>
      <c r="C259" t="s">
        <v>32</v>
      </c>
      <c r="D259" t="s">
        <v>4140</v>
      </c>
      <c r="E259" t="s">
        <v>1206</v>
      </c>
      <c r="F259">
        <v>1</v>
      </c>
      <c r="G259" t="s">
        <v>57</v>
      </c>
      <c r="H259">
        <v>0</v>
      </c>
      <c r="J259" t="s">
        <v>1204</v>
      </c>
      <c r="L259" t="s">
        <v>27</v>
      </c>
      <c r="M259" t="s">
        <v>1205</v>
      </c>
      <c r="N259" t="s">
        <v>43</v>
      </c>
      <c r="O259" t="s">
        <v>503</v>
      </c>
      <c r="P259" t="s">
        <v>1169</v>
      </c>
      <c r="V259" t="s">
        <v>242</v>
      </c>
      <c r="W259" t="s">
        <v>47</v>
      </c>
      <c r="X259" t="s">
        <v>61</v>
      </c>
      <c r="Y259" t="s">
        <v>1207</v>
      </c>
    </row>
    <row r="260" spans="1:25" x14ac:dyDescent="0.2">
      <c r="A260" t="s">
        <v>1208</v>
      </c>
      <c r="B260" s="1">
        <f>VALUE(RIGHT(A260,LEN(A260)-3))</f>
        <v>191</v>
      </c>
      <c r="C260" t="s">
        <v>32</v>
      </c>
      <c r="D260" t="s">
        <v>4140</v>
      </c>
      <c r="E260" t="s">
        <v>1212</v>
      </c>
      <c r="F260">
        <v>2</v>
      </c>
      <c r="G260" t="s">
        <v>94</v>
      </c>
      <c r="H260">
        <v>4</v>
      </c>
      <c r="I260" t="s">
        <v>1213</v>
      </c>
      <c r="J260" t="s">
        <v>1209</v>
      </c>
      <c r="L260" t="s">
        <v>551</v>
      </c>
      <c r="M260" t="s">
        <v>552</v>
      </c>
      <c r="N260" t="s">
        <v>43</v>
      </c>
      <c r="O260" t="s">
        <v>503</v>
      </c>
      <c r="P260" t="s">
        <v>1210</v>
      </c>
      <c r="R260">
        <v>336</v>
      </c>
      <c r="S260">
        <v>35</v>
      </c>
      <c r="V260" t="s">
        <v>36</v>
      </c>
      <c r="W260" t="s">
        <v>1214</v>
      </c>
      <c r="X260" t="s">
        <v>61</v>
      </c>
      <c r="Y260" t="s">
        <v>1215</v>
      </c>
    </row>
    <row r="261" spans="1:25" x14ac:dyDescent="0.2">
      <c r="A261" t="s">
        <v>1221</v>
      </c>
      <c r="B261" s="1">
        <f>VALUE(RIGHT(A261,LEN(A261)-3))</f>
        <v>193</v>
      </c>
      <c r="C261" t="s">
        <v>32</v>
      </c>
      <c r="D261" t="s">
        <v>4140</v>
      </c>
      <c r="E261" t="s">
        <v>1225</v>
      </c>
      <c r="F261">
        <v>1</v>
      </c>
      <c r="G261" t="s">
        <v>57</v>
      </c>
      <c r="H261">
        <v>1</v>
      </c>
      <c r="I261" t="s">
        <v>58</v>
      </c>
      <c r="J261" t="s">
        <v>1222</v>
      </c>
      <c r="K261">
        <v>37</v>
      </c>
      <c r="L261" t="s">
        <v>1223</v>
      </c>
      <c r="M261" t="s">
        <v>259</v>
      </c>
      <c r="N261" t="s">
        <v>43</v>
      </c>
      <c r="O261" t="s">
        <v>503</v>
      </c>
      <c r="P261" t="s">
        <v>1187</v>
      </c>
      <c r="V261" t="s">
        <v>367</v>
      </c>
      <c r="W261" t="s">
        <v>368</v>
      </c>
      <c r="X261" t="s">
        <v>61</v>
      </c>
      <c r="Y261" t="s">
        <v>1226</v>
      </c>
    </row>
    <row r="262" spans="1:25" x14ac:dyDescent="0.2">
      <c r="A262" t="s">
        <v>1227</v>
      </c>
      <c r="B262" s="1">
        <f>VALUE(RIGHT(A262,LEN(A262)-3))</f>
        <v>194</v>
      </c>
      <c r="C262" t="s">
        <v>32</v>
      </c>
      <c r="D262" t="s">
        <v>4140</v>
      </c>
      <c r="E262" t="s">
        <v>1229</v>
      </c>
      <c r="F262">
        <v>1</v>
      </c>
      <c r="G262" t="s">
        <v>57</v>
      </c>
      <c r="H262">
        <v>0</v>
      </c>
      <c r="J262" t="s">
        <v>1228</v>
      </c>
      <c r="L262" t="s">
        <v>112</v>
      </c>
      <c r="M262" t="s">
        <v>385</v>
      </c>
      <c r="N262" t="s">
        <v>43</v>
      </c>
      <c r="O262" t="s">
        <v>503</v>
      </c>
      <c r="P262" t="s">
        <v>520</v>
      </c>
      <c r="V262" t="s">
        <v>242</v>
      </c>
      <c r="W262" t="s">
        <v>786</v>
      </c>
      <c r="X262" t="s">
        <v>61</v>
      </c>
      <c r="Y262" t="s">
        <v>1230</v>
      </c>
    </row>
    <row r="263" spans="1:25" x14ac:dyDescent="0.2">
      <c r="A263" t="s">
        <v>1231</v>
      </c>
      <c r="B263" s="1">
        <f>VALUE(RIGHT(A263,LEN(A263)-3))</f>
        <v>195</v>
      </c>
      <c r="C263" t="s">
        <v>32</v>
      </c>
      <c r="D263" t="s">
        <v>4140</v>
      </c>
      <c r="E263" t="s">
        <v>1234</v>
      </c>
      <c r="F263">
        <v>2</v>
      </c>
      <c r="G263" t="s">
        <v>57</v>
      </c>
      <c r="H263">
        <v>1</v>
      </c>
      <c r="I263" t="s">
        <v>123</v>
      </c>
      <c r="J263" t="s">
        <v>1232</v>
      </c>
      <c r="L263" t="s">
        <v>27</v>
      </c>
      <c r="M263" t="s">
        <v>530</v>
      </c>
      <c r="N263" t="s">
        <v>43</v>
      </c>
      <c r="O263" t="s">
        <v>503</v>
      </c>
      <c r="P263" t="s">
        <v>520</v>
      </c>
      <c r="V263" t="s">
        <v>242</v>
      </c>
      <c r="W263" t="s">
        <v>543</v>
      </c>
      <c r="X263" t="s">
        <v>61</v>
      </c>
      <c r="Y263" t="s">
        <v>1235</v>
      </c>
    </row>
    <row r="264" spans="1:25" x14ac:dyDescent="0.2">
      <c r="A264" t="s">
        <v>1236</v>
      </c>
      <c r="B264" s="1">
        <f>VALUE(RIGHT(A264,LEN(A264)-3))</f>
        <v>196</v>
      </c>
      <c r="C264" t="s">
        <v>32</v>
      </c>
      <c r="D264" t="s">
        <v>4140</v>
      </c>
      <c r="E264" t="s">
        <v>1240</v>
      </c>
      <c r="F264">
        <v>1</v>
      </c>
      <c r="G264" t="s">
        <v>57</v>
      </c>
      <c r="H264">
        <v>2</v>
      </c>
      <c r="I264" t="s">
        <v>444</v>
      </c>
      <c r="J264" t="s">
        <v>1237</v>
      </c>
      <c r="L264" t="s">
        <v>178</v>
      </c>
      <c r="M264" t="s">
        <v>259</v>
      </c>
      <c r="N264" t="s">
        <v>43</v>
      </c>
      <c r="O264" t="s">
        <v>503</v>
      </c>
      <c r="P264" t="s">
        <v>1238</v>
      </c>
      <c r="V264" t="s">
        <v>103</v>
      </c>
      <c r="W264" t="s">
        <v>851</v>
      </c>
      <c r="X264" t="s">
        <v>61</v>
      </c>
      <c r="Y264" t="s">
        <v>1241</v>
      </c>
    </row>
    <row r="265" spans="1:25" x14ac:dyDescent="0.2">
      <c r="A265" t="s">
        <v>1242</v>
      </c>
      <c r="B265" s="1">
        <f>VALUE(RIGHT(A265,LEN(A265)-3))</f>
        <v>197</v>
      </c>
      <c r="C265" t="s">
        <v>32</v>
      </c>
      <c r="D265" t="s">
        <v>4140</v>
      </c>
      <c r="E265" t="s">
        <v>1244</v>
      </c>
      <c r="F265">
        <v>1</v>
      </c>
      <c r="G265" t="s">
        <v>57</v>
      </c>
      <c r="H265">
        <v>0</v>
      </c>
      <c r="J265" t="s">
        <v>1243</v>
      </c>
      <c r="K265">
        <v>37</v>
      </c>
      <c r="L265" t="s">
        <v>338</v>
      </c>
      <c r="M265" t="s">
        <v>264</v>
      </c>
      <c r="N265" t="s">
        <v>43</v>
      </c>
      <c r="O265" t="s">
        <v>503</v>
      </c>
      <c r="P265" t="s">
        <v>1187</v>
      </c>
      <c r="Q265">
        <v>4</v>
      </c>
      <c r="V265" t="s">
        <v>242</v>
      </c>
      <c r="W265" t="s">
        <v>786</v>
      </c>
      <c r="X265" t="s">
        <v>48</v>
      </c>
      <c r="Y265" t="s">
        <v>1245</v>
      </c>
    </row>
    <row r="266" spans="1:25" x14ac:dyDescent="0.2">
      <c r="A266" t="s">
        <v>1246</v>
      </c>
      <c r="B266" s="1">
        <f>VALUE(RIGHT(A266,LEN(A266)-3))</f>
        <v>198</v>
      </c>
      <c r="C266" t="s">
        <v>32</v>
      </c>
      <c r="D266" t="s">
        <v>4140</v>
      </c>
      <c r="E266" t="s">
        <v>1250</v>
      </c>
      <c r="F266">
        <v>1</v>
      </c>
      <c r="G266" t="s">
        <v>57</v>
      </c>
      <c r="H266">
        <v>3</v>
      </c>
      <c r="I266" t="s">
        <v>1251</v>
      </c>
      <c r="J266" t="s">
        <v>1247</v>
      </c>
      <c r="L266" t="s">
        <v>178</v>
      </c>
      <c r="M266" t="s">
        <v>1050</v>
      </c>
      <c r="N266" t="s">
        <v>43</v>
      </c>
      <c r="O266" t="s">
        <v>503</v>
      </c>
      <c r="P266" t="s">
        <v>1248</v>
      </c>
      <c r="R266">
        <v>70</v>
      </c>
      <c r="S266">
        <v>10</v>
      </c>
      <c r="V266" t="s">
        <v>242</v>
      </c>
      <c r="W266" t="s">
        <v>647</v>
      </c>
      <c r="X266" t="s">
        <v>48</v>
      </c>
      <c r="Y266" t="s">
        <v>1252</v>
      </c>
    </row>
    <row r="267" spans="1:25" x14ac:dyDescent="0.2">
      <c r="A267" t="s">
        <v>1257</v>
      </c>
      <c r="B267" s="1">
        <f>VALUE(RIGHT(A267,LEN(A267)-3))</f>
        <v>200</v>
      </c>
      <c r="C267" t="s">
        <v>32</v>
      </c>
      <c r="D267" t="s">
        <v>4140</v>
      </c>
      <c r="E267" t="s">
        <v>1260</v>
      </c>
      <c r="F267">
        <v>1</v>
      </c>
      <c r="G267" t="s">
        <v>57</v>
      </c>
      <c r="H267">
        <v>3</v>
      </c>
      <c r="I267" t="s">
        <v>1261</v>
      </c>
      <c r="J267" t="s">
        <v>1258</v>
      </c>
      <c r="L267" t="s">
        <v>178</v>
      </c>
      <c r="M267" t="s">
        <v>259</v>
      </c>
      <c r="N267" t="s">
        <v>43</v>
      </c>
      <c r="O267" t="s">
        <v>503</v>
      </c>
      <c r="P267" t="s">
        <v>1248</v>
      </c>
      <c r="R267">
        <v>200</v>
      </c>
      <c r="S267">
        <v>10</v>
      </c>
      <c r="T267">
        <v>1500</v>
      </c>
      <c r="U267">
        <v>40</v>
      </c>
      <c r="V267" t="s">
        <v>103</v>
      </c>
      <c r="W267" t="s">
        <v>47</v>
      </c>
      <c r="X267" t="s">
        <v>753</v>
      </c>
      <c r="Y267" t="s">
        <v>1262</v>
      </c>
    </row>
    <row r="268" spans="1:25" x14ac:dyDescent="0.2">
      <c r="A268" t="s">
        <v>1263</v>
      </c>
      <c r="B268" s="1">
        <f>VALUE(RIGHT(A268,LEN(A268)-3))</f>
        <v>201</v>
      </c>
      <c r="C268" t="s">
        <v>32</v>
      </c>
      <c r="D268" t="s">
        <v>4140</v>
      </c>
      <c r="E268" t="s">
        <v>1267</v>
      </c>
      <c r="F268">
        <v>1</v>
      </c>
      <c r="G268" t="s">
        <v>57</v>
      </c>
      <c r="H268">
        <v>1</v>
      </c>
      <c r="I268" t="s">
        <v>68</v>
      </c>
      <c r="J268" t="s">
        <v>1264</v>
      </c>
      <c r="L268" t="s">
        <v>1265</v>
      </c>
      <c r="M268" t="s">
        <v>1266</v>
      </c>
      <c r="N268" t="s">
        <v>43</v>
      </c>
      <c r="O268" t="s">
        <v>503</v>
      </c>
      <c r="P268" t="s">
        <v>1169</v>
      </c>
      <c r="V268" t="s">
        <v>103</v>
      </c>
      <c r="W268" t="s">
        <v>845</v>
      </c>
      <c r="X268" t="s">
        <v>61</v>
      </c>
      <c r="Y268" t="s">
        <v>1268</v>
      </c>
    </row>
    <row r="269" spans="1:25" x14ac:dyDescent="0.2">
      <c r="A269" t="s">
        <v>1276</v>
      </c>
      <c r="B269" s="1">
        <f>VALUE(RIGHT(A269,LEN(A269)-3))</f>
        <v>203</v>
      </c>
      <c r="C269" t="s">
        <v>32</v>
      </c>
      <c r="D269" t="s">
        <v>4140</v>
      </c>
      <c r="E269" t="s">
        <v>1280</v>
      </c>
      <c r="F269">
        <v>2</v>
      </c>
      <c r="G269" t="s">
        <v>94</v>
      </c>
      <c r="H269">
        <v>5</v>
      </c>
      <c r="I269" t="s">
        <v>1281</v>
      </c>
      <c r="J269" t="s">
        <v>1277</v>
      </c>
      <c r="L269" t="s">
        <v>690</v>
      </c>
      <c r="M269" t="s">
        <v>530</v>
      </c>
      <c r="N269" t="s">
        <v>43</v>
      </c>
      <c r="O269" t="s">
        <v>503</v>
      </c>
      <c r="P269" t="s">
        <v>1278</v>
      </c>
      <c r="V269" t="s">
        <v>242</v>
      </c>
      <c r="W269" t="s">
        <v>1282</v>
      </c>
      <c r="X269" t="s">
        <v>779</v>
      </c>
      <c r="Y269" t="s">
        <v>1283</v>
      </c>
    </row>
    <row r="270" spans="1:25" x14ac:dyDescent="0.2">
      <c r="A270" t="s">
        <v>1284</v>
      </c>
      <c r="B270" s="1">
        <f>VALUE(RIGHT(A270,LEN(A270)-3))</f>
        <v>204</v>
      </c>
      <c r="C270" t="s">
        <v>32</v>
      </c>
      <c r="D270" t="s">
        <v>4140</v>
      </c>
      <c r="E270" t="s">
        <v>1287</v>
      </c>
      <c r="F270">
        <v>1</v>
      </c>
      <c r="G270" t="s">
        <v>57</v>
      </c>
      <c r="H270">
        <v>0</v>
      </c>
      <c r="J270" t="s">
        <v>1285</v>
      </c>
      <c r="L270" t="s">
        <v>338</v>
      </c>
      <c r="M270" t="s">
        <v>259</v>
      </c>
      <c r="N270" t="s">
        <v>43</v>
      </c>
      <c r="O270" t="s">
        <v>503</v>
      </c>
      <c r="P270" t="s">
        <v>1051</v>
      </c>
      <c r="V270" t="s">
        <v>103</v>
      </c>
      <c r="W270" t="s">
        <v>851</v>
      </c>
      <c r="X270" t="s">
        <v>48</v>
      </c>
      <c r="Y270" t="s">
        <v>1288</v>
      </c>
    </row>
    <row r="271" spans="1:25" x14ac:dyDescent="0.2">
      <c r="A271" t="s">
        <v>1289</v>
      </c>
      <c r="B271" s="1">
        <f>VALUE(RIGHT(A271,LEN(A271)-3))</f>
        <v>205</v>
      </c>
      <c r="C271" t="s">
        <v>32</v>
      </c>
      <c r="D271" t="s">
        <v>4140</v>
      </c>
      <c r="E271" t="s">
        <v>1292</v>
      </c>
      <c r="F271">
        <v>1</v>
      </c>
      <c r="G271" t="s">
        <v>57</v>
      </c>
      <c r="H271">
        <v>0</v>
      </c>
      <c r="J271" t="s">
        <v>1290</v>
      </c>
      <c r="L271" t="s">
        <v>357</v>
      </c>
      <c r="M271" t="s">
        <v>1291</v>
      </c>
      <c r="N271" t="s">
        <v>43</v>
      </c>
      <c r="O271" t="s">
        <v>503</v>
      </c>
      <c r="P271" t="s">
        <v>520</v>
      </c>
      <c r="V271" t="s">
        <v>242</v>
      </c>
      <c r="W271" t="s">
        <v>786</v>
      </c>
      <c r="X271" t="s">
        <v>48</v>
      </c>
      <c r="Y271" t="s">
        <v>1293</v>
      </c>
    </row>
    <row r="272" spans="1:25" x14ac:dyDescent="0.2">
      <c r="A272" t="s">
        <v>1306</v>
      </c>
      <c r="B272" s="1">
        <f>VALUE(RIGHT(A272,LEN(A272)-3))</f>
        <v>208</v>
      </c>
      <c r="C272" t="s">
        <v>32</v>
      </c>
      <c r="D272" t="s">
        <v>4140</v>
      </c>
      <c r="E272" t="s">
        <v>1309</v>
      </c>
      <c r="F272">
        <v>1</v>
      </c>
      <c r="G272" t="s">
        <v>57</v>
      </c>
      <c r="H272">
        <v>0</v>
      </c>
      <c r="J272" t="s">
        <v>1307</v>
      </c>
      <c r="L272" t="s">
        <v>178</v>
      </c>
      <c r="M272" t="s">
        <v>552</v>
      </c>
      <c r="N272" t="s">
        <v>43</v>
      </c>
      <c r="O272" t="s">
        <v>503</v>
      </c>
      <c r="P272" t="s">
        <v>520</v>
      </c>
      <c r="V272" t="s">
        <v>103</v>
      </c>
      <c r="W272" t="s">
        <v>104</v>
      </c>
      <c r="X272" t="s">
        <v>48</v>
      </c>
      <c r="Y272" t="s">
        <v>1310</v>
      </c>
    </row>
    <row r="273" spans="1:25" x14ac:dyDescent="0.2">
      <c r="A273" t="s">
        <v>1311</v>
      </c>
      <c r="B273" s="1">
        <f>VALUE(RIGHT(A273,LEN(A273)-3))</f>
        <v>209</v>
      </c>
      <c r="C273" t="s">
        <v>32</v>
      </c>
      <c r="D273" t="s">
        <v>4140</v>
      </c>
      <c r="E273" t="s">
        <v>1315</v>
      </c>
      <c r="F273">
        <v>1</v>
      </c>
      <c r="G273" t="s">
        <v>35</v>
      </c>
      <c r="H273">
        <v>1</v>
      </c>
      <c r="I273" t="s">
        <v>123</v>
      </c>
      <c r="J273" t="s">
        <v>1312</v>
      </c>
      <c r="L273" t="s">
        <v>338</v>
      </c>
      <c r="M273" t="s">
        <v>1313</v>
      </c>
      <c r="N273" t="s">
        <v>43</v>
      </c>
      <c r="O273" t="s">
        <v>503</v>
      </c>
      <c r="P273" t="s">
        <v>520</v>
      </c>
      <c r="V273" t="s">
        <v>242</v>
      </c>
      <c r="W273" t="s">
        <v>47</v>
      </c>
      <c r="X273" t="s">
        <v>61</v>
      </c>
      <c r="Y273" t="s">
        <v>1316</v>
      </c>
    </row>
    <row r="274" spans="1:25" x14ac:dyDescent="0.2">
      <c r="A274" t="s">
        <v>1317</v>
      </c>
      <c r="B274" s="1">
        <f>VALUE(RIGHT(A274,LEN(A274)-3))</f>
        <v>210</v>
      </c>
      <c r="C274" t="s">
        <v>32</v>
      </c>
      <c r="D274" t="s">
        <v>4140</v>
      </c>
      <c r="E274" t="s">
        <v>1319</v>
      </c>
      <c r="F274">
        <v>1</v>
      </c>
      <c r="G274" t="s">
        <v>57</v>
      </c>
      <c r="H274">
        <v>1</v>
      </c>
      <c r="I274" t="s">
        <v>68</v>
      </c>
      <c r="J274" t="s">
        <v>1318</v>
      </c>
      <c r="L274" t="s">
        <v>217</v>
      </c>
      <c r="M274" t="s">
        <v>1199</v>
      </c>
      <c r="N274" t="s">
        <v>43</v>
      </c>
      <c r="O274" t="s">
        <v>503</v>
      </c>
      <c r="P274" t="s">
        <v>1187</v>
      </c>
      <c r="V274" t="s">
        <v>242</v>
      </c>
      <c r="W274" t="s">
        <v>1320</v>
      </c>
      <c r="X274" t="s">
        <v>48</v>
      </c>
      <c r="Y274" t="s">
        <v>1321</v>
      </c>
    </row>
    <row r="275" spans="1:25" x14ac:dyDescent="0.2">
      <c r="A275" t="s">
        <v>1322</v>
      </c>
      <c r="B275" s="1">
        <f>VALUE(RIGHT(A275,LEN(A275)-3))</f>
        <v>211</v>
      </c>
      <c r="C275" t="s">
        <v>32</v>
      </c>
      <c r="D275" t="s">
        <v>4140</v>
      </c>
      <c r="E275" t="s">
        <v>1325</v>
      </c>
      <c r="F275">
        <v>1</v>
      </c>
      <c r="G275" t="s">
        <v>35</v>
      </c>
      <c r="H275">
        <v>0</v>
      </c>
      <c r="J275" t="s">
        <v>1323</v>
      </c>
      <c r="L275" t="s">
        <v>178</v>
      </c>
      <c r="M275" t="s">
        <v>490</v>
      </c>
      <c r="N275" t="s">
        <v>43</v>
      </c>
      <c r="O275" t="s">
        <v>503</v>
      </c>
      <c r="P275" t="s">
        <v>1090</v>
      </c>
      <c r="V275" t="s">
        <v>242</v>
      </c>
      <c r="W275" t="s">
        <v>786</v>
      </c>
      <c r="X275" t="s">
        <v>61</v>
      </c>
      <c r="Y275" t="s">
        <v>1326</v>
      </c>
    </row>
    <row r="276" spans="1:25" x14ac:dyDescent="0.2">
      <c r="A276" t="s">
        <v>1331</v>
      </c>
      <c r="B276" s="1">
        <f>VALUE(RIGHT(A276,LEN(A276)-3))</f>
        <v>213</v>
      </c>
      <c r="C276" t="s">
        <v>32</v>
      </c>
      <c r="D276" t="s">
        <v>4140</v>
      </c>
      <c r="E276" t="s">
        <v>1334</v>
      </c>
      <c r="F276">
        <v>1</v>
      </c>
      <c r="G276" t="s">
        <v>57</v>
      </c>
      <c r="H276">
        <v>1</v>
      </c>
      <c r="I276" t="s">
        <v>1105</v>
      </c>
      <c r="J276" t="s">
        <v>1332</v>
      </c>
      <c r="L276" t="s">
        <v>178</v>
      </c>
      <c r="M276" t="s">
        <v>1333</v>
      </c>
      <c r="N276" t="s">
        <v>43</v>
      </c>
      <c r="O276" t="s">
        <v>503</v>
      </c>
      <c r="P276" t="s">
        <v>520</v>
      </c>
      <c r="V276" t="s">
        <v>242</v>
      </c>
      <c r="W276" t="s">
        <v>786</v>
      </c>
      <c r="X276" t="s">
        <v>48</v>
      </c>
      <c r="Y276" t="s">
        <v>1335</v>
      </c>
    </row>
    <row r="277" spans="1:25" x14ac:dyDescent="0.2">
      <c r="A277" t="s">
        <v>1341</v>
      </c>
      <c r="B277" s="1">
        <f>VALUE(RIGHT(A277,LEN(A277)-3))</f>
        <v>215</v>
      </c>
      <c r="C277" t="s">
        <v>32</v>
      </c>
      <c r="D277" t="s">
        <v>4140</v>
      </c>
      <c r="E277" t="s">
        <v>1344</v>
      </c>
      <c r="F277">
        <v>1</v>
      </c>
      <c r="G277" t="s">
        <v>57</v>
      </c>
      <c r="H277">
        <v>0</v>
      </c>
      <c r="J277" t="s">
        <v>1342</v>
      </c>
      <c r="L277" t="s">
        <v>402</v>
      </c>
      <c r="M277" t="s">
        <v>259</v>
      </c>
      <c r="N277" t="s">
        <v>43</v>
      </c>
      <c r="O277" t="s">
        <v>503</v>
      </c>
      <c r="P277" t="s">
        <v>1238</v>
      </c>
      <c r="V277" t="s">
        <v>242</v>
      </c>
      <c r="W277" t="s">
        <v>47</v>
      </c>
      <c r="X277" t="s">
        <v>61</v>
      </c>
      <c r="Y277" t="s">
        <v>1345</v>
      </c>
    </row>
    <row r="278" spans="1:25" x14ac:dyDescent="0.2">
      <c r="A278" t="s">
        <v>1346</v>
      </c>
      <c r="B278" s="1">
        <f>VALUE(RIGHT(A278,LEN(A278)-3))</f>
        <v>216</v>
      </c>
      <c r="C278" t="s">
        <v>32</v>
      </c>
      <c r="D278" t="s">
        <v>4140</v>
      </c>
      <c r="E278" t="s">
        <v>1348</v>
      </c>
      <c r="F278">
        <v>1</v>
      </c>
      <c r="G278" t="s">
        <v>35</v>
      </c>
      <c r="H278">
        <v>1</v>
      </c>
      <c r="I278" t="s">
        <v>123</v>
      </c>
      <c r="J278" t="s">
        <v>1347</v>
      </c>
      <c r="L278" t="s">
        <v>338</v>
      </c>
      <c r="M278" t="s">
        <v>1313</v>
      </c>
      <c r="N278" t="s">
        <v>43</v>
      </c>
      <c r="O278" t="s">
        <v>503</v>
      </c>
      <c r="P278" t="s">
        <v>1187</v>
      </c>
      <c r="V278" t="s">
        <v>242</v>
      </c>
      <c r="W278" t="s">
        <v>47</v>
      </c>
      <c r="X278" t="s">
        <v>61</v>
      </c>
      <c r="Y278" t="s">
        <v>1349</v>
      </c>
    </row>
    <row r="279" spans="1:25" x14ac:dyDescent="0.2">
      <c r="A279" t="s">
        <v>1350</v>
      </c>
      <c r="B279" s="1">
        <f>VALUE(RIGHT(A279,LEN(A279)-3))</f>
        <v>217</v>
      </c>
      <c r="C279" t="s">
        <v>32</v>
      </c>
      <c r="D279" t="s">
        <v>4140</v>
      </c>
      <c r="E279" t="s">
        <v>1353</v>
      </c>
      <c r="F279">
        <v>1</v>
      </c>
      <c r="G279" t="s">
        <v>35</v>
      </c>
      <c r="H279">
        <v>1</v>
      </c>
      <c r="I279" t="s">
        <v>1354</v>
      </c>
      <c r="J279" t="s">
        <v>1351</v>
      </c>
      <c r="L279" t="s">
        <v>551</v>
      </c>
      <c r="M279" t="s">
        <v>697</v>
      </c>
      <c r="N279" t="s">
        <v>43</v>
      </c>
      <c r="O279" t="s">
        <v>503</v>
      </c>
      <c r="P279" t="s">
        <v>1187</v>
      </c>
      <c r="V279" t="s">
        <v>242</v>
      </c>
      <c r="W279" t="s">
        <v>47</v>
      </c>
      <c r="X279" t="s">
        <v>341</v>
      </c>
      <c r="Y279" t="s">
        <v>1355</v>
      </c>
    </row>
    <row r="280" spans="1:25" x14ac:dyDescent="0.2">
      <c r="A280" t="s">
        <v>1356</v>
      </c>
      <c r="B280" s="1">
        <f>VALUE(RIGHT(A280,LEN(A280)-3))</f>
        <v>218</v>
      </c>
      <c r="C280" t="s">
        <v>32</v>
      </c>
      <c r="D280" t="s">
        <v>4140</v>
      </c>
      <c r="E280" t="s">
        <v>1358</v>
      </c>
      <c r="F280">
        <v>1</v>
      </c>
      <c r="G280" t="s">
        <v>57</v>
      </c>
      <c r="H280">
        <v>1</v>
      </c>
      <c r="I280" t="s">
        <v>291</v>
      </c>
      <c r="J280" t="s">
        <v>1357</v>
      </c>
      <c r="L280" t="s">
        <v>338</v>
      </c>
      <c r="M280" t="s">
        <v>1313</v>
      </c>
      <c r="N280" t="s">
        <v>43</v>
      </c>
      <c r="O280" t="s">
        <v>503</v>
      </c>
      <c r="P280" t="s">
        <v>1051</v>
      </c>
      <c r="V280" t="s">
        <v>242</v>
      </c>
      <c r="W280" t="s">
        <v>1359</v>
      </c>
      <c r="X280" t="s">
        <v>48</v>
      </c>
      <c r="Y280" t="s">
        <v>1360</v>
      </c>
    </row>
    <row r="281" spans="1:25" x14ac:dyDescent="0.2">
      <c r="A281" t="s">
        <v>1361</v>
      </c>
      <c r="B281" s="1">
        <f>VALUE(RIGHT(A281,LEN(A281)-3))</f>
        <v>219</v>
      </c>
      <c r="C281" t="s">
        <v>32</v>
      </c>
      <c r="D281" t="s">
        <v>4140</v>
      </c>
      <c r="E281" t="s">
        <v>1364</v>
      </c>
      <c r="F281">
        <v>2</v>
      </c>
      <c r="G281" t="s">
        <v>94</v>
      </c>
      <c r="H281">
        <v>2</v>
      </c>
      <c r="I281" t="s">
        <v>123</v>
      </c>
      <c r="J281" t="s">
        <v>1362</v>
      </c>
      <c r="L281" t="s">
        <v>27</v>
      </c>
      <c r="M281" t="s">
        <v>1199</v>
      </c>
      <c r="N281" t="s">
        <v>43</v>
      </c>
      <c r="O281" t="s">
        <v>503</v>
      </c>
      <c r="P281" t="s">
        <v>1169</v>
      </c>
      <c r="V281" t="s">
        <v>103</v>
      </c>
      <c r="W281" t="s">
        <v>934</v>
      </c>
      <c r="X281" t="s">
        <v>61</v>
      </c>
      <c r="Y281" t="s">
        <v>1365</v>
      </c>
    </row>
    <row r="282" spans="1:25" x14ac:dyDescent="0.2">
      <c r="A282" t="s">
        <v>1366</v>
      </c>
      <c r="B282" s="1">
        <f>VALUE(RIGHT(A282,LEN(A282)-3))</f>
        <v>220</v>
      </c>
      <c r="C282" t="s">
        <v>32</v>
      </c>
      <c r="D282" t="s">
        <v>4140</v>
      </c>
      <c r="E282" t="s">
        <v>1369</v>
      </c>
      <c r="F282">
        <v>3</v>
      </c>
      <c r="G282" t="s">
        <v>94</v>
      </c>
      <c r="H282">
        <v>4</v>
      </c>
      <c r="I282" t="s">
        <v>907</v>
      </c>
      <c r="J282" t="s">
        <v>1367</v>
      </c>
      <c r="L282" t="s">
        <v>27</v>
      </c>
      <c r="M282" t="s">
        <v>259</v>
      </c>
      <c r="N282" t="s">
        <v>43</v>
      </c>
      <c r="O282" t="s">
        <v>503</v>
      </c>
      <c r="P282" t="s">
        <v>1193</v>
      </c>
      <c r="R282">
        <v>23</v>
      </c>
      <c r="V282" t="s">
        <v>173</v>
      </c>
      <c r="W282" t="s">
        <v>647</v>
      </c>
      <c r="X282" t="s">
        <v>61</v>
      </c>
      <c r="Y282" t="s">
        <v>1370</v>
      </c>
    </row>
    <row r="283" spans="1:25" x14ac:dyDescent="0.2">
      <c r="A283" t="s">
        <v>1371</v>
      </c>
      <c r="B283" s="1">
        <f>VALUE(RIGHT(A283,LEN(A283)-3))</f>
        <v>221</v>
      </c>
      <c r="C283" t="s">
        <v>32</v>
      </c>
      <c r="D283" t="s">
        <v>4140</v>
      </c>
      <c r="E283" t="s">
        <v>1376</v>
      </c>
      <c r="F283">
        <v>1</v>
      </c>
      <c r="G283" t="s">
        <v>57</v>
      </c>
      <c r="H283">
        <v>0</v>
      </c>
      <c r="J283" t="s">
        <v>1372</v>
      </c>
      <c r="L283" t="s">
        <v>722</v>
      </c>
      <c r="M283" t="s">
        <v>1373</v>
      </c>
      <c r="N283" t="s">
        <v>43</v>
      </c>
      <c r="O283" t="s">
        <v>503</v>
      </c>
      <c r="P283" t="s">
        <v>1374</v>
      </c>
      <c r="V283" t="s">
        <v>242</v>
      </c>
      <c r="W283" t="s">
        <v>786</v>
      </c>
      <c r="X283" t="s">
        <v>61</v>
      </c>
      <c r="Y283" t="s">
        <v>1377</v>
      </c>
    </row>
    <row r="284" spans="1:25" x14ac:dyDescent="0.2">
      <c r="A284" t="s">
        <v>1378</v>
      </c>
      <c r="B284" s="1">
        <f>VALUE(RIGHT(A284,LEN(A284)-3))</f>
        <v>222</v>
      </c>
      <c r="C284" t="s">
        <v>32</v>
      </c>
      <c r="D284" t="s">
        <v>4140</v>
      </c>
      <c r="E284" t="s">
        <v>1382</v>
      </c>
      <c r="F284">
        <v>2</v>
      </c>
      <c r="G284" t="s">
        <v>94</v>
      </c>
      <c r="H284">
        <v>1</v>
      </c>
      <c r="I284" t="s">
        <v>58</v>
      </c>
      <c r="J284" t="s">
        <v>1379</v>
      </c>
      <c r="L284" t="s">
        <v>217</v>
      </c>
      <c r="M284" t="s">
        <v>259</v>
      </c>
      <c r="N284" t="s">
        <v>43</v>
      </c>
      <c r="O284" t="s">
        <v>503</v>
      </c>
      <c r="P284" t="s">
        <v>1380</v>
      </c>
      <c r="R284">
        <v>230</v>
      </c>
      <c r="T284">
        <v>2000</v>
      </c>
      <c r="V284" t="s">
        <v>103</v>
      </c>
      <c r="W284" t="s">
        <v>104</v>
      </c>
      <c r="X284" t="s">
        <v>61</v>
      </c>
      <c r="Y284" t="s">
        <v>1383</v>
      </c>
    </row>
    <row r="285" spans="1:25" x14ac:dyDescent="0.2">
      <c r="A285" t="s">
        <v>1402</v>
      </c>
      <c r="B285" s="1">
        <f>VALUE(RIGHT(A285,LEN(A285)-3))</f>
        <v>226</v>
      </c>
      <c r="C285" t="s">
        <v>32</v>
      </c>
      <c r="D285" t="s">
        <v>4140</v>
      </c>
      <c r="E285" t="s">
        <v>1406</v>
      </c>
      <c r="F285">
        <v>2</v>
      </c>
      <c r="G285" t="s">
        <v>57</v>
      </c>
      <c r="H285">
        <v>2</v>
      </c>
      <c r="I285" t="s">
        <v>241</v>
      </c>
      <c r="J285" t="s">
        <v>1403</v>
      </c>
      <c r="L285" t="s">
        <v>27</v>
      </c>
      <c r="M285" t="s">
        <v>1404</v>
      </c>
      <c r="N285" t="s">
        <v>43</v>
      </c>
      <c r="O285" t="s">
        <v>503</v>
      </c>
      <c r="P285" t="s">
        <v>520</v>
      </c>
      <c r="V285" t="s">
        <v>173</v>
      </c>
      <c r="W285" t="s">
        <v>1407</v>
      </c>
      <c r="X285" t="s">
        <v>61</v>
      </c>
      <c r="Y285" t="s">
        <v>1408</v>
      </c>
    </row>
    <row r="286" spans="1:25" x14ac:dyDescent="0.2">
      <c r="A286" t="s">
        <v>1424</v>
      </c>
      <c r="B286" s="1">
        <f>VALUE(RIGHT(A286,LEN(A286)-3))</f>
        <v>230</v>
      </c>
      <c r="C286" t="s">
        <v>32</v>
      </c>
      <c r="D286" t="s">
        <v>4140</v>
      </c>
      <c r="E286" t="s">
        <v>1426</v>
      </c>
      <c r="F286">
        <v>1</v>
      </c>
      <c r="G286" t="s">
        <v>35</v>
      </c>
      <c r="H286">
        <v>0</v>
      </c>
      <c r="J286" t="s">
        <v>1425</v>
      </c>
      <c r="L286" t="s">
        <v>258</v>
      </c>
      <c r="M286" t="s">
        <v>822</v>
      </c>
      <c r="N286" t="s">
        <v>43</v>
      </c>
      <c r="O286" t="s">
        <v>503</v>
      </c>
      <c r="P286" t="s">
        <v>520</v>
      </c>
      <c r="V286" t="s">
        <v>242</v>
      </c>
      <c r="W286" t="s">
        <v>786</v>
      </c>
      <c r="X286" t="s">
        <v>61</v>
      </c>
      <c r="Y286" t="s">
        <v>1427</v>
      </c>
    </row>
    <row r="287" spans="1:25" x14ac:dyDescent="0.2">
      <c r="A287" t="s">
        <v>1449</v>
      </c>
      <c r="B287" s="1">
        <f>VALUE(RIGHT(A287,LEN(A287)-3))</f>
        <v>235</v>
      </c>
      <c r="C287" t="s">
        <v>32</v>
      </c>
      <c r="D287" t="s">
        <v>4140</v>
      </c>
      <c r="E287" t="s">
        <v>1452</v>
      </c>
      <c r="F287">
        <v>1</v>
      </c>
      <c r="G287" t="s">
        <v>35</v>
      </c>
      <c r="H287">
        <v>2</v>
      </c>
      <c r="I287" t="s">
        <v>241</v>
      </c>
      <c r="J287" t="s">
        <v>1445</v>
      </c>
      <c r="L287" t="s">
        <v>178</v>
      </c>
      <c r="M287" t="s">
        <v>1450</v>
      </c>
      <c r="N287" t="s">
        <v>43</v>
      </c>
      <c r="O287" t="s">
        <v>503</v>
      </c>
      <c r="P287" t="s">
        <v>1210</v>
      </c>
      <c r="Q287">
        <v>10</v>
      </c>
      <c r="V287" t="s">
        <v>173</v>
      </c>
      <c r="W287" t="s">
        <v>916</v>
      </c>
      <c r="X287" t="s">
        <v>1453</v>
      </c>
      <c r="Y287" t="s">
        <v>1454</v>
      </c>
    </row>
    <row r="288" spans="1:25" x14ac:dyDescent="0.2">
      <c r="A288" t="s">
        <v>1461</v>
      </c>
      <c r="B288" s="1">
        <f>VALUE(RIGHT(A288,LEN(A288)-3))</f>
        <v>237</v>
      </c>
      <c r="C288" t="s">
        <v>32</v>
      </c>
      <c r="D288" t="s">
        <v>4140</v>
      </c>
      <c r="E288" t="s">
        <v>1464</v>
      </c>
      <c r="F288">
        <v>2</v>
      </c>
      <c r="G288" t="s">
        <v>57</v>
      </c>
      <c r="H288">
        <v>0</v>
      </c>
      <c r="J288" t="s">
        <v>1462</v>
      </c>
      <c r="K288">
        <v>38</v>
      </c>
      <c r="L288" t="s">
        <v>402</v>
      </c>
      <c r="M288" t="s">
        <v>385</v>
      </c>
      <c r="N288" t="s">
        <v>43</v>
      </c>
      <c r="O288" t="s">
        <v>503</v>
      </c>
      <c r="P288" t="s">
        <v>1187</v>
      </c>
      <c r="V288" t="s">
        <v>242</v>
      </c>
      <c r="W288" t="s">
        <v>1183</v>
      </c>
      <c r="X288" t="s">
        <v>61</v>
      </c>
      <c r="Y288" t="s">
        <v>1465</v>
      </c>
    </row>
    <row r="289" spans="1:25" x14ac:dyDescent="0.2">
      <c r="A289" t="s">
        <v>1471</v>
      </c>
      <c r="B289" s="1">
        <f>VALUE(RIGHT(A289,LEN(A289)-3))</f>
        <v>239</v>
      </c>
      <c r="C289" t="s">
        <v>32</v>
      </c>
      <c r="D289" t="s">
        <v>4140</v>
      </c>
      <c r="E289" t="s">
        <v>1473</v>
      </c>
      <c r="F289">
        <v>1</v>
      </c>
      <c r="G289" t="s">
        <v>57</v>
      </c>
      <c r="H289">
        <v>1</v>
      </c>
      <c r="I289" t="s">
        <v>123</v>
      </c>
      <c r="J289" t="s">
        <v>1467</v>
      </c>
      <c r="L289" t="s">
        <v>120</v>
      </c>
      <c r="M289" t="s">
        <v>1199</v>
      </c>
      <c r="N289" t="s">
        <v>43</v>
      </c>
      <c r="O289" t="s">
        <v>503</v>
      </c>
      <c r="P289" t="s">
        <v>520</v>
      </c>
      <c r="V289" t="s">
        <v>242</v>
      </c>
      <c r="W289" t="s">
        <v>786</v>
      </c>
      <c r="X289" t="s">
        <v>61</v>
      </c>
      <c r="Y289" t="s">
        <v>1474</v>
      </c>
    </row>
    <row r="290" spans="1:25" x14ac:dyDescent="0.2">
      <c r="A290" t="s">
        <v>1475</v>
      </c>
      <c r="B290" s="1">
        <f>VALUE(RIGHT(A290,LEN(A290)-3))</f>
        <v>240</v>
      </c>
      <c r="C290" t="s">
        <v>32</v>
      </c>
      <c r="D290" t="s">
        <v>4140</v>
      </c>
      <c r="E290" t="s">
        <v>1478</v>
      </c>
      <c r="F290">
        <v>1</v>
      </c>
      <c r="G290" t="s">
        <v>57</v>
      </c>
      <c r="H290">
        <v>1</v>
      </c>
      <c r="I290" t="s">
        <v>68</v>
      </c>
      <c r="J290" t="s">
        <v>1476</v>
      </c>
      <c r="L290" t="s">
        <v>178</v>
      </c>
      <c r="M290" t="s">
        <v>259</v>
      </c>
      <c r="N290" t="s">
        <v>43</v>
      </c>
      <c r="O290" t="s">
        <v>503</v>
      </c>
      <c r="P290" t="s">
        <v>520</v>
      </c>
      <c r="V290" t="s">
        <v>103</v>
      </c>
      <c r="W290" t="s">
        <v>845</v>
      </c>
      <c r="X290" t="s">
        <v>445</v>
      </c>
      <c r="Y290" t="s">
        <v>1479</v>
      </c>
    </row>
    <row r="291" spans="1:25" x14ac:dyDescent="0.2">
      <c r="A291" t="s">
        <v>1485</v>
      </c>
      <c r="B291" s="1">
        <f>VALUE(RIGHT(A291,LEN(A291)-3))</f>
        <v>242</v>
      </c>
      <c r="C291" t="s">
        <v>32</v>
      </c>
      <c r="D291" t="s">
        <v>4140</v>
      </c>
      <c r="E291" t="s">
        <v>1487</v>
      </c>
      <c r="F291">
        <v>1</v>
      </c>
      <c r="G291" t="s">
        <v>57</v>
      </c>
      <c r="H291">
        <v>0</v>
      </c>
      <c r="J291" t="s">
        <v>1486</v>
      </c>
      <c r="K291">
        <v>26</v>
      </c>
      <c r="L291" t="s">
        <v>120</v>
      </c>
      <c r="M291" t="s">
        <v>300</v>
      </c>
      <c r="N291" t="s">
        <v>43</v>
      </c>
      <c r="O291" t="s">
        <v>503</v>
      </c>
      <c r="P291" t="s">
        <v>1391</v>
      </c>
      <c r="Q291">
        <v>4</v>
      </c>
      <c r="V291" t="s">
        <v>103</v>
      </c>
      <c r="W291" t="s">
        <v>851</v>
      </c>
      <c r="X291" t="s">
        <v>61</v>
      </c>
      <c r="Y291" t="s">
        <v>1488</v>
      </c>
    </row>
    <row r="292" spans="1:25" x14ac:dyDescent="0.2">
      <c r="A292" t="s">
        <v>1489</v>
      </c>
      <c r="B292" s="1">
        <f>VALUE(RIGHT(A292,LEN(A292)-3))</f>
        <v>243</v>
      </c>
      <c r="C292" t="s">
        <v>32</v>
      </c>
      <c r="D292" t="s">
        <v>4140</v>
      </c>
      <c r="E292" t="s">
        <v>1491</v>
      </c>
      <c r="F292">
        <v>1</v>
      </c>
      <c r="G292" t="s">
        <v>57</v>
      </c>
      <c r="H292">
        <v>0</v>
      </c>
      <c r="J292" t="s">
        <v>1490</v>
      </c>
      <c r="L292" t="s">
        <v>357</v>
      </c>
      <c r="M292" t="s">
        <v>1121</v>
      </c>
      <c r="N292" t="s">
        <v>43</v>
      </c>
      <c r="O292" t="s">
        <v>503</v>
      </c>
      <c r="P292" t="s">
        <v>1391</v>
      </c>
      <c r="V292" t="s">
        <v>242</v>
      </c>
      <c r="W292" t="s">
        <v>786</v>
      </c>
      <c r="X292" t="s">
        <v>61</v>
      </c>
      <c r="Y292" t="s">
        <v>1492</v>
      </c>
    </row>
    <row r="293" spans="1:25" x14ac:dyDescent="0.2">
      <c r="A293" t="s">
        <v>1499</v>
      </c>
      <c r="B293" s="1">
        <f>VALUE(RIGHT(A293,LEN(A293)-3))</f>
        <v>245</v>
      </c>
      <c r="C293" t="s">
        <v>32</v>
      </c>
      <c r="D293" t="s">
        <v>4140</v>
      </c>
      <c r="E293" t="s">
        <v>1504</v>
      </c>
      <c r="F293">
        <v>1</v>
      </c>
      <c r="G293" t="s">
        <v>57</v>
      </c>
      <c r="H293">
        <v>0</v>
      </c>
      <c r="J293" t="s">
        <v>1500</v>
      </c>
      <c r="L293" t="s">
        <v>1501</v>
      </c>
      <c r="M293" t="s">
        <v>1271</v>
      </c>
      <c r="N293" t="s">
        <v>43</v>
      </c>
      <c r="O293" t="s">
        <v>503</v>
      </c>
      <c r="P293" t="s">
        <v>1502</v>
      </c>
      <c r="Q293">
        <v>11</v>
      </c>
      <c r="V293" t="s">
        <v>242</v>
      </c>
      <c r="W293" t="s">
        <v>786</v>
      </c>
      <c r="X293" t="s">
        <v>61</v>
      </c>
      <c r="Y293" t="s">
        <v>1505</v>
      </c>
    </row>
    <row r="294" spans="1:25" x14ac:dyDescent="0.2">
      <c r="A294" t="s">
        <v>1506</v>
      </c>
      <c r="B294" s="1">
        <f>VALUE(RIGHT(A294,LEN(A294)-3))</f>
        <v>246</v>
      </c>
      <c r="C294" t="s">
        <v>32</v>
      </c>
      <c r="D294" t="s">
        <v>4140</v>
      </c>
      <c r="E294" t="s">
        <v>1510</v>
      </c>
      <c r="F294">
        <v>1</v>
      </c>
      <c r="G294" t="s">
        <v>35</v>
      </c>
      <c r="H294">
        <v>0</v>
      </c>
      <c r="J294" t="s">
        <v>1507</v>
      </c>
      <c r="L294" t="s">
        <v>1508</v>
      </c>
      <c r="M294" t="s">
        <v>1097</v>
      </c>
      <c r="N294" t="s">
        <v>43</v>
      </c>
      <c r="O294" t="s">
        <v>503</v>
      </c>
      <c r="P294" t="s">
        <v>520</v>
      </c>
      <c r="R294">
        <v>350</v>
      </c>
      <c r="T294">
        <v>700</v>
      </c>
      <c r="V294" t="s">
        <v>242</v>
      </c>
      <c r="W294" t="s">
        <v>681</v>
      </c>
      <c r="X294" t="s">
        <v>182</v>
      </c>
      <c r="Y294" t="s">
        <v>1511</v>
      </c>
    </row>
    <row r="295" spans="1:25" x14ac:dyDescent="0.2">
      <c r="A295" t="s">
        <v>1512</v>
      </c>
      <c r="B295" s="1">
        <f>VALUE(RIGHT(A295,LEN(A295)-3))</f>
        <v>247</v>
      </c>
      <c r="C295" t="s">
        <v>32</v>
      </c>
      <c r="D295" t="s">
        <v>4140</v>
      </c>
      <c r="E295" t="s">
        <v>1517</v>
      </c>
      <c r="F295">
        <v>1</v>
      </c>
      <c r="G295" t="s">
        <v>57</v>
      </c>
      <c r="H295">
        <v>1</v>
      </c>
      <c r="I295" t="s">
        <v>291</v>
      </c>
      <c r="J295" t="s">
        <v>1513</v>
      </c>
      <c r="L295" t="s">
        <v>357</v>
      </c>
      <c r="M295" t="s">
        <v>1514</v>
      </c>
      <c r="N295" t="s">
        <v>43</v>
      </c>
      <c r="O295" t="s">
        <v>503</v>
      </c>
      <c r="P295" t="s">
        <v>1515</v>
      </c>
      <c r="V295" t="s">
        <v>242</v>
      </c>
      <c r="W295" t="s">
        <v>786</v>
      </c>
      <c r="X295" t="s">
        <v>61</v>
      </c>
      <c r="Y295" t="s">
        <v>1518</v>
      </c>
    </row>
    <row r="296" spans="1:25" x14ac:dyDescent="0.2">
      <c r="A296" t="s">
        <v>1519</v>
      </c>
      <c r="B296" s="1">
        <f>VALUE(RIGHT(A296,LEN(A296)-3))</f>
        <v>248</v>
      </c>
      <c r="C296" t="s">
        <v>32</v>
      </c>
      <c r="D296" t="s">
        <v>4140</v>
      </c>
      <c r="E296" t="s">
        <v>1522</v>
      </c>
      <c r="F296">
        <v>1</v>
      </c>
      <c r="G296" t="s">
        <v>57</v>
      </c>
      <c r="H296">
        <v>2</v>
      </c>
      <c r="I296" t="s">
        <v>1523</v>
      </c>
      <c r="J296" t="s">
        <v>1520</v>
      </c>
      <c r="L296" t="s">
        <v>27</v>
      </c>
      <c r="M296" t="s">
        <v>1514</v>
      </c>
      <c r="N296" t="s">
        <v>43</v>
      </c>
      <c r="O296" t="s">
        <v>503</v>
      </c>
      <c r="P296" t="s">
        <v>1515</v>
      </c>
      <c r="V296" t="s">
        <v>103</v>
      </c>
      <c r="W296" t="s">
        <v>492</v>
      </c>
      <c r="X296" t="s">
        <v>341</v>
      </c>
      <c r="Y296" t="s">
        <v>1524</v>
      </c>
    </row>
    <row r="297" spans="1:25" x14ac:dyDescent="0.2">
      <c r="A297" t="s">
        <v>1559</v>
      </c>
      <c r="B297" s="1">
        <f>VALUE(RIGHT(A297,LEN(A297)-3))</f>
        <v>256</v>
      </c>
      <c r="C297" t="s">
        <v>32</v>
      </c>
      <c r="D297" t="s">
        <v>4140</v>
      </c>
      <c r="E297" t="s">
        <v>1561</v>
      </c>
      <c r="F297">
        <v>3</v>
      </c>
      <c r="G297" t="s">
        <v>1562</v>
      </c>
      <c r="H297">
        <v>1</v>
      </c>
      <c r="I297" t="s">
        <v>514</v>
      </c>
      <c r="J297" t="s">
        <v>1560</v>
      </c>
      <c r="K297">
        <v>29</v>
      </c>
      <c r="L297" t="s">
        <v>27</v>
      </c>
      <c r="M297" t="s">
        <v>65</v>
      </c>
      <c r="N297" t="s">
        <v>43</v>
      </c>
      <c r="O297" t="s">
        <v>503</v>
      </c>
      <c r="P297" t="s">
        <v>520</v>
      </c>
      <c r="V297" t="s">
        <v>242</v>
      </c>
      <c r="W297" t="s">
        <v>47</v>
      </c>
      <c r="X297" t="s">
        <v>329</v>
      </c>
      <c r="Y297" t="s">
        <v>1563</v>
      </c>
    </row>
    <row r="298" spans="1:25" x14ac:dyDescent="0.2">
      <c r="A298" t="s">
        <v>1564</v>
      </c>
      <c r="B298" s="1">
        <f>VALUE(RIGHT(A298,LEN(A298)-3))</f>
        <v>257</v>
      </c>
      <c r="C298" t="s">
        <v>32</v>
      </c>
      <c r="D298" t="s">
        <v>4140</v>
      </c>
      <c r="E298" t="s">
        <v>1565</v>
      </c>
      <c r="F298">
        <v>2</v>
      </c>
      <c r="G298" t="s">
        <v>1562</v>
      </c>
      <c r="H298">
        <v>1</v>
      </c>
      <c r="I298" t="s">
        <v>514</v>
      </c>
      <c r="J298" t="s">
        <v>1560</v>
      </c>
      <c r="K298">
        <v>43</v>
      </c>
      <c r="L298" t="s">
        <v>27</v>
      </c>
      <c r="M298" t="s">
        <v>65</v>
      </c>
      <c r="N298" t="s">
        <v>43</v>
      </c>
      <c r="O298" t="s">
        <v>503</v>
      </c>
      <c r="P298" t="s">
        <v>520</v>
      </c>
      <c r="V298" t="s">
        <v>242</v>
      </c>
      <c r="W298" t="s">
        <v>1566</v>
      </c>
      <c r="X298" t="s">
        <v>235</v>
      </c>
      <c r="Y298" t="s">
        <v>1563</v>
      </c>
    </row>
    <row r="299" spans="1:25" x14ac:dyDescent="0.2">
      <c r="A299" t="s">
        <v>1572</v>
      </c>
      <c r="B299" s="1">
        <f>VALUE(RIGHT(A299,LEN(A299)-3))</f>
        <v>259</v>
      </c>
      <c r="C299" t="s">
        <v>32</v>
      </c>
      <c r="D299" t="s">
        <v>4140</v>
      </c>
      <c r="E299" t="s">
        <v>1575</v>
      </c>
      <c r="F299">
        <v>2</v>
      </c>
      <c r="G299" t="s">
        <v>94</v>
      </c>
      <c r="H299">
        <v>3</v>
      </c>
      <c r="I299" t="s">
        <v>241</v>
      </c>
      <c r="J299" t="s">
        <v>1573</v>
      </c>
      <c r="L299" t="s">
        <v>690</v>
      </c>
      <c r="M299" t="s">
        <v>1266</v>
      </c>
      <c r="N299" t="s">
        <v>43</v>
      </c>
      <c r="O299" t="s">
        <v>503</v>
      </c>
      <c r="P299" t="s">
        <v>1238</v>
      </c>
      <c r="V299" t="s">
        <v>367</v>
      </c>
      <c r="W299" t="s">
        <v>934</v>
      </c>
      <c r="X299" t="s">
        <v>61</v>
      </c>
      <c r="Y299" t="s">
        <v>1576</v>
      </c>
    </row>
    <row r="300" spans="1:25" x14ac:dyDescent="0.2">
      <c r="A300" t="s">
        <v>1577</v>
      </c>
      <c r="B300" s="1">
        <f>VALUE(RIGHT(A300,LEN(A300)-3))</f>
        <v>260</v>
      </c>
      <c r="C300" t="s">
        <v>32</v>
      </c>
      <c r="D300" t="s">
        <v>4140</v>
      </c>
      <c r="E300" t="s">
        <v>1582</v>
      </c>
      <c r="F300">
        <v>2</v>
      </c>
      <c r="G300" t="s">
        <v>57</v>
      </c>
      <c r="H300">
        <v>1</v>
      </c>
      <c r="I300" t="s">
        <v>123</v>
      </c>
      <c r="J300" t="s">
        <v>1578</v>
      </c>
      <c r="L300" t="s">
        <v>127</v>
      </c>
      <c r="M300" t="s">
        <v>1579</v>
      </c>
      <c r="N300" t="s">
        <v>43</v>
      </c>
      <c r="O300" t="s">
        <v>503</v>
      </c>
      <c r="P300" t="s">
        <v>1580</v>
      </c>
      <c r="V300" t="s">
        <v>242</v>
      </c>
      <c r="W300" t="s">
        <v>934</v>
      </c>
      <c r="X300" t="s">
        <v>61</v>
      </c>
      <c r="Y300" t="s">
        <v>1583</v>
      </c>
    </row>
    <row r="301" spans="1:25" x14ac:dyDescent="0.2">
      <c r="A301" t="s">
        <v>1594</v>
      </c>
      <c r="B301" s="1">
        <f>VALUE(RIGHT(A301,LEN(A301)-3))</f>
        <v>263</v>
      </c>
      <c r="C301" t="s">
        <v>32</v>
      </c>
      <c r="D301" t="s">
        <v>4140</v>
      </c>
      <c r="E301" t="s">
        <v>1597</v>
      </c>
      <c r="F301">
        <v>1</v>
      </c>
      <c r="G301" t="s">
        <v>130</v>
      </c>
      <c r="H301">
        <v>0</v>
      </c>
      <c r="J301" t="s">
        <v>1595</v>
      </c>
      <c r="L301" t="s">
        <v>27</v>
      </c>
      <c r="M301" t="s">
        <v>1596</v>
      </c>
      <c r="N301" t="s">
        <v>43</v>
      </c>
      <c r="O301" t="s">
        <v>503</v>
      </c>
      <c r="P301" t="s">
        <v>1391</v>
      </c>
      <c r="V301" t="s">
        <v>242</v>
      </c>
      <c r="W301" t="s">
        <v>786</v>
      </c>
      <c r="X301" t="s">
        <v>61</v>
      </c>
      <c r="Y301" t="s">
        <v>1598</v>
      </c>
    </row>
    <row r="302" spans="1:25" x14ac:dyDescent="0.2">
      <c r="A302" t="s">
        <v>1599</v>
      </c>
      <c r="B302" s="1">
        <f>VALUE(RIGHT(A302,LEN(A302)-3))</f>
        <v>264</v>
      </c>
      <c r="C302" t="s">
        <v>32</v>
      </c>
      <c r="D302" t="s">
        <v>4140</v>
      </c>
      <c r="E302" t="s">
        <v>1603</v>
      </c>
      <c r="F302">
        <v>1</v>
      </c>
      <c r="G302" t="s">
        <v>57</v>
      </c>
      <c r="H302">
        <v>0</v>
      </c>
      <c r="J302" t="s">
        <v>1600</v>
      </c>
      <c r="L302" t="s">
        <v>1601</v>
      </c>
      <c r="M302" t="s">
        <v>1097</v>
      </c>
      <c r="N302" t="s">
        <v>43</v>
      </c>
      <c r="O302" t="s">
        <v>503</v>
      </c>
      <c r="P302" t="s">
        <v>1193</v>
      </c>
      <c r="R302">
        <v>300</v>
      </c>
      <c r="T302">
        <v>1400</v>
      </c>
      <c r="V302" t="s">
        <v>200</v>
      </c>
      <c r="W302" t="s">
        <v>1046</v>
      </c>
      <c r="X302" t="s">
        <v>61</v>
      </c>
      <c r="Y302" t="s">
        <v>1604</v>
      </c>
    </row>
    <row r="303" spans="1:25" x14ac:dyDescent="0.2">
      <c r="A303" t="s">
        <v>1610</v>
      </c>
      <c r="B303" s="1">
        <f>VALUE(RIGHT(A303,LEN(A303)-3))</f>
        <v>266</v>
      </c>
      <c r="C303" t="s">
        <v>32</v>
      </c>
      <c r="D303" t="s">
        <v>4140</v>
      </c>
      <c r="E303" t="s">
        <v>1614</v>
      </c>
      <c r="F303">
        <v>1</v>
      </c>
      <c r="G303" t="s">
        <v>35</v>
      </c>
      <c r="H303">
        <v>0</v>
      </c>
      <c r="J303" t="s">
        <v>1611</v>
      </c>
      <c r="K303">
        <v>36</v>
      </c>
      <c r="L303" t="s">
        <v>690</v>
      </c>
      <c r="M303" t="s">
        <v>1612</v>
      </c>
      <c r="N303" t="s">
        <v>43</v>
      </c>
      <c r="O303" t="s">
        <v>503</v>
      </c>
      <c r="P303" t="s">
        <v>520</v>
      </c>
      <c r="V303" t="s">
        <v>103</v>
      </c>
      <c r="W303" t="s">
        <v>47</v>
      </c>
      <c r="X303" t="s">
        <v>61</v>
      </c>
      <c r="Y303" t="s">
        <v>1615</v>
      </c>
    </row>
    <row r="304" spans="1:25" x14ac:dyDescent="0.2">
      <c r="A304" t="s">
        <v>1616</v>
      </c>
      <c r="B304" s="1">
        <f>VALUE(RIGHT(A304,LEN(A304)-3))</f>
        <v>267</v>
      </c>
      <c r="C304" t="s">
        <v>32</v>
      </c>
      <c r="D304" t="s">
        <v>4140</v>
      </c>
      <c r="E304" t="s">
        <v>1618</v>
      </c>
      <c r="F304">
        <v>1</v>
      </c>
      <c r="G304" t="s">
        <v>57</v>
      </c>
      <c r="H304">
        <v>1</v>
      </c>
      <c r="I304" t="s">
        <v>1354</v>
      </c>
      <c r="J304" t="s">
        <v>1617</v>
      </c>
      <c r="L304" t="s">
        <v>338</v>
      </c>
      <c r="M304" t="s">
        <v>1271</v>
      </c>
      <c r="N304" t="s">
        <v>43</v>
      </c>
      <c r="O304" t="s">
        <v>503</v>
      </c>
      <c r="P304" t="s">
        <v>1391</v>
      </c>
      <c r="Q304">
        <v>10</v>
      </c>
      <c r="R304">
        <v>400</v>
      </c>
      <c r="V304" t="s">
        <v>242</v>
      </c>
      <c r="W304" t="s">
        <v>786</v>
      </c>
      <c r="X304" t="s">
        <v>61</v>
      </c>
      <c r="Y304" t="s">
        <v>1619</v>
      </c>
    </row>
    <row r="305" spans="1:25" x14ac:dyDescent="0.2">
      <c r="A305" t="s">
        <v>1625</v>
      </c>
      <c r="B305" s="1">
        <f>VALUE(RIGHT(A305,LEN(A305)-3))</f>
        <v>269</v>
      </c>
      <c r="C305" t="s">
        <v>32</v>
      </c>
      <c r="D305" t="s">
        <v>4140</v>
      </c>
      <c r="E305" t="s">
        <v>1627</v>
      </c>
      <c r="F305">
        <v>1</v>
      </c>
      <c r="G305" t="s">
        <v>57</v>
      </c>
      <c r="H305">
        <v>0</v>
      </c>
      <c r="J305" t="s">
        <v>1626</v>
      </c>
      <c r="K305">
        <v>51</v>
      </c>
      <c r="L305" t="s">
        <v>127</v>
      </c>
      <c r="M305" t="s">
        <v>1199</v>
      </c>
      <c r="N305" t="s">
        <v>43</v>
      </c>
      <c r="O305" t="s">
        <v>503</v>
      </c>
      <c r="P305" t="s">
        <v>1391</v>
      </c>
      <c r="V305" t="s">
        <v>242</v>
      </c>
      <c r="W305" t="s">
        <v>786</v>
      </c>
      <c r="X305" t="s">
        <v>61</v>
      </c>
      <c r="Y305" t="s">
        <v>1628</v>
      </c>
    </row>
    <row r="306" spans="1:25" x14ac:dyDescent="0.2">
      <c r="A306" t="s">
        <v>1629</v>
      </c>
      <c r="B306" s="1">
        <f>VALUE(RIGHT(A306,LEN(A306)-3))</f>
        <v>270</v>
      </c>
      <c r="C306" t="s">
        <v>32</v>
      </c>
      <c r="D306" t="s">
        <v>4140</v>
      </c>
      <c r="E306" t="s">
        <v>1631</v>
      </c>
      <c r="F306">
        <v>1</v>
      </c>
      <c r="G306" t="s">
        <v>57</v>
      </c>
      <c r="H306">
        <v>0</v>
      </c>
      <c r="J306" t="s">
        <v>1630</v>
      </c>
      <c r="L306" t="s">
        <v>27</v>
      </c>
      <c r="M306" t="s">
        <v>259</v>
      </c>
      <c r="N306" t="s">
        <v>43</v>
      </c>
      <c r="O306" t="s">
        <v>503</v>
      </c>
      <c r="P306" t="s">
        <v>1391</v>
      </c>
      <c r="V306" t="s">
        <v>242</v>
      </c>
      <c r="W306" t="s">
        <v>786</v>
      </c>
      <c r="X306" t="s">
        <v>61</v>
      </c>
      <c r="Y306" t="s">
        <v>1632</v>
      </c>
    </row>
    <row r="307" spans="1:25" x14ac:dyDescent="0.2">
      <c r="A307" t="s">
        <v>1633</v>
      </c>
      <c r="B307" s="1">
        <f>VALUE(RIGHT(A307,LEN(A307)-3))</f>
        <v>271</v>
      </c>
      <c r="C307" t="s">
        <v>32</v>
      </c>
      <c r="D307" t="s">
        <v>4140</v>
      </c>
      <c r="E307" t="s">
        <v>1637</v>
      </c>
      <c r="F307">
        <v>1</v>
      </c>
      <c r="G307" t="s">
        <v>57</v>
      </c>
      <c r="H307">
        <v>1</v>
      </c>
      <c r="I307" t="s">
        <v>123</v>
      </c>
      <c r="J307" t="s">
        <v>1634</v>
      </c>
      <c r="L307" t="s">
        <v>1635</v>
      </c>
      <c r="M307" t="s">
        <v>1199</v>
      </c>
      <c r="N307" t="s">
        <v>43</v>
      </c>
      <c r="O307" t="s">
        <v>503</v>
      </c>
      <c r="P307" t="s">
        <v>1278</v>
      </c>
      <c r="V307" t="s">
        <v>103</v>
      </c>
      <c r="W307" t="s">
        <v>515</v>
      </c>
      <c r="X307" t="s">
        <v>48</v>
      </c>
      <c r="Y307" t="s">
        <v>1638</v>
      </c>
    </row>
    <row r="308" spans="1:25" x14ac:dyDescent="0.2">
      <c r="A308" t="s">
        <v>1639</v>
      </c>
      <c r="B308" s="1">
        <f>VALUE(RIGHT(A308,LEN(A308)-3))</f>
        <v>272</v>
      </c>
      <c r="C308" t="s">
        <v>32</v>
      </c>
      <c r="D308" t="s">
        <v>4140</v>
      </c>
      <c r="E308" t="s">
        <v>1642</v>
      </c>
      <c r="F308">
        <v>2</v>
      </c>
      <c r="G308" t="s">
        <v>94</v>
      </c>
      <c r="H308">
        <v>1</v>
      </c>
      <c r="I308" t="s">
        <v>68</v>
      </c>
      <c r="J308" t="s">
        <v>1640</v>
      </c>
      <c r="K308">
        <v>23</v>
      </c>
      <c r="L308" t="s">
        <v>27</v>
      </c>
      <c r="M308" t="s">
        <v>1596</v>
      </c>
      <c r="N308" t="s">
        <v>43</v>
      </c>
      <c r="O308" t="s">
        <v>503</v>
      </c>
      <c r="P308" t="s">
        <v>520</v>
      </c>
      <c r="V308" t="s">
        <v>103</v>
      </c>
      <c r="W308" t="s">
        <v>1643</v>
      </c>
      <c r="X308" t="s">
        <v>779</v>
      </c>
      <c r="Y308" t="s">
        <v>1644</v>
      </c>
    </row>
    <row r="309" spans="1:25" x14ac:dyDescent="0.2">
      <c r="A309" t="s">
        <v>1645</v>
      </c>
      <c r="B309" s="1">
        <f>VALUE(RIGHT(A309,LEN(A309)-3))</f>
        <v>273</v>
      </c>
      <c r="C309" t="s">
        <v>32</v>
      </c>
      <c r="D309" t="s">
        <v>4140</v>
      </c>
      <c r="E309" t="s">
        <v>1649</v>
      </c>
      <c r="F309">
        <v>2</v>
      </c>
      <c r="G309" t="s">
        <v>94</v>
      </c>
      <c r="H309">
        <v>1</v>
      </c>
      <c r="I309" t="s">
        <v>123</v>
      </c>
      <c r="J309" t="s">
        <v>1646</v>
      </c>
      <c r="K309">
        <v>37</v>
      </c>
      <c r="L309" t="s">
        <v>178</v>
      </c>
      <c r="M309" t="s">
        <v>1647</v>
      </c>
      <c r="N309" t="s">
        <v>43</v>
      </c>
      <c r="O309" t="s">
        <v>503</v>
      </c>
      <c r="P309" t="s">
        <v>520</v>
      </c>
      <c r="R309">
        <v>500</v>
      </c>
      <c r="T309">
        <v>3000</v>
      </c>
      <c r="V309" t="s">
        <v>103</v>
      </c>
      <c r="W309" t="s">
        <v>104</v>
      </c>
      <c r="X309" t="s">
        <v>61</v>
      </c>
      <c r="Y309" t="s">
        <v>1650</v>
      </c>
    </row>
    <row r="310" spans="1:25" x14ac:dyDescent="0.2">
      <c r="A310" t="s">
        <v>1656</v>
      </c>
      <c r="B310" s="1">
        <f>VALUE(RIGHT(A310,LEN(A310)-3))</f>
        <v>275</v>
      </c>
      <c r="C310" t="s">
        <v>32</v>
      </c>
      <c r="D310" t="s">
        <v>4140</v>
      </c>
      <c r="E310" t="s">
        <v>1659</v>
      </c>
      <c r="F310">
        <v>1</v>
      </c>
      <c r="G310" t="s">
        <v>57</v>
      </c>
      <c r="H310">
        <v>1</v>
      </c>
      <c r="I310" t="s">
        <v>68</v>
      </c>
      <c r="J310" t="s">
        <v>1657</v>
      </c>
      <c r="K310">
        <v>43</v>
      </c>
      <c r="L310" t="s">
        <v>127</v>
      </c>
      <c r="M310" t="s">
        <v>259</v>
      </c>
      <c r="N310" t="s">
        <v>43</v>
      </c>
      <c r="O310" t="s">
        <v>503</v>
      </c>
      <c r="P310" t="s">
        <v>1658</v>
      </c>
      <c r="V310" t="s">
        <v>103</v>
      </c>
      <c r="W310" t="s">
        <v>314</v>
      </c>
      <c r="X310" t="s">
        <v>61</v>
      </c>
      <c r="Y310" t="s">
        <v>1660</v>
      </c>
    </row>
    <row r="311" spans="1:25" x14ac:dyDescent="0.2">
      <c r="A311" t="s">
        <v>1661</v>
      </c>
      <c r="B311" s="1">
        <f>VALUE(RIGHT(A311,LEN(A311)-3))</f>
        <v>276</v>
      </c>
      <c r="C311" t="s">
        <v>32</v>
      </c>
      <c r="D311" t="s">
        <v>4140</v>
      </c>
      <c r="E311" t="s">
        <v>1664</v>
      </c>
      <c r="F311">
        <v>1</v>
      </c>
      <c r="G311" t="s">
        <v>57</v>
      </c>
      <c r="H311">
        <v>5</v>
      </c>
      <c r="I311" t="s">
        <v>1665</v>
      </c>
      <c r="J311" t="s">
        <v>1662</v>
      </c>
      <c r="K311">
        <v>39</v>
      </c>
      <c r="L311" t="s">
        <v>178</v>
      </c>
      <c r="M311" t="s">
        <v>1199</v>
      </c>
      <c r="N311" t="s">
        <v>43</v>
      </c>
      <c r="O311" t="s">
        <v>503</v>
      </c>
      <c r="P311" t="s">
        <v>520</v>
      </c>
      <c r="V311" t="s">
        <v>242</v>
      </c>
      <c r="W311" t="s">
        <v>1666</v>
      </c>
      <c r="X311" t="s">
        <v>767</v>
      </c>
      <c r="Y311" t="s">
        <v>1667</v>
      </c>
    </row>
    <row r="312" spans="1:25" x14ac:dyDescent="0.2">
      <c r="A312" t="s">
        <v>1677</v>
      </c>
      <c r="B312" s="1">
        <f>VALUE(RIGHT(A312,LEN(A312)-3))</f>
        <v>279</v>
      </c>
      <c r="C312" t="s">
        <v>32</v>
      </c>
      <c r="D312" t="s">
        <v>4140</v>
      </c>
      <c r="E312" t="s">
        <v>1680</v>
      </c>
      <c r="F312">
        <v>1</v>
      </c>
      <c r="G312" t="s">
        <v>57</v>
      </c>
      <c r="H312">
        <v>0</v>
      </c>
      <c r="J312" t="s">
        <v>1678</v>
      </c>
      <c r="K312">
        <v>56</v>
      </c>
      <c r="L312" t="s">
        <v>217</v>
      </c>
      <c r="M312" t="s">
        <v>961</v>
      </c>
      <c r="N312" t="s">
        <v>43</v>
      </c>
      <c r="O312" t="s">
        <v>503</v>
      </c>
      <c r="P312" t="s">
        <v>1391</v>
      </c>
      <c r="R312">
        <v>468</v>
      </c>
      <c r="T312">
        <v>9700</v>
      </c>
      <c r="V312" t="s">
        <v>367</v>
      </c>
      <c r="W312" t="s">
        <v>368</v>
      </c>
      <c r="X312" t="s">
        <v>635</v>
      </c>
      <c r="Y312" t="s">
        <v>1681</v>
      </c>
    </row>
    <row r="313" spans="1:25" x14ac:dyDescent="0.2">
      <c r="A313" t="s">
        <v>1682</v>
      </c>
      <c r="B313" s="1">
        <f>VALUE(RIGHT(A313,LEN(A313)-3))</f>
        <v>280</v>
      </c>
      <c r="C313" t="s">
        <v>32</v>
      </c>
      <c r="D313" t="s">
        <v>4140</v>
      </c>
      <c r="E313" t="s">
        <v>1685</v>
      </c>
      <c r="F313">
        <v>1</v>
      </c>
      <c r="G313" t="s">
        <v>35</v>
      </c>
      <c r="H313">
        <v>1</v>
      </c>
      <c r="I313" t="s">
        <v>68</v>
      </c>
      <c r="J313" t="s">
        <v>1683</v>
      </c>
      <c r="K313">
        <v>35</v>
      </c>
      <c r="L313" t="s">
        <v>258</v>
      </c>
      <c r="M313" t="s">
        <v>519</v>
      </c>
      <c r="N313" t="s">
        <v>43</v>
      </c>
      <c r="O313" t="s">
        <v>503</v>
      </c>
      <c r="P313" t="s">
        <v>520</v>
      </c>
      <c r="R313">
        <v>2000</v>
      </c>
      <c r="S313">
        <v>1400</v>
      </c>
      <c r="V313" t="s">
        <v>242</v>
      </c>
      <c r="W313" t="s">
        <v>515</v>
      </c>
      <c r="X313" t="s">
        <v>1686</v>
      </c>
      <c r="Y313" t="s">
        <v>1687</v>
      </c>
    </row>
    <row r="314" spans="1:25" x14ac:dyDescent="0.2">
      <c r="A314" t="s">
        <v>1711</v>
      </c>
      <c r="B314" s="1">
        <f>VALUE(RIGHT(A314,LEN(A314)-3))</f>
        <v>285</v>
      </c>
      <c r="C314" t="s">
        <v>32</v>
      </c>
      <c r="D314" t="s">
        <v>4140</v>
      </c>
      <c r="E314" t="s">
        <v>1714</v>
      </c>
      <c r="F314">
        <v>2</v>
      </c>
      <c r="G314" t="s">
        <v>94</v>
      </c>
      <c r="H314">
        <v>1</v>
      </c>
      <c r="I314" t="s">
        <v>68</v>
      </c>
      <c r="J314" t="s">
        <v>1712</v>
      </c>
      <c r="K314">
        <v>42</v>
      </c>
      <c r="L314" t="s">
        <v>690</v>
      </c>
      <c r="M314" t="s">
        <v>1612</v>
      </c>
      <c r="N314" t="s">
        <v>43</v>
      </c>
      <c r="O314" t="s">
        <v>503</v>
      </c>
      <c r="P314" t="s">
        <v>1502</v>
      </c>
      <c r="V314" t="s">
        <v>103</v>
      </c>
      <c r="W314" t="s">
        <v>1715</v>
      </c>
      <c r="X314" t="s">
        <v>635</v>
      </c>
      <c r="Y314" t="s">
        <v>1716</v>
      </c>
    </row>
    <row r="315" spans="1:25" x14ac:dyDescent="0.2">
      <c r="A315" t="s">
        <v>1721</v>
      </c>
      <c r="B315" s="1">
        <f>VALUE(RIGHT(A315,LEN(A315)-3))</f>
        <v>287</v>
      </c>
      <c r="C315" t="s">
        <v>32</v>
      </c>
      <c r="D315" t="s">
        <v>4140</v>
      </c>
      <c r="E315" t="s">
        <v>1724</v>
      </c>
      <c r="F315">
        <v>1</v>
      </c>
      <c r="G315" t="s">
        <v>57</v>
      </c>
      <c r="H315">
        <v>0</v>
      </c>
      <c r="J315" t="s">
        <v>1722</v>
      </c>
      <c r="K315">
        <v>40</v>
      </c>
      <c r="L315" t="s">
        <v>27</v>
      </c>
      <c r="M315" t="s">
        <v>151</v>
      </c>
      <c r="N315" t="s">
        <v>43</v>
      </c>
      <c r="O315" t="s">
        <v>503</v>
      </c>
      <c r="P315" t="s">
        <v>520</v>
      </c>
      <c r="V315" t="s">
        <v>242</v>
      </c>
      <c r="W315" t="s">
        <v>786</v>
      </c>
      <c r="X315" t="s">
        <v>61</v>
      </c>
      <c r="Y315" t="s">
        <v>1725</v>
      </c>
    </row>
    <row r="316" spans="1:25" x14ac:dyDescent="0.2">
      <c r="A316" t="s">
        <v>1726</v>
      </c>
      <c r="B316" s="1">
        <f>VALUE(RIGHT(A316,LEN(A316)-3))</f>
        <v>288</v>
      </c>
      <c r="C316" t="s">
        <v>32</v>
      </c>
      <c r="D316" t="s">
        <v>4140</v>
      </c>
      <c r="E316" t="s">
        <v>1729</v>
      </c>
      <c r="F316">
        <v>1</v>
      </c>
      <c r="G316" t="s">
        <v>57</v>
      </c>
      <c r="H316">
        <v>1</v>
      </c>
      <c r="I316" t="s">
        <v>58</v>
      </c>
      <c r="J316" t="s">
        <v>1727</v>
      </c>
      <c r="K316">
        <v>53</v>
      </c>
      <c r="L316" t="s">
        <v>27</v>
      </c>
      <c r="M316" t="s">
        <v>288</v>
      </c>
      <c r="N316" t="s">
        <v>43</v>
      </c>
      <c r="O316" t="s">
        <v>503</v>
      </c>
      <c r="P316" t="s">
        <v>1658</v>
      </c>
      <c r="R316">
        <v>235</v>
      </c>
      <c r="T316">
        <v>1200</v>
      </c>
      <c r="V316" t="s">
        <v>59</v>
      </c>
      <c r="W316" t="s">
        <v>139</v>
      </c>
      <c r="X316" t="s">
        <v>61</v>
      </c>
      <c r="Y316" t="s">
        <v>1730</v>
      </c>
    </row>
    <row r="317" spans="1:25" x14ac:dyDescent="0.2">
      <c r="A317" t="s">
        <v>1731</v>
      </c>
      <c r="B317" s="1">
        <f>VALUE(RIGHT(A317,LEN(A317)-3))</f>
        <v>289</v>
      </c>
      <c r="C317" t="s">
        <v>32</v>
      </c>
      <c r="D317" t="s">
        <v>4140</v>
      </c>
      <c r="E317" t="s">
        <v>1735</v>
      </c>
      <c r="F317">
        <v>2</v>
      </c>
      <c r="G317" t="s">
        <v>94</v>
      </c>
      <c r="H317">
        <v>4</v>
      </c>
      <c r="I317" t="s">
        <v>1736</v>
      </c>
      <c r="J317" t="s">
        <v>1732</v>
      </c>
      <c r="K317">
        <v>30</v>
      </c>
      <c r="L317" t="s">
        <v>27</v>
      </c>
      <c r="M317" t="s">
        <v>1733</v>
      </c>
      <c r="N317" t="s">
        <v>43</v>
      </c>
      <c r="O317" t="s">
        <v>503</v>
      </c>
      <c r="P317" t="s">
        <v>1391</v>
      </c>
      <c r="Q317">
        <v>6</v>
      </c>
      <c r="V317" t="s">
        <v>173</v>
      </c>
      <c r="W317" t="s">
        <v>647</v>
      </c>
      <c r="X317" t="s">
        <v>61</v>
      </c>
      <c r="Y317" t="s">
        <v>1737</v>
      </c>
    </row>
    <row r="318" spans="1:25" x14ac:dyDescent="0.2">
      <c r="A318" t="s">
        <v>1738</v>
      </c>
      <c r="B318" s="1">
        <f>VALUE(RIGHT(A318,LEN(A318)-3))</f>
        <v>290</v>
      </c>
      <c r="C318" t="s">
        <v>32</v>
      </c>
      <c r="D318" t="s">
        <v>4140</v>
      </c>
      <c r="E318" t="s">
        <v>1741</v>
      </c>
      <c r="F318">
        <v>2</v>
      </c>
      <c r="G318" t="s">
        <v>94</v>
      </c>
      <c r="H318">
        <v>2</v>
      </c>
      <c r="I318" t="s">
        <v>1742</v>
      </c>
      <c r="J318" t="s">
        <v>1739</v>
      </c>
      <c r="K318">
        <v>40</v>
      </c>
      <c r="L318" t="s">
        <v>27</v>
      </c>
      <c r="M318" t="s">
        <v>1199</v>
      </c>
      <c r="N318" t="s">
        <v>43</v>
      </c>
      <c r="O318" t="s">
        <v>503</v>
      </c>
      <c r="P318" t="s">
        <v>1391</v>
      </c>
      <c r="V318" t="s">
        <v>103</v>
      </c>
      <c r="W318" t="s">
        <v>1743</v>
      </c>
      <c r="X318" t="s">
        <v>753</v>
      </c>
      <c r="Y318" t="s">
        <v>1744</v>
      </c>
    </row>
    <row r="319" spans="1:25" x14ac:dyDescent="0.2">
      <c r="A319" t="s">
        <v>1745</v>
      </c>
      <c r="B319" s="1">
        <f>VALUE(RIGHT(A319,LEN(A319)-3))</f>
        <v>291</v>
      </c>
      <c r="C319" t="s">
        <v>32</v>
      </c>
      <c r="D319" t="s">
        <v>4140</v>
      </c>
      <c r="E319" t="s">
        <v>1749</v>
      </c>
      <c r="F319">
        <v>2</v>
      </c>
      <c r="G319" t="s">
        <v>94</v>
      </c>
      <c r="H319">
        <v>3</v>
      </c>
      <c r="I319" t="s">
        <v>284</v>
      </c>
      <c r="J319" t="s">
        <v>1746</v>
      </c>
      <c r="L319" t="s">
        <v>1747</v>
      </c>
      <c r="M319" t="s">
        <v>385</v>
      </c>
      <c r="N319" t="s">
        <v>43</v>
      </c>
      <c r="O319" t="s">
        <v>503</v>
      </c>
      <c r="P319" t="s">
        <v>1051</v>
      </c>
      <c r="S319">
        <v>100</v>
      </c>
      <c r="T319">
        <v>3500</v>
      </c>
      <c r="V319" t="s">
        <v>242</v>
      </c>
      <c r="W319" t="s">
        <v>1064</v>
      </c>
      <c r="X319" t="s">
        <v>61</v>
      </c>
      <c r="Y319" t="s">
        <v>1750</v>
      </c>
    </row>
    <row r="320" spans="1:25" x14ac:dyDescent="0.2">
      <c r="A320" t="s">
        <v>1759</v>
      </c>
      <c r="B320" s="1">
        <f>VALUE(RIGHT(A320,LEN(A320)-3))</f>
        <v>293</v>
      </c>
      <c r="C320" t="s">
        <v>32</v>
      </c>
      <c r="D320" t="s">
        <v>4140</v>
      </c>
      <c r="E320" t="s">
        <v>1762</v>
      </c>
      <c r="F320">
        <v>1</v>
      </c>
      <c r="G320" t="s">
        <v>35</v>
      </c>
      <c r="H320">
        <v>0</v>
      </c>
      <c r="J320" t="s">
        <v>1760</v>
      </c>
      <c r="K320">
        <v>34</v>
      </c>
      <c r="L320" t="s">
        <v>127</v>
      </c>
      <c r="M320" t="s">
        <v>1579</v>
      </c>
      <c r="N320" t="s">
        <v>43</v>
      </c>
      <c r="O320" t="s">
        <v>503</v>
      </c>
      <c r="P320" t="s">
        <v>1374</v>
      </c>
      <c r="V320" t="s">
        <v>103</v>
      </c>
      <c r="W320" t="s">
        <v>492</v>
      </c>
      <c r="X320" t="s">
        <v>445</v>
      </c>
      <c r="Y320" t="s">
        <v>1763</v>
      </c>
    </row>
    <row r="321" spans="1:25" x14ac:dyDescent="0.2">
      <c r="A321" t="s">
        <v>1770</v>
      </c>
      <c r="B321" s="1">
        <f>VALUE(RIGHT(A321,LEN(A321)-3))</f>
        <v>295</v>
      </c>
      <c r="C321" t="s">
        <v>32</v>
      </c>
      <c r="D321" t="s">
        <v>4140</v>
      </c>
      <c r="E321" t="s">
        <v>1772</v>
      </c>
      <c r="F321">
        <v>2</v>
      </c>
      <c r="G321" t="s">
        <v>94</v>
      </c>
      <c r="H321">
        <v>1</v>
      </c>
      <c r="I321" t="s">
        <v>68</v>
      </c>
      <c r="J321" t="s">
        <v>1765</v>
      </c>
      <c r="K321">
        <v>25</v>
      </c>
      <c r="L321" t="s">
        <v>52</v>
      </c>
      <c r="M321" t="s">
        <v>1199</v>
      </c>
      <c r="N321" t="s">
        <v>43</v>
      </c>
      <c r="O321" t="s">
        <v>503</v>
      </c>
      <c r="P321" t="s">
        <v>1771</v>
      </c>
      <c r="V321" t="s">
        <v>242</v>
      </c>
      <c r="W321" t="s">
        <v>786</v>
      </c>
      <c r="X321" t="s">
        <v>369</v>
      </c>
      <c r="Y321" t="s">
        <v>1773</v>
      </c>
    </row>
    <row r="322" spans="1:25" x14ac:dyDescent="0.2">
      <c r="A322" t="s">
        <v>1784</v>
      </c>
      <c r="B322" s="1">
        <f>VALUE(RIGHT(A322,LEN(A322)-3))</f>
        <v>298</v>
      </c>
      <c r="C322" t="s">
        <v>32</v>
      </c>
      <c r="D322" t="s">
        <v>4140</v>
      </c>
      <c r="E322" t="s">
        <v>1787</v>
      </c>
      <c r="F322">
        <v>1</v>
      </c>
      <c r="G322" t="s">
        <v>57</v>
      </c>
      <c r="H322">
        <v>1</v>
      </c>
      <c r="I322" t="s">
        <v>68</v>
      </c>
      <c r="J322" t="s">
        <v>1785</v>
      </c>
      <c r="K322">
        <v>23</v>
      </c>
      <c r="L322" t="s">
        <v>258</v>
      </c>
      <c r="M322" t="s">
        <v>519</v>
      </c>
      <c r="N322" t="s">
        <v>43</v>
      </c>
      <c r="O322" t="s">
        <v>503</v>
      </c>
      <c r="P322" t="s">
        <v>520</v>
      </c>
      <c r="V322" t="s">
        <v>103</v>
      </c>
      <c r="W322" t="s">
        <v>845</v>
      </c>
      <c r="X322" t="s">
        <v>760</v>
      </c>
      <c r="Y322" t="s">
        <v>1788</v>
      </c>
    </row>
    <row r="323" spans="1:25" x14ac:dyDescent="0.2">
      <c r="A323" t="s">
        <v>1799</v>
      </c>
      <c r="B323" s="1">
        <f>VALUE(RIGHT(A323,LEN(A323)-3))</f>
        <v>301</v>
      </c>
      <c r="C323" t="s">
        <v>32</v>
      </c>
      <c r="D323" t="s">
        <v>4140</v>
      </c>
      <c r="E323" t="s">
        <v>1803</v>
      </c>
      <c r="F323">
        <v>1</v>
      </c>
      <c r="G323" t="s">
        <v>57</v>
      </c>
      <c r="H323">
        <v>0</v>
      </c>
      <c r="J323" t="s">
        <v>1800</v>
      </c>
      <c r="K323">
        <v>30</v>
      </c>
      <c r="L323" t="s">
        <v>150</v>
      </c>
      <c r="M323" t="s">
        <v>259</v>
      </c>
      <c r="N323" t="s">
        <v>43</v>
      </c>
      <c r="O323" t="s">
        <v>503</v>
      </c>
      <c r="P323" t="s">
        <v>1801</v>
      </c>
      <c r="R323">
        <v>2261</v>
      </c>
      <c r="V323" t="s">
        <v>242</v>
      </c>
      <c r="W323" t="s">
        <v>47</v>
      </c>
      <c r="X323" t="s">
        <v>61</v>
      </c>
      <c r="Y323" t="s">
        <v>1804</v>
      </c>
    </row>
    <row r="324" spans="1:25" x14ac:dyDescent="0.2">
      <c r="A324" t="s">
        <v>1814</v>
      </c>
      <c r="B324" s="1">
        <f>VALUE(RIGHT(A324,LEN(A324)-3))</f>
        <v>304</v>
      </c>
      <c r="C324" t="s">
        <v>32</v>
      </c>
      <c r="D324" t="s">
        <v>4140</v>
      </c>
      <c r="E324" t="s">
        <v>1817</v>
      </c>
      <c r="F324">
        <v>1</v>
      </c>
      <c r="G324" t="s">
        <v>57</v>
      </c>
      <c r="H324">
        <v>0</v>
      </c>
      <c r="J324" t="s">
        <v>1815</v>
      </c>
      <c r="K324">
        <v>31</v>
      </c>
      <c r="L324" t="s">
        <v>338</v>
      </c>
      <c r="M324" t="s">
        <v>1199</v>
      </c>
      <c r="N324" t="s">
        <v>43</v>
      </c>
      <c r="O324" t="s">
        <v>503</v>
      </c>
      <c r="P324" t="s">
        <v>520</v>
      </c>
      <c r="V324" t="s">
        <v>242</v>
      </c>
      <c r="W324" t="s">
        <v>47</v>
      </c>
      <c r="X324" t="s">
        <v>61</v>
      </c>
      <c r="Y324" t="s">
        <v>1818</v>
      </c>
    </row>
    <row r="325" spans="1:25" x14ac:dyDescent="0.2">
      <c r="A325" t="s">
        <v>1825</v>
      </c>
      <c r="B325" s="1">
        <f>VALUE(RIGHT(A325,LEN(A325)-3))</f>
        <v>306</v>
      </c>
      <c r="C325" t="s">
        <v>32</v>
      </c>
      <c r="D325" t="s">
        <v>4140</v>
      </c>
      <c r="E325" t="s">
        <v>1828</v>
      </c>
      <c r="F325">
        <v>1</v>
      </c>
      <c r="G325" t="s">
        <v>35</v>
      </c>
      <c r="H325">
        <v>0</v>
      </c>
      <c r="J325" t="s">
        <v>1826</v>
      </c>
      <c r="K325">
        <v>28</v>
      </c>
      <c r="L325" t="s">
        <v>150</v>
      </c>
      <c r="M325" t="s">
        <v>552</v>
      </c>
      <c r="N325" t="s">
        <v>43</v>
      </c>
      <c r="O325" t="s">
        <v>503</v>
      </c>
      <c r="P325" t="s">
        <v>1827</v>
      </c>
      <c r="Q325">
        <v>1</v>
      </c>
      <c r="R325">
        <v>250</v>
      </c>
      <c r="S325">
        <v>120</v>
      </c>
      <c r="T325">
        <v>420</v>
      </c>
      <c r="U325">
        <v>250</v>
      </c>
      <c r="V325" t="s">
        <v>242</v>
      </c>
      <c r="W325" t="s">
        <v>786</v>
      </c>
      <c r="X325" t="s">
        <v>61</v>
      </c>
      <c r="Y325" t="s">
        <v>1829</v>
      </c>
    </row>
    <row r="326" spans="1:25" x14ac:dyDescent="0.2">
      <c r="A326" t="s">
        <v>1830</v>
      </c>
      <c r="B326" s="1">
        <f>VALUE(RIGHT(A326,LEN(A326)-3))</f>
        <v>307</v>
      </c>
      <c r="C326" t="s">
        <v>32</v>
      </c>
      <c r="D326" t="s">
        <v>4140</v>
      </c>
      <c r="E326" t="s">
        <v>1833</v>
      </c>
      <c r="F326">
        <v>1</v>
      </c>
      <c r="G326" t="s">
        <v>57</v>
      </c>
      <c r="H326">
        <v>3</v>
      </c>
      <c r="I326" t="s">
        <v>1834</v>
      </c>
      <c r="J326" t="s">
        <v>1831</v>
      </c>
      <c r="K326">
        <v>37</v>
      </c>
      <c r="L326" t="s">
        <v>690</v>
      </c>
      <c r="M326" t="s">
        <v>1579</v>
      </c>
      <c r="N326" t="s">
        <v>43</v>
      </c>
      <c r="O326" t="s">
        <v>503</v>
      </c>
      <c r="P326" t="s">
        <v>1832</v>
      </c>
      <c r="V326" t="s">
        <v>103</v>
      </c>
      <c r="W326" t="s">
        <v>1835</v>
      </c>
      <c r="X326" t="s">
        <v>182</v>
      </c>
      <c r="Y326" t="s">
        <v>1836</v>
      </c>
    </row>
    <row r="327" spans="1:25" x14ac:dyDescent="0.2">
      <c r="A327" t="s">
        <v>1837</v>
      </c>
      <c r="B327" s="1">
        <f>VALUE(RIGHT(A327,LEN(A327)-3))</f>
        <v>308</v>
      </c>
      <c r="C327" t="s">
        <v>32</v>
      </c>
      <c r="D327" t="s">
        <v>4140</v>
      </c>
      <c r="E327" t="s">
        <v>1840</v>
      </c>
      <c r="F327">
        <v>1</v>
      </c>
      <c r="G327" t="s">
        <v>57</v>
      </c>
      <c r="H327">
        <v>2</v>
      </c>
      <c r="I327" t="s">
        <v>592</v>
      </c>
      <c r="J327" t="s">
        <v>1838</v>
      </c>
      <c r="K327">
        <v>34</v>
      </c>
      <c r="L327" t="s">
        <v>178</v>
      </c>
      <c r="M327" t="s">
        <v>1137</v>
      </c>
      <c r="N327" t="s">
        <v>43</v>
      </c>
      <c r="O327" t="s">
        <v>503</v>
      </c>
      <c r="P327" t="s">
        <v>1696</v>
      </c>
      <c r="Q327">
        <v>3</v>
      </c>
      <c r="R327">
        <v>300</v>
      </c>
      <c r="S327">
        <v>65</v>
      </c>
      <c r="V327" t="s">
        <v>242</v>
      </c>
      <c r="W327" t="s">
        <v>786</v>
      </c>
      <c r="X327" t="s">
        <v>61</v>
      </c>
      <c r="Y327" t="s">
        <v>1841</v>
      </c>
    </row>
    <row r="328" spans="1:25" x14ac:dyDescent="0.2">
      <c r="A328" t="s">
        <v>1847</v>
      </c>
      <c r="B328" s="1">
        <f>VALUE(RIGHT(A328,LEN(A328)-3))</f>
        <v>310</v>
      </c>
      <c r="C328" t="s">
        <v>32</v>
      </c>
      <c r="D328" t="s">
        <v>4140</v>
      </c>
      <c r="E328" t="s">
        <v>1849</v>
      </c>
      <c r="F328">
        <v>1</v>
      </c>
      <c r="G328" t="s">
        <v>35</v>
      </c>
      <c r="H328">
        <v>0</v>
      </c>
      <c r="J328" t="s">
        <v>1848</v>
      </c>
      <c r="K328">
        <v>40</v>
      </c>
      <c r="L328" t="s">
        <v>357</v>
      </c>
      <c r="M328" t="s">
        <v>259</v>
      </c>
      <c r="N328" t="s">
        <v>43</v>
      </c>
      <c r="O328" t="s">
        <v>503</v>
      </c>
      <c r="P328" t="s">
        <v>1696</v>
      </c>
      <c r="R328">
        <v>500</v>
      </c>
      <c r="T328">
        <v>1000</v>
      </c>
      <c r="V328" t="s">
        <v>242</v>
      </c>
      <c r="W328" t="s">
        <v>786</v>
      </c>
      <c r="X328" t="s">
        <v>61</v>
      </c>
      <c r="Y328" t="s">
        <v>1850</v>
      </c>
    </row>
    <row r="329" spans="1:25" x14ac:dyDescent="0.2">
      <c r="A329" t="s">
        <v>1855</v>
      </c>
      <c r="B329" s="1">
        <f>VALUE(RIGHT(A329,LEN(A329)-3))</f>
        <v>312</v>
      </c>
      <c r="C329" t="s">
        <v>32</v>
      </c>
      <c r="D329" t="s">
        <v>4140</v>
      </c>
      <c r="E329" t="s">
        <v>1858</v>
      </c>
      <c r="F329">
        <v>1</v>
      </c>
      <c r="G329" t="s">
        <v>35</v>
      </c>
      <c r="H329">
        <v>1</v>
      </c>
      <c r="I329" t="s">
        <v>68</v>
      </c>
      <c r="J329" t="s">
        <v>1856</v>
      </c>
      <c r="K329">
        <v>39</v>
      </c>
      <c r="L329" t="s">
        <v>338</v>
      </c>
      <c r="M329" t="s">
        <v>502</v>
      </c>
      <c r="N329" t="s">
        <v>43</v>
      </c>
      <c r="O329" t="s">
        <v>503</v>
      </c>
      <c r="P329" t="s">
        <v>520</v>
      </c>
      <c r="V329" t="s">
        <v>103</v>
      </c>
      <c r="W329" t="s">
        <v>1859</v>
      </c>
      <c r="X329" t="s">
        <v>760</v>
      </c>
      <c r="Y329" t="s">
        <v>1860</v>
      </c>
    </row>
    <row r="330" spans="1:25" x14ac:dyDescent="0.2">
      <c r="A330" t="s">
        <v>1861</v>
      </c>
      <c r="B330" s="1">
        <f>VALUE(RIGHT(A330,LEN(A330)-3))</f>
        <v>313</v>
      </c>
      <c r="C330" t="s">
        <v>32</v>
      </c>
      <c r="D330" t="s">
        <v>4140</v>
      </c>
      <c r="E330" t="s">
        <v>1865</v>
      </c>
      <c r="F330">
        <v>1</v>
      </c>
      <c r="G330" t="s">
        <v>57</v>
      </c>
      <c r="H330">
        <v>0</v>
      </c>
      <c r="J330" t="s">
        <v>1862</v>
      </c>
      <c r="K330">
        <v>38</v>
      </c>
      <c r="L330" t="s">
        <v>1863</v>
      </c>
      <c r="M330" t="s">
        <v>259</v>
      </c>
      <c r="N330" t="s">
        <v>43</v>
      </c>
      <c r="O330" t="s">
        <v>503</v>
      </c>
      <c r="P330" t="s">
        <v>520</v>
      </c>
      <c r="R330">
        <v>800</v>
      </c>
      <c r="T330">
        <v>3800</v>
      </c>
      <c r="V330" t="s">
        <v>103</v>
      </c>
      <c r="W330" t="s">
        <v>1866</v>
      </c>
      <c r="X330" t="s">
        <v>182</v>
      </c>
      <c r="Y330" t="s">
        <v>1867</v>
      </c>
    </row>
    <row r="331" spans="1:25" x14ac:dyDescent="0.2">
      <c r="A331" t="s">
        <v>1876</v>
      </c>
      <c r="B331" s="1">
        <f>VALUE(RIGHT(A331,LEN(A331)-3))</f>
        <v>316</v>
      </c>
      <c r="C331" t="s">
        <v>32</v>
      </c>
      <c r="D331" t="s">
        <v>4140</v>
      </c>
      <c r="E331" t="s">
        <v>1880</v>
      </c>
      <c r="F331">
        <v>1</v>
      </c>
      <c r="G331" t="s">
        <v>57</v>
      </c>
      <c r="H331">
        <v>1</v>
      </c>
      <c r="I331" t="s">
        <v>123</v>
      </c>
      <c r="J331" t="s">
        <v>1877</v>
      </c>
      <c r="K331">
        <v>37</v>
      </c>
      <c r="L331" t="s">
        <v>150</v>
      </c>
      <c r="M331" t="s">
        <v>385</v>
      </c>
      <c r="N331" t="s">
        <v>43</v>
      </c>
      <c r="O331" t="s">
        <v>503</v>
      </c>
      <c r="P331" t="s">
        <v>1878</v>
      </c>
      <c r="Q331">
        <v>17</v>
      </c>
      <c r="V331" t="s">
        <v>367</v>
      </c>
      <c r="W331" t="s">
        <v>368</v>
      </c>
      <c r="X331" t="s">
        <v>61</v>
      </c>
      <c r="Y331" t="s">
        <v>1881</v>
      </c>
    </row>
    <row r="332" spans="1:25" x14ac:dyDescent="0.2">
      <c r="A332" t="s">
        <v>1888</v>
      </c>
      <c r="B332" s="1">
        <f>VALUE(RIGHT(A332,LEN(A332)-3))</f>
        <v>318</v>
      </c>
      <c r="C332" t="s">
        <v>32</v>
      </c>
      <c r="D332" t="s">
        <v>4140</v>
      </c>
      <c r="E332" t="s">
        <v>1891</v>
      </c>
      <c r="F332">
        <v>1</v>
      </c>
      <c r="G332" t="s">
        <v>57</v>
      </c>
      <c r="H332">
        <v>1</v>
      </c>
      <c r="I332" t="s">
        <v>68</v>
      </c>
      <c r="J332" t="s">
        <v>1889</v>
      </c>
      <c r="K332">
        <v>35</v>
      </c>
      <c r="L332" t="s">
        <v>99</v>
      </c>
      <c r="M332" t="s">
        <v>385</v>
      </c>
      <c r="N332" t="s">
        <v>43</v>
      </c>
      <c r="O332" t="s">
        <v>503</v>
      </c>
      <c r="P332" t="s">
        <v>1890</v>
      </c>
      <c r="Q332">
        <v>3</v>
      </c>
      <c r="V332" t="s">
        <v>103</v>
      </c>
      <c r="W332" t="s">
        <v>1892</v>
      </c>
      <c r="X332" t="s">
        <v>635</v>
      </c>
      <c r="Y332" t="s">
        <v>1893</v>
      </c>
    </row>
    <row r="333" spans="1:25" x14ac:dyDescent="0.2">
      <c r="A333" t="s">
        <v>1899</v>
      </c>
      <c r="B333" s="1">
        <f>VALUE(RIGHT(A333,LEN(A333)-3))</f>
        <v>320</v>
      </c>
      <c r="C333" t="s">
        <v>32</v>
      </c>
      <c r="D333" t="s">
        <v>4140</v>
      </c>
      <c r="E333" t="s">
        <v>1903</v>
      </c>
      <c r="F333">
        <v>2</v>
      </c>
      <c r="G333" t="s">
        <v>94</v>
      </c>
      <c r="H333">
        <v>1</v>
      </c>
      <c r="I333" t="s">
        <v>68</v>
      </c>
      <c r="J333" t="s">
        <v>1900</v>
      </c>
      <c r="K333">
        <v>32</v>
      </c>
      <c r="L333" t="s">
        <v>178</v>
      </c>
      <c r="M333" t="s">
        <v>1901</v>
      </c>
      <c r="N333" t="s">
        <v>43</v>
      </c>
      <c r="O333" t="s">
        <v>503</v>
      </c>
      <c r="P333" t="s">
        <v>1391</v>
      </c>
      <c r="Q333">
        <v>5</v>
      </c>
      <c r="R333">
        <v>500</v>
      </c>
      <c r="S333">
        <v>300</v>
      </c>
      <c r="T333">
        <v>300</v>
      </c>
      <c r="V333" t="s">
        <v>242</v>
      </c>
      <c r="W333" t="s">
        <v>786</v>
      </c>
      <c r="X333" t="s">
        <v>1904</v>
      </c>
      <c r="Y333" t="s">
        <v>1905</v>
      </c>
    </row>
    <row r="334" spans="1:25" x14ac:dyDescent="0.2">
      <c r="A334" t="s">
        <v>1906</v>
      </c>
      <c r="B334" s="1">
        <f>VALUE(RIGHT(A334,LEN(A334)-3))</f>
        <v>321</v>
      </c>
      <c r="C334" t="s">
        <v>32</v>
      </c>
      <c r="D334" t="s">
        <v>4140</v>
      </c>
      <c r="E334" t="s">
        <v>1909</v>
      </c>
      <c r="F334">
        <v>1</v>
      </c>
      <c r="G334" t="s">
        <v>57</v>
      </c>
      <c r="H334">
        <v>0</v>
      </c>
      <c r="J334" t="s">
        <v>1907</v>
      </c>
      <c r="K334">
        <v>33</v>
      </c>
      <c r="L334" t="s">
        <v>27</v>
      </c>
      <c r="M334" t="s">
        <v>1313</v>
      </c>
      <c r="N334" t="s">
        <v>43</v>
      </c>
      <c r="O334" t="s">
        <v>503</v>
      </c>
      <c r="P334" t="s">
        <v>1878</v>
      </c>
      <c r="Q334">
        <v>3</v>
      </c>
      <c r="R334">
        <v>470</v>
      </c>
      <c r="T334">
        <v>12400</v>
      </c>
      <c r="V334" t="s">
        <v>367</v>
      </c>
      <c r="W334" t="s">
        <v>368</v>
      </c>
      <c r="X334" t="s">
        <v>182</v>
      </c>
      <c r="Y334" t="s">
        <v>1910</v>
      </c>
    </row>
    <row r="335" spans="1:25" x14ac:dyDescent="0.2">
      <c r="A335" t="s">
        <v>1911</v>
      </c>
      <c r="B335" s="1">
        <f>VALUE(RIGHT(A335,LEN(A335)-3))</f>
        <v>322</v>
      </c>
      <c r="C335" t="s">
        <v>32</v>
      </c>
      <c r="D335" t="s">
        <v>4140</v>
      </c>
      <c r="E335" t="s">
        <v>1914</v>
      </c>
      <c r="F335">
        <v>1</v>
      </c>
      <c r="G335" t="s">
        <v>35</v>
      </c>
      <c r="H335">
        <v>2</v>
      </c>
      <c r="I335" t="s">
        <v>241</v>
      </c>
      <c r="J335" t="s">
        <v>1912</v>
      </c>
      <c r="K335">
        <v>48</v>
      </c>
      <c r="L335" t="s">
        <v>551</v>
      </c>
      <c r="M335" t="s">
        <v>151</v>
      </c>
      <c r="N335" t="s">
        <v>43</v>
      </c>
      <c r="O335" t="s">
        <v>503</v>
      </c>
      <c r="P335" t="s">
        <v>1913</v>
      </c>
      <c r="Q335">
        <v>10</v>
      </c>
      <c r="V335" t="s">
        <v>242</v>
      </c>
      <c r="W335" t="s">
        <v>47</v>
      </c>
      <c r="X335" t="s">
        <v>61</v>
      </c>
      <c r="Y335" t="s">
        <v>1915</v>
      </c>
    </row>
    <row r="336" spans="1:25" x14ac:dyDescent="0.2">
      <c r="A336" t="s">
        <v>1916</v>
      </c>
      <c r="B336" s="1">
        <f>VALUE(RIGHT(A336,LEN(A336)-3))</f>
        <v>323</v>
      </c>
      <c r="C336" t="s">
        <v>32</v>
      </c>
      <c r="D336" t="s">
        <v>4140</v>
      </c>
      <c r="E336" t="s">
        <v>1919</v>
      </c>
      <c r="F336">
        <v>1</v>
      </c>
      <c r="G336" t="s">
        <v>35</v>
      </c>
      <c r="H336">
        <v>0</v>
      </c>
      <c r="J336" t="s">
        <v>1917</v>
      </c>
      <c r="K336">
        <v>30</v>
      </c>
      <c r="L336" t="s">
        <v>258</v>
      </c>
      <c r="M336" t="s">
        <v>1121</v>
      </c>
      <c r="N336" t="s">
        <v>43</v>
      </c>
      <c r="O336" t="s">
        <v>503</v>
      </c>
      <c r="P336" t="s">
        <v>1832</v>
      </c>
      <c r="Q336">
        <v>7</v>
      </c>
      <c r="V336" t="s">
        <v>242</v>
      </c>
      <c r="W336" t="s">
        <v>786</v>
      </c>
      <c r="X336" t="s">
        <v>182</v>
      </c>
      <c r="Y336" t="s">
        <v>1920</v>
      </c>
    </row>
    <row r="337" spans="1:25" x14ac:dyDescent="0.2">
      <c r="A337" t="s">
        <v>1942</v>
      </c>
      <c r="B337" s="1">
        <f>VALUE(RIGHT(A337,LEN(A337)-3))</f>
        <v>328</v>
      </c>
      <c r="C337" t="s">
        <v>32</v>
      </c>
      <c r="D337" t="s">
        <v>4140</v>
      </c>
      <c r="E337" t="s">
        <v>1946</v>
      </c>
      <c r="F337">
        <v>2</v>
      </c>
      <c r="G337" t="s">
        <v>94</v>
      </c>
      <c r="H337">
        <v>1</v>
      </c>
      <c r="I337" t="s">
        <v>68</v>
      </c>
      <c r="J337" t="s">
        <v>1943</v>
      </c>
      <c r="K337">
        <v>26</v>
      </c>
      <c r="L337" t="s">
        <v>120</v>
      </c>
      <c r="M337" t="s">
        <v>961</v>
      </c>
      <c r="N337" t="s">
        <v>43</v>
      </c>
      <c r="O337" t="s">
        <v>503</v>
      </c>
      <c r="P337" t="s">
        <v>1944</v>
      </c>
      <c r="Q337">
        <v>2</v>
      </c>
      <c r="R337">
        <v>281</v>
      </c>
      <c r="S337">
        <v>123</v>
      </c>
      <c r="T337">
        <v>855</v>
      </c>
      <c r="V337" t="s">
        <v>242</v>
      </c>
      <c r="W337" t="s">
        <v>1566</v>
      </c>
      <c r="X337" t="s">
        <v>635</v>
      </c>
      <c r="Y337" t="s">
        <v>1947</v>
      </c>
    </row>
    <row r="338" spans="1:25" x14ac:dyDescent="0.2">
      <c r="A338" t="s">
        <v>1952</v>
      </c>
      <c r="B338" s="1">
        <f>VALUE(RIGHT(A338,LEN(A338)-3))</f>
        <v>330</v>
      </c>
      <c r="C338" t="s">
        <v>32</v>
      </c>
      <c r="D338" t="s">
        <v>4140</v>
      </c>
      <c r="E338" t="s">
        <v>1956</v>
      </c>
      <c r="F338">
        <v>1</v>
      </c>
      <c r="G338" t="s">
        <v>57</v>
      </c>
      <c r="H338">
        <v>0</v>
      </c>
      <c r="J338" t="s">
        <v>1953</v>
      </c>
      <c r="K338">
        <v>40</v>
      </c>
      <c r="L338" t="s">
        <v>357</v>
      </c>
      <c r="M338" t="s">
        <v>1954</v>
      </c>
      <c r="N338" t="s">
        <v>43</v>
      </c>
      <c r="O338" t="s">
        <v>503</v>
      </c>
      <c r="P338" t="s">
        <v>1832</v>
      </c>
      <c r="Q338">
        <v>18</v>
      </c>
      <c r="V338" t="s">
        <v>242</v>
      </c>
      <c r="W338" t="s">
        <v>47</v>
      </c>
      <c r="X338" t="s">
        <v>182</v>
      </c>
      <c r="Y338" t="s">
        <v>1957</v>
      </c>
    </row>
    <row r="339" spans="1:25" x14ac:dyDescent="0.2">
      <c r="A339" t="s">
        <v>1958</v>
      </c>
      <c r="B339" s="1">
        <f>VALUE(RIGHT(A339,LEN(A339)-3))</f>
        <v>331</v>
      </c>
      <c r="C339" t="s">
        <v>32</v>
      </c>
      <c r="D339" t="s">
        <v>4140</v>
      </c>
      <c r="E339" t="s">
        <v>1962</v>
      </c>
      <c r="F339">
        <v>1</v>
      </c>
      <c r="G339" t="s">
        <v>57</v>
      </c>
      <c r="H339">
        <v>1</v>
      </c>
      <c r="I339" t="s">
        <v>68</v>
      </c>
      <c r="J339" t="s">
        <v>1959</v>
      </c>
      <c r="K339">
        <v>52</v>
      </c>
      <c r="L339" t="s">
        <v>357</v>
      </c>
      <c r="M339" t="s">
        <v>1960</v>
      </c>
      <c r="N339" t="s">
        <v>43</v>
      </c>
      <c r="O339" t="s">
        <v>503</v>
      </c>
      <c r="P339" t="s">
        <v>520</v>
      </c>
      <c r="Q339">
        <v>20</v>
      </c>
      <c r="V339" t="s">
        <v>103</v>
      </c>
      <c r="W339" t="s">
        <v>1963</v>
      </c>
      <c r="X339" t="s">
        <v>48</v>
      </c>
      <c r="Y339" t="s">
        <v>1964</v>
      </c>
    </row>
    <row r="340" spans="1:25" x14ac:dyDescent="0.2">
      <c r="A340" t="s">
        <v>1965</v>
      </c>
      <c r="B340" s="1">
        <f>VALUE(RIGHT(A340,LEN(A340)-3))</f>
        <v>332</v>
      </c>
      <c r="C340" t="s">
        <v>32</v>
      </c>
      <c r="D340" t="s">
        <v>4140</v>
      </c>
      <c r="E340" t="s">
        <v>1969</v>
      </c>
      <c r="F340">
        <v>1</v>
      </c>
      <c r="G340" t="s">
        <v>57</v>
      </c>
      <c r="H340">
        <v>1</v>
      </c>
      <c r="I340" t="s">
        <v>291</v>
      </c>
      <c r="J340" t="s">
        <v>1966</v>
      </c>
      <c r="K340">
        <v>28</v>
      </c>
      <c r="L340" t="s">
        <v>338</v>
      </c>
      <c r="M340" t="s">
        <v>1967</v>
      </c>
      <c r="N340" t="s">
        <v>43</v>
      </c>
      <c r="O340" t="s">
        <v>503</v>
      </c>
      <c r="P340" t="s">
        <v>1944</v>
      </c>
      <c r="Q340">
        <v>5</v>
      </c>
      <c r="V340" t="s">
        <v>367</v>
      </c>
      <c r="W340" t="s">
        <v>368</v>
      </c>
      <c r="X340" t="s">
        <v>1274</v>
      </c>
      <c r="Y340" t="s">
        <v>1970</v>
      </c>
    </row>
    <row r="341" spans="1:25" x14ac:dyDescent="0.2">
      <c r="A341" t="s">
        <v>1971</v>
      </c>
      <c r="B341" s="1">
        <f>VALUE(RIGHT(A341,LEN(A341)-3))</f>
        <v>333</v>
      </c>
      <c r="C341" t="s">
        <v>32</v>
      </c>
      <c r="D341" t="s">
        <v>4140</v>
      </c>
      <c r="E341" t="s">
        <v>1973</v>
      </c>
      <c r="F341">
        <v>1</v>
      </c>
      <c r="G341" t="s">
        <v>57</v>
      </c>
      <c r="H341">
        <v>1</v>
      </c>
      <c r="I341" t="s">
        <v>123</v>
      </c>
      <c r="J341" t="s">
        <v>1972</v>
      </c>
      <c r="K341">
        <v>33</v>
      </c>
      <c r="L341" t="s">
        <v>525</v>
      </c>
      <c r="M341" t="s">
        <v>259</v>
      </c>
      <c r="N341" t="s">
        <v>43</v>
      </c>
      <c r="O341" t="s">
        <v>503</v>
      </c>
      <c r="P341" t="s">
        <v>1832</v>
      </c>
      <c r="Q341">
        <v>3</v>
      </c>
      <c r="V341" t="s">
        <v>367</v>
      </c>
      <c r="W341" t="s">
        <v>368</v>
      </c>
      <c r="X341" t="s">
        <v>182</v>
      </c>
      <c r="Y341" t="s">
        <v>1974</v>
      </c>
    </row>
    <row r="342" spans="1:25" x14ac:dyDescent="0.2">
      <c r="A342" t="s">
        <v>1975</v>
      </c>
      <c r="B342" s="1">
        <f>VALUE(RIGHT(A342,LEN(A342)-3))</f>
        <v>334</v>
      </c>
      <c r="C342" t="s">
        <v>32</v>
      </c>
      <c r="D342" t="s">
        <v>4140</v>
      </c>
      <c r="E342" t="s">
        <v>1978</v>
      </c>
      <c r="F342">
        <v>1</v>
      </c>
      <c r="G342" t="s">
        <v>130</v>
      </c>
      <c r="H342">
        <v>0</v>
      </c>
      <c r="J342" t="s">
        <v>1976</v>
      </c>
      <c r="K342">
        <v>45</v>
      </c>
      <c r="L342" t="s">
        <v>357</v>
      </c>
      <c r="M342" t="s">
        <v>1653</v>
      </c>
      <c r="N342" t="s">
        <v>43</v>
      </c>
      <c r="O342" t="s">
        <v>503</v>
      </c>
      <c r="P342" t="s">
        <v>1977</v>
      </c>
      <c r="Q342">
        <v>3</v>
      </c>
      <c r="R342">
        <v>110</v>
      </c>
      <c r="T342">
        <v>500</v>
      </c>
      <c r="V342" t="s">
        <v>103</v>
      </c>
      <c r="W342" t="s">
        <v>104</v>
      </c>
      <c r="X342" t="s">
        <v>760</v>
      </c>
      <c r="Y342" t="s">
        <v>1979</v>
      </c>
    </row>
    <row r="343" spans="1:25" x14ac:dyDescent="0.2">
      <c r="A343" t="s">
        <v>2000</v>
      </c>
      <c r="B343" s="1">
        <f>VALUE(RIGHT(A343,LEN(A343)-3))</f>
        <v>338</v>
      </c>
      <c r="C343" t="s">
        <v>32</v>
      </c>
      <c r="D343" t="s">
        <v>4140</v>
      </c>
      <c r="E343" t="s">
        <v>2005</v>
      </c>
      <c r="F343">
        <v>1</v>
      </c>
      <c r="G343" t="s">
        <v>57</v>
      </c>
      <c r="H343">
        <v>1</v>
      </c>
      <c r="I343" t="s">
        <v>1354</v>
      </c>
      <c r="J343" t="s">
        <v>2001</v>
      </c>
      <c r="K343">
        <v>49</v>
      </c>
      <c r="L343" t="s">
        <v>402</v>
      </c>
      <c r="M343" t="s">
        <v>2002</v>
      </c>
      <c r="N343" t="s">
        <v>43</v>
      </c>
      <c r="O343" t="s">
        <v>503</v>
      </c>
      <c r="P343" t="s">
        <v>2003</v>
      </c>
      <c r="Q343">
        <v>7</v>
      </c>
      <c r="R343">
        <v>660</v>
      </c>
      <c r="S343">
        <v>250</v>
      </c>
      <c r="T343">
        <v>800</v>
      </c>
      <c r="V343" t="s">
        <v>242</v>
      </c>
      <c r="W343" t="s">
        <v>47</v>
      </c>
      <c r="X343" t="s">
        <v>48</v>
      </c>
      <c r="Y343" t="s">
        <v>2006</v>
      </c>
    </row>
    <row r="344" spans="1:25" x14ac:dyDescent="0.2">
      <c r="A344" t="s">
        <v>2019</v>
      </c>
      <c r="B344" s="1">
        <f>VALUE(RIGHT(A344,LEN(A344)-3))</f>
        <v>341</v>
      </c>
      <c r="C344" t="s">
        <v>32</v>
      </c>
      <c r="D344" t="s">
        <v>4140</v>
      </c>
      <c r="E344" t="s">
        <v>2022</v>
      </c>
      <c r="F344">
        <v>1</v>
      </c>
      <c r="G344" t="s">
        <v>35</v>
      </c>
      <c r="H344">
        <v>0</v>
      </c>
      <c r="J344" t="s">
        <v>2020</v>
      </c>
      <c r="K344">
        <v>38</v>
      </c>
      <c r="L344" t="s">
        <v>27</v>
      </c>
      <c r="M344" t="s">
        <v>2021</v>
      </c>
      <c r="N344" t="s">
        <v>43</v>
      </c>
      <c r="O344" t="s">
        <v>503</v>
      </c>
      <c r="P344" t="s">
        <v>2003</v>
      </c>
      <c r="Q344">
        <v>5</v>
      </c>
      <c r="R344">
        <v>300</v>
      </c>
      <c r="T344">
        <v>2000</v>
      </c>
      <c r="V344" t="s">
        <v>242</v>
      </c>
      <c r="W344" t="s">
        <v>786</v>
      </c>
      <c r="X344" t="s">
        <v>48</v>
      </c>
      <c r="Y344" t="s">
        <v>2023</v>
      </c>
    </row>
    <row r="345" spans="1:25" x14ac:dyDescent="0.2">
      <c r="A345" t="s">
        <v>2029</v>
      </c>
      <c r="B345" s="1">
        <f>VALUE(RIGHT(A345,LEN(A345)-3))</f>
        <v>343</v>
      </c>
      <c r="C345" t="s">
        <v>32</v>
      </c>
      <c r="D345" t="s">
        <v>4140</v>
      </c>
      <c r="E345" t="s">
        <v>2032</v>
      </c>
      <c r="F345">
        <v>1</v>
      </c>
      <c r="G345" t="s">
        <v>57</v>
      </c>
      <c r="H345">
        <v>1</v>
      </c>
      <c r="I345" t="s">
        <v>1105</v>
      </c>
      <c r="J345" t="s">
        <v>2030</v>
      </c>
      <c r="K345">
        <v>47</v>
      </c>
      <c r="L345" t="s">
        <v>52</v>
      </c>
      <c r="M345" t="s">
        <v>151</v>
      </c>
      <c r="N345" t="s">
        <v>43</v>
      </c>
      <c r="O345" t="s">
        <v>503</v>
      </c>
      <c r="P345" t="s">
        <v>1696</v>
      </c>
      <c r="Q345">
        <v>10</v>
      </c>
      <c r="V345" t="s">
        <v>103</v>
      </c>
      <c r="W345" t="s">
        <v>515</v>
      </c>
      <c r="X345" t="s">
        <v>48</v>
      </c>
      <c r="Y345" t="s">
        <v>2033</v>
      </c>
    </row>
    <row r="346" spans="1:25" x14ac:dyDescent="0.2">
      <c r="A346" t="s">
        <v>2034</v>
      </c>
      <c r="B346" s="1">
        <f>VALUE(RIGHT(A346,LEN(A346)-3))</f>
        <v>344</v>
      </c>
      <c r="C346" t="s">
        <v>32</v>
      </c>
      <c r="D346" t="s">
        <v>4140</v>
      </c>
      <c r="E346" t="s">
        <v>2036</v>
      </c>
      <c r="F346">
        <v>1</v>
      </c>
      <c r="G346" t="s">
        <v>35</v>
      </c>
      <c r="H346">
        <v>1</v>
      </c>
      <c r="I346" t="s">
        <v>1354</v>
      </c>
      <c r="J346" t="s">
        <v>2030</v>
      </c>
      <c r="K346">
        <v>37</v>
      </c>
      <c r="L346" t="s">
        <v>338</v>
      </c>
      <c r="M346" t="s">
        <v>100</v>
      </c>
      <c r="N346" t="s">
        <v>43</v>
      </c>
      <c r="O346" t="s">
        <v>503</v>
      </c>
      <c r="P346" t="s">
        <v>1944</v>
      </c>
      <c r="V346" t="s">
        <v>103</v>
      </c>
      <c r="W346" t="s">
        <v>432</v>
      </c>
      <c r="X346" t="s">
        <v>48</v>
      </c>
      <c r="Y346" t="s">
        <v>2037</v>
      </c>
    </row>
    <row r="347" spans="1:25" x14ac:dyDescent="0.2">
      <c r="A347" t="s">
        <v>2052</v>
      </c>
      <c r="B347" s="1">
        <f>VALUE(RIGHT(A347,LEN(A347)-3))</f>
        <v>348</v>
      </c>
      <c r="C347" t="s">
        <v>32</v>
      </c>
      <c r="D347" t="s">
        <v>4140</v>
      </c>
      <c r="E347" t="s">
        <v>2054</v>
      </c>
      <c r="F347">
        <v>1</v>
      </c>
      <c r="G347" t="s">
        <v>35</v>
      </c>
      <c r="H347">
        <v>4</v>
      </c>
      <c r="I347" t="s">
        <v>267</v>
      </c>
      <c r="J347" t="s">
        <v>2049</v>
      </c>
      <c r="K347">
        <v>25</v>
      </c>
      <c r="L347" t="s">
        <v>690</v>
      </c>
      <c r="M347" t="s">
        <v>385</v>
      </c>
      <c r="N347" t="s">
        <v>43</v>
      </c>
      <c r="O347" t="s">
        <v>503</v>
      </c>
      <c r="P347" t="s">
        <v>2003</v>
      </c>
      <c r="R347">
        <v>1</v>
      </c>
      <c r="S347">
        <v>1</v>
      </c>
      <c r="T347">
        <v>40</v>
      </c>
      <c r="V347" t="s">
        <v>138</v>
      </c>
      <c r="W347" t="s">
        <v>2055</v>
      </c>
      <c r="X347" t="s">
        <v>48</v>
      </c>
      <c r="Y347" t="s">
        <v>2056</v>
      </c>
    </row>
    <row r="348" spans="1:25" x14ac:dyDescent="0.2">
      <c r="A348" t="s">
        <v>2057</v>
      </c>
      <c r="B348" s="1">
        <f>VALUE(RIGHT(A348,LEN(A348)-3))</f>
        <v>349</v>
      </c>
      <c r="C348" t="s">
        <v>32</v>
      </c>
      <c r="D348" t="s">
        <v>4140</v>
      </c>
      <c r="E348" t="s">
        <v>2061</v>
      </c>
      <c r="F348">
        <v>1</v>
      </c>
      <c r="G348" t="s">
        <v>130</v>
      </c>
      <c r="H348">
        <v>0</v>
      </c>
      <c r="J348" t="s">
        <v>2058</v>
      </c>
      <c r="K348">
        <v>37</v>
      </c>
      <c r="L348" t="s">
        <v>127</v>
      </c>
      <c r="M348" t="s">
        <v>1271</v>
      </c>
      <c r="N348" t="s">
        <v>43</v>
      </c>
      <c r="O348" t="s">
        <v>503</v>
      </c>
      <c r="P348" t="s">
        <v>2059</v>
      </c>
      <c r="Q348">
        <v>11</v>
      </c>
      <c r="R348">
        <v>969</v>
      </c>
      <c r="V348" t="s">
        <v>242</v>
      </c>
      <c r="W348" t="s">
        <v>2062</v>
      </c>
      <c r="X348" t="s">
        <v>2063</v>
      </c>
      <c r="Y348" t="s">
        <v>2064</v>
      </c>
    </row>
    <row r="349" spans="1:25" x14ac:dyDescent="0.2">
      <c r="A349" t="s">
        <v>2069</v>
      </c>
      <c r="B349" s="1">
        <f>VALUE(RIGHT(A349,LEN(A349)-3))</f>
        <v>351</v>
      </c>
      <c r="C349" t="s">
        <v>32</v>
      </c>
      <c r="D349" t="s">
        <v>4140</v>
      </c>
      <c r="E349" t="s">
        <v>2072</v>
      </c>
      <c r="F349">
        <v>1</v>
      </c>
      <c r="G349" t="s">
        <v>35</v>
      </c>
      <c r="H349">
        <v>0</v>
      </c>
      <c r="J349" t="s">
        <v>2070</v>
      </c>
      <c r="L349" t="s">
        <v>1223</v>
      </c>
      <c r="M349" t="s">
        <v>1271</v>
      </c>
      <c r="N349" t="s">
        <v>43</v>
      </c>
      <c r="O349" t="s">
        <v>503</v>
      </c>
      <c r="P349" t="s">
        <v>2003</v>
      </c>
      <c r="Q349">
        <v>10</v>
      </c>
      <c r="R349">
        <v>1300</v>
      </c>
      <c r="T349">
        <v>1000</v>
      </c>
      <c r="V349" t="s">
        <v>103</v>
      </c>
      <c r="W349" t="s">
        <v>681</v>
      </c>
      <c r="X349" t="s">
        <v>61</v>
      </c>
      <c r="Y349" t="s">
        <v>2073</v>
      </c>
    </row>
    <row r="350" spans="1:25" x14ac:dyDescent="0.2">
      <c r="A350" t="s">
        <v>2089</v>
      </c>
      <c r="B350" s="1">
        <f>VALUE(RIGHT(A350,LEN(A350)-3))</f>
        <v>355</v>
      </c>
      <c r="C350" t="s">
        <v>32</v>
      </c>
      <c r="D350" t="s">
        <v>4140</v>
      </c>
      <c r="E350" t="s">
        <v>2093</v>
      </c>
      <c r="F350">
        <v>1</v>
      </c>
      <c r="G350" t="s">
        <v>57</v>
      </c>
      <c r="H350">
        <v>2</v>
      </c>
      <c r="I350" t="s">
        <v>444</v>
      </c>
      <c r="J350" t="s">
        <v>2090</v>
      </c>
      <c r="K350">
        <v>34</v>
      </c>
      <c r="L350" t="s">
        <v>402</v>
      </c>
      <c r="M350" t="s">
        <v>259</v>
      </c>
      <c r="N350" t="s">
        <v>43</v>
      </c>
      <c r="O350" t="s">
        <v>503</v>
      </c>
      <c r="P350" t="s">
        <v>2091</v>
      </c>
      <c r="Q350">
        <v>7</v>
      </c>
      <c r="R350">
        <v>1150</v>
      </c>
      <c r="S350">
        <v>80</v>
      </c>
      <c r="T350">
        <v>400</v>
      </c>
      <c r="V350" t="s">
        <v>103</v>
      </c>
      <c r="W350" t="s">
        <v>851</v>
      </c>
      <c r="X350" t="s">
        <v>61</v>
      </c>
      <c r="Y350" t="s">
        <v>2094</v>
      </c>
    </row>
    <row r="351" spans="1:25" x14ac:dyDescent="0.2">
      <c r="A351" t="s">
        <v>2101</v>
      </c>
      <c r="B351" s="1">
        <f>VALUE(RIGHT(A351,LEN(A351)-3))</f>
        <v>357</v>
      </c>
      <c r="C351" t="s">
        <v>32</v>
      </c>
      <c r="D351" t="s">
        <v>4140</v>
      </c>
      <c r="E351" t="s">
        <v>2105</v>
      </c>
      <c r="F351">
        <v>1</v>
      </c>
      <c r="G351" t="s">
        <v>35</v>
      </c>
      <c r="H351">
        <v>2</v>
      </c>
      <c r="I351" t="s">
        <v>2106</v>
      </c>
      <c r="J351" t="s">
        <v>2102</v>
      </c>
      <c r="K351">
        <v>37</v>
      </c>
      <c r="L351" t="s">
        <v>112</v>
      </c>
      <c r="M351" t="s">
        <v>2103</v>
      </c>
      <c r="N351" t="s">
        <v>43</v>
      </c>
      <c r="O351" t="s">
        <v>503</v>
      </c>
      <c r="P351" t="s">
        <v>2003</v>
      </c>
      <c r="V351" t="s">
        <v>242</v>
      </c>
      <c r="W351" t="s">
        <v>2107</v>
      </c>
      <c r="X351" t="s">
        <v>48</v>
      </c>
      <c r="Y351" t="s">
        <v>2108</v>
      </c>
    </row>
    <row r="352" spans="1:25" x14ac:dyDescent="0.2">
      <c r="A352" t="s">
        <v>2109</v>
      </c>
      <c r="B352" s="1">
        <f>VALUE(RIGHT(A352,LEN(A352)-3))</f>
        <v>358</v>
      </c>
      <c r="C352" t="s">
        <v>32</v>
      </c>
      <c r="D352" t="s">
        <v>4140</v>
      </c>
      <c r="E352" t="s">
        <v>2112</v>
      </c>
      <c r="F352">
        <v>1</v>
      </c>
      <c r="G352" t="s">
        <v>35</v>
      </c>
      <c r="H352">
        <v>0</v>
      </c>
      <c r="J352" t="s">
        <v>2110</v>
      </c>
      <c r="K352">
        <v>27</v>
      </c>
      <c r="L352" t="s">
        <v>800</v>
      </c>
      <c r="M352" t="s">
        <v>151</v>
      </c>
      <c r="N352" t="s">
        <v>43</v>
      </c>
      <c r="O352" t="s">
        <v>503</v>
      </c>
      <c r="P352" t="s">
        <v>520</v>
      </c>
      <c r="Q352">
        <v>3</v>
      </c>
      <c r="R352">
        <v>400</v>
      </c>
      <c r="S352">
        <v>150</v>
      </c>
      <c r="T352">
        <v>800</v>
      </c>
      <c r="U352">
        <v>400</v>
      </c>
      <c r="V352" t="s">
        <v>242</v>
      </c>
      <c r="W352" t="s">
        <v>47</v>
      </c>
      <c r="X352" t="s">
        <v>61</v>
      </c>
      <c r="Y352" t="s">
        <v>2113</v>
      </c>
    </row>
    <row r="353" spans="1:25" x14ac:dyDescent="0.2">
      <c r="A353" t="s">
        <v>2125</v>
      </c>
      <c r="B353" s="1">
        <f>VALUE(RIGHT(A353,LEN(A353)-3))</f>
        <v>361</v>
      </c>
      <c r="C353" t="s">
        <v>32</v>
      </c>
      <c r="D353" t="s">
        <v>4140</v>
      </c>
      <c r="E353" t="s">
        <v>2128</v>
      </c>
      <c r="F353">
        <v>1</v>
      </c>
      <c r="G353" t="s">
        <v>57</v>
      </c>
      <c r="H353">
        <v>0</v>
      </c>
      <c r="J353" t="s">
        <v>2126</v>
      </c>
      <c r="L353" t="s">
        <v>178</v>
      </c>
      <c r="M353" t="s">
        <v>259</v>
      </c>
      <c r="N353" t="s">
        <v>43</v>
      </c>
      <c r="O353" t="s">
        <v>503</v>
      </c>
      <c r="P353" t="s">
        <v>2127</v>
      </c>
      <c r="R353">
        <v>650</v>
      </c>
      <c r="V353" t="s">
        <v>103</v>
      </c>
      <c r="W353" t="s">
        <v>104</v>
      </c>
      <c r="X353" t="s">
        <v>1274</v>
      </c>
      <c r="Y353" t="s">
        <v>2129</v>
      </c>
    </row>
    <row r="354" spans="1:25" x14ac:dyDescent="0.2">
      <c r="A354" t="s">
        <v>2145</v>
      </c>
      <c r="B354" s="1">
        <f>VALUE(RIGHT(A354,LEN(A354)-3))</f>
        <v>365</v>
      </c>
      <c r="C354" t="s">
        <v>32</v>
      </c>
      <c r="D354" t="s">
        <v>4140</v>
      </c>
      <c r="E354" t="s">
        <v>2147</v>
      </c>
      <c r="F354">
        <v>1</v>
      </c>
      <c r="G354" t="s">
        <v>57</v>
      </c>
      <c r="H354">
        <v>0</v>
      </c>
      <c r="J354" t="s">
        <v>2146</v>
      </c>
      <c r="K354">
        <v>47</v>
      </c>
      <c r="L354" t="s">
        <v>338</v>
      </c>
      <c r="M354" t="s">
        <v>961</v>
      </c>
      <c r="N354" t="s">
        <v>43</v>
      </c>
      <c r="O354" t="s">
        <v>503</v>
      </c>
      <c r="P354" t="s">
        <v>2003</v>
      </c>
      <c r="Q354">
        <v>8</v>
      </c>
      <c r="V354" t="s">
        <v>367</v>
      </c>
      <c r="W354" t="s">
        <v>368</v>
      </c>
      <c r="X354" t="s">
        <v>48</v>
      </c>
      <c r="Y354" t="s">
        <v>2148</v>
      </c>
    </row>
    <row r="355" spans="1:25" x14ac:dyDescent="0.2">
      <c r="A355" t="s">
        <v>2160</v>
      </c>
      <c r="B355" s="1">
        <f>VALUE(RIGHT(A355,LEN(A355)-3))</f>
        <v>367</v>
      </c>
      <c r="C355" t="s">
        <v>32</v>
      </c>
      <c r="D355" t="s">
        <v>4140</v>
      </c>
      <c r="E355" t="s">
        <v>2162</v>
      </c>
      <c r="F355">
        <v>1</v>
      </c>
      <c r="G355" t="s">
        <v>130</v>
      </c>
      <c r="H355">
        <v>0</v>
      </c>
      <c r="J355" t="s">
        <v>2161</v>
      </c>
      <c r="K355">
        <v>30</v>
      </c>
      <c r="L355" t="s">
        <v>52</v>
      </c>
      <c r="M355" t="s">
        <v>151</v>
      </c>
      <c r="N355" t="s">
        <v>43</v>
      </c>
      <c r="O355" t="s">
        <v>503</v>
      </c>
      <c r="P355" t="s">
        <v>1696</v>
      </c>
      <c r="Q355">
        <v>4</v>
      </c>
      <c r="R355">
        <v>400</v>
      </c>
      <c r="S355">
        <v>200</v>
      </c>
      <c r="T355">
        <v>550</v>
      </c>
      <c r="U355">
        <v>350</v>
      </c>
      <c r="V355" t="s">
        <v>242</v>
      </c>
      <c r="W355" t="s">
        <v>47</v>
      </c>
      <c r="X355" t="s">
        <v>2063</v>
      </c>
      <c r="Y355" t="s">
        <v>2163</v>
      </c>
    </row>
    <row r="356" spans="1:25" x14ac:dyDescent="0.2">
      <c r="A356" t="s">
        <v>2153</v>
      </c>
      <c r="B356" s="1">
        <f>VALUE(RIGHT(A356,LEN(A356)-3))</f>
        <v>368</v>
      </c>
      <c r="C356" t="s">
        <v>32</v>
      </c>
      <c r="D356" t="s">
        <v>4140</v>
      </c>
      <c r="E356" t="s">
        <v>2157</v>
      </c>
      <c r="F356">
        <v>1</v>
      </c>
      <c r="G356" t="s">
        <v>57</v>
      </c>
      <c r="H356">
        <v>1</v>
      </c>
      <c r="I356" t="s">
        <v>291</v>
      </c>
      <c r="J356" t="s">
        <v>2154</v>
      </c>
      <c r="K356">
        <v>27</v>
      </c>
      <c r="L356" t="s">
        <v>258</v>
      </c>
      <c r="M356" t="s">
        <v>2155</v>
      </c>
      <c r="N356" t="s">
        <v>43</v>
      </c>
      <c r="O356" t="s">
        <v>503</v>
      </c>
      <c r="P356" t="s">
        <v>1771</v>
      </c>
      <c r="Q356">
        <v>8</v>
      </c>
      <c r="V356" t="s">
        <v>86</v>
      </c>
      <c r="W356" t="s">
        <v>2158</v>
      </c>
      <c r="X356" t="s">
        <v>235</v>
      </c>
      <c r="Y356" t="s">
        <v>2159</v>
      </c>
    </row>
    <row r="357" spans="1:25" x14ac:dyDescent="0.2">
      <c r="A357" t="s">
        <v>2208</v>
      </c>
      <c r="B357" s="1">
        <f>VALUE(RIGHT(A357,LEN(A357)-3))</f>
        <v>376</v>
      </c>
      <c r="C357" t="s">
        <v>32</v>
      </c>
      <c r="D357" t="s">
        <v>4140</v>
      </c>
      <c r="E357" t="s">
        <v>2210</v>
      </c>
      <c r="F357">
        <v>1</v>
      </c>
      <c r="G357" t="s">
        <v>57</v>
      </c>
      <c r="H357">
        <v>1</v>
      </c>
      <c r="I357" t="s">
        <v>68</v>
      </c>
      <c r="J357" t="s">
        <v>2209</v>
      </c>
      <c r="K357">
        <v>34</v>
      </c>
      <c r="L357" t="s">
        <v>27</v>
      </c>
      <c r="M357" t="s">
        <v>1271</v>
      </c>
      <c r="N357" t="s">
        <v>43</v>
      </c>
      <c r="O357" t="s">
        <v>503</v>
      </c>
      <c r="P357" t="s">
        <v>1890</v>
      </c>
      <c r="Q357">
        <v>5</v>
      </c>
      <c r="R357">
        <v>400</v>
      </c>
      <c r="S357">
        <v>400</v>
      </c>
      <c r="T357">
        <v>1700</v>
      </c>
      <c r="U357">
        <v>1400</v>
      </c>
      <c r="V357" t="s">
        <v>103</v>
      </c>
      <c r="W357" t="s">
        <v>2211</v>
      </c>
      <c r="X357" t="s">
        <v>61</v>
      </c>
      <c r="Y357" t="s">
        <v>2212</v>
      </c>
    </row>
    <row r="358" spans="1:25" x14ac:dyDescent="0.2">
      <c r="A358" t="s">
        <v>2244</v>
      </c>
      <c r="B358" s="1">
        <f>VALUE(RIGHT(A358,LEN(A358)-3))</f>
        <v>382</v>
      </c>
      <c r="C358" t="s">
        <v>32</v>
      </c>
      <c r="D358" t="s">
        <v>4140</v>
      </c>
      <c r="E358" t="s">
        <v>2248</v>
      </c>
      <c r="F358">
        <v>1</v>
      </c>
      <c r="G358" t="s">
        <v>57</v>
      </c>
      <c r="H358">
        <v>0</v>
      </c>
      <c r="J358" t="s">
        <v>2245</v>
      </c>
      <c r="K358">
        <v>46</v>
      </c>
      <c r="L358" t="s">
        <v>357</v>
      </c>
      <c r="M358" t="s">
        <v>1790</v>
      </c>
      <c r="N358" t="s">
        <v>43</v>
      </c>
      <c r="O358" t="s">
        <v>503</v>
      </c>
      <c r="P358" t="s">
        <v>2246</v>
      </c>
      <c r="R358">
        <v>200</v>
      </c>
      <c r="T358">
        <v>1000</v>
      </c>
      <c r="V358" t="s">
        <v>242</v>
      </c>
      <c r="W358" t="s">
        <v>934</v>
      </c>
      <c r="X358" t="s">
        <v>61</v>
      </c>
      <c r="Y358" t="s">
        <v>2249</v>
      </c>
    </row>
    <row r="359" spans="1:25" x14ac:dyDescent="0.2">
      <c r="A359" t="s">
        <v>2256</v>
      </c>
      <c r="B359" s="1">
        <f>VALUE(RIGHT(A359,LEN(A359)-3))</f>
        <v>384</v>
      </c>
      <c r="C359" t="s">
        <v>32</v>
      </c>
      <c r="D359" t="s">
        <v>4140</v>
      </c>
      <c r="E359" t="s">
        <v>2261</v>
      </c>
      <c r="F359">
        <v>1</v>
      </c>
      <c r="G359" t="s">
        <v>57</v>
      </c>
      <c r="H359">
        <v>1</v>
      </c>
      <c r="I359" t="s">
        <v>1105</v>
      </c>
      <c r="J359" t="s">
        <v>2257</v>
      </c>
      <c r="K359">
        <v>38</v>
      </c>
      <c r="L359" t="s">
        <v>258</v>
      </c>
      <c r="M359" t="s">
        <v>2258</v>
      </c>
      <c r="N359" t="s">
        <v>43</v>
      </c>
      <c r="O359" t="s">
        <v>503</v>
      </c>
      <c r="P359" t="s">
        <v>2259</v>
      </c>
      <c r="Q359">
        <v>14</v>
      </c>
      <c r="R359">
        <v>1400</v>
      </c>
      <c r="V359" t="s">
        <v>103</v>
      </c>
      <c r="W359" t="s">
        <v>515</v>
      </c>
      <c r="X359" t="s">
        <v>61</v>
      </c>
      <c r="Y359" t="s">
        <v>2262</v>
      </c>
    </row>
    <row r="360" spans="1:25" x14ac:dyDescent="0.2">
      <c r="A360" t="s">
        <v>2263</v>
      </c>
      <c r="B360" s="1">
        <f>VALUE(RIGHT(A360,LEN(A360)-3))</f>
        <v>385</v>
      </c>
      <c r="C360" t="s">
        <v>32</v>
      </c>
      <c r="D360" t="s">
        <v>4140</v>
      </c>
      <c r="E360" t="s">
        <v>2266</v>
      </c>
      <c r="F360">
        <v>1</v>
      </c>
      <c r="G360" t="s">
        <v>57</v>
      </c>
      <c r="H360">
        <v>0</v>
      </c>
      <c r="J360" t="s">
        <v>2264</v>
      </c>
      <c r="K360">
        <v>54</v>
      </c>
      <c r="L360" t="s">
        <v>178</v>
      </c>
      <c r="M360" t="s">
        <v>1647</v>
      </c>
      <c r="N360" t="s">
        <v>43</v>
      </c>
      <c r="O360" t="s">
        <v>503</v>
      </c>
      <c r="P360" t="s">
        <v>2059</v>
      </c>
      <c r="Q360">
        <v>28</v>
      </c>
      <c r="R360">
        <v>800</v>
      </c>
      <c r="S360">
        <v>622</v>
      </c>
      <c r="V360" t="s">
        <v>242</v>
      </c>
      <c r="W360" t="s">
        <v>555</v>
      </c>
      <c r="X360" t="s">
        <v>48</v>
      </c>
      <c r="Y360" t="s">
        <v>2267</v>
      </c>
    </row>
    <row r="361" spans="1:25" x14ac:dyDescent="0.2">
      <c r="A361" t="s">
        <v>2268</v>
      </c>
      <c r="B361" s="1">
        <f>VALUE(RIGHT(A361,LEN(A361)-3))</f>
        <v>386</v>
      </c>
      <c r="C361" t="s">
        <v>32</v>
      </c>
      <c r="D361" t="s">
        <v>4140</v>
      </c>
      <c r="E361" t="s">
        <v>2272</v>
      </c>
      <c r="F361">
        <v>1</v>
      </c>
      <c r="G361" t="s">
        <v>35</v>
      </c>
      <c r="H361">
        <v>0</v>
      </c>
      <c r="J361" t="s">
        <v>2269</v>
      </c>
      <c r="K361">
        <v>42</v>
      </c>
      <c r="L361" t="s">
        <v>127</v>
      </c>
      <c r="M361" t="s">
        <v>2270</v>
      </c>
      <c r="N361" t="s">
        <v>43</v>
      </c>
      <c r="O361" t="s">
        <v>503</v>
      </c>
      <c r="P361" t="s">
        <v>2003</v>
      </c>
      <c r="Q361">
        <v>8</v>
      </c>
      <c r="R361">
        <v>450</v>
      </c>
      <c r="S361">
        <v>300</v>
      </c>
      <c r="T361">
        <v>500</v>
      </c>
      <c r="V361" t="s">
        <v>242</v>
      </c>
      <c r="W361" t="s">
        <v>2273</v>
      </c>
      <c r="X361" t="s">
        <v>48</v>
      </c>
      <c r="Y361" t="s">
        <v>2274</v>
      </c>
    </row>
    <row r="362" spans="1:25" x14ac:dyDescent="0.2">
      <c r="A362" t="s">
        <v>2289</v>
      </c>
      <c r="B362" s="1">
        <f>VALUE(RIGHT(A362,LEN(A362)-3))</f>
        <v>389</v>
      </c>
      <c r="C362" t="s">
        <v>32</v>
      </c>
      <c r="D362" t="s">
        <v>4140</v>
      </c>
      <c r="E362" t="s">
        <v>2294</v>
      </c>
      <c r="F362">
        <v>1</v>
      </c>
      <c r="G362" t="s">
        <v>57</v>
      </c>
      <c r="H362">
        <v>0</v>
      </c>
      <c r="J362" t="s">
        <v>2290</v>
      </c>
      <c r="K362">
        <v>33</v>
      </c>
      <c r="L362" t="s">
        <v>150</v>
      </c>
      <c r="M362" t="s">
        <v>2291</v>
      </c>
      <c r="N362" t="s">
        <v>43</v>
      </c>
      <c r="O362" t="s">
        <v>503</v>
      </c>
      <c r="P362" t="s">
        <v>2292</v>
      </c>
      <c r="Q362">
        <v>2</v>
      </c>
      <c r="R362">
        <v>70</v>
      </c>
      <c r="S362">
        <v>40</v>
      </c>
      <c r="T362">
        <v>700</v>
      </c>
      <c r="U362">
        <v>400</v>
      </c>
      <c r="V362" t="s">
        <v>242</v>
      </c>
      <c r="W362" t="s">
        <v>2295</v>
      </c>
      <c r="X362" t="s">
        <v>61</v>
      </c>
      <c r="Y362" t="s">
        <v>2296</v>
      </c>
    </row>
    <row r="363" spans="1:25" x14ac:dyDescent="0.2">
      <c r="A363" t="s">
        <v>2297</v>
      </c>
      <c r="B363" s="1">
        <f>VALUE(RIGHT(A363,LEN(A363)-3))</f>
        <v>390</v>
      </c>
      <c r="C363" t="s">
        <v>32</v>
      </c>
      <c r="D363" t="s">
        <v>4140</v>
      </c>
      <c r="E363" t="s">
        <v>2301</v>
      </c>
      <c r="F363">
        <v>1</v>
      </c>
      <c r="G363" t="s">
        <v>35</v>
      </c>
      <c r="H363">
        <v>2</v>
      </c>
      <c r="I363" t="s">
        <v>241</v>
      </c>
      <c r="J363" t="s">
        <v>2290</v>
      </c>
      <c r="K363">
        <v>26</v>
      </c>
      <c r="L363" t="s">
        <v>338</v>
      </c>
      <c r="M363" t="s">
        <v>2298</v>
      </c>
      <c r="N363" t="s">
        <v>43</v>
      </c>
      <c r="O363" t="s">
        <v>503</v>
      </c>
      <c r="P363" t="s">
        <v>2299</v>
      </c>
      <c r="Q363">
        <v>2</v>
      </c>
      <c r="R363">
        <v>250</v>
      </c>
      <c r="V363" t="s">
        <v>242</v>
      </c>
      <c r="W363" t="s">
        <v>368</v>
      </c>
      <c r="X363" t="s">
        <v>700</v>
      </c>
      <c r="Y363" t="s">
        <v>2302</v>
      </c>
    </row>
    <row r="364" spans="1:25" x14ac:dyDescent="0.2">
      <c r="A364" t="s">
        <v>2309</v>
      </c>
      <c r="B364" s="1">
        <f>VALUE(RIGHT(A364,LEN(A364)-3))</f>
        <v>392</v>
      </c>
      <c r="C364" t="s">
        <v>32</v>
      </c>
      <c r="D364" t="s">
        <v>4140</v>
      </c>
      <c r="E364" t="s">
        <v>2311</v>
      </c>
      <c r="F364">
        <v>1</v>
      </c>
      <c r="G364" t="s">
        <v>35</v>
      </c>
      <c r="H364">
        <v>3</v>
      </c>
      <c r="I364" t="s">
        <v>1213</v>
      </c>
      <c r="J364" t="s">
        <v>2310</v>
      </c>
      <c r="K364">
        <v>23</v>
      </c>
      <c r="L364" t="s">
        <v>27</v>
      </c>
      <c r="M364" t="s">
        <v>584</v>
      </c>
      <c r="N364" t="s">
        <v>43</v>
      </c>
      <c r="O364" t="s">
        <v>503</v>
      </c>
      <c r="P364" t="s">
        <v>1890</v>
      </c>
      <c r="Q364">
        <v>4</v>
      </c>
      <c r="R364">
        <v>250</v>
      </c>
      <c r="S364">
        <v>150</v>
      </c>
      <c r="T364">
        <v>1200</v>
      </c>
      <c r="V364" t="s">
        <v>242</v>
      </c>
      <c r="W364" t="s">
        <v>586</v>
      </c>
      <c r="X364" t="s">
        <v>61</v>
      </c>
      <c r="Y364" t="s">
        <v>2312</v>
      </c>
    </row>
    <row r="365" spans="1:25" x14ac:dyDescent="0.2">
      <c r="A365" t="s">
        <v>2313</v>
      </c>
      <c r="B365" s="1">
        <f>VALUE(RIGHT(A365,LEN(A365)-3))</f>
        <v>393</v>
      </c>
      <c r="C365" t="s">
        <v>32</v>
      </c>
      <c r="D365" t="s">
        <v>4140</v>
      </c>
      <c r="E365" t="s">
        <v>2316</v>
      </c>
      <c r="F365">
        <v>2</v>
      </c>
      <c r="G365" t="s">
        <v>94</v>
      </c>
      <c r="H365">
        <v>3</v>
      </c>
      <c r="I365" t="s">
        <v>444</v>
      </c>
      <c r="J365" t="s">
        <v>2314</v>
      </c>
      <c r="K365">
        <v>46</v>
      </c>
      <c r="L365" t="s">
        <v>178</v>
      </c>
      <c r="M365" t="s">
        <v>1514</v>
      </c>
      <c r="N365" t="s">
        <v>43</v>
      </c>
      <c r="O365" t="s">
        <v>503</v>
      </c>
      <c r="P365" t="s">
        <v>2315</v>
      </c>
      <c r="Q365">
        <v>4</v>
      </c>
      <c r="R365">
        <v>100</v>
      </c>
      <c r="S365">
        <v>100</v>
      </c>
      <c r="V365" t="s">
        <v>242</v>
      </c>
      <c r="W365" t="s">
        <v>1359</v>
      </c>
      <c r="X365" t="s">
        <v>2317</v>
      </c>
      <c r="Y365" t="s">
        <v>2318</v>
      </c>
    </row>
    <row r="366" spans="1:25" x14ac:dyDescent="0.2">
      <c r="A366" t="s">
        <v>2319</v>
      </c>
      <c r="B366" s="1">
        <f>VALUE(RIGHT(A366,LEN(A366)-3))</f>
        <v>394</v>
      </c>
      <c r="C366" t="s">
        <v>32</v>
      </c>
      <c r="D366" t="s">
        <v>4140</v>
      </c>
      <c r="E366" t="s">
        <v>2322</v>
      </c>
      <c r="F366">
        <v>2</v>
      </c>
      <c r="G366" t="s">
        <v>94</v>
      </c>
      <c r="H366">
        <v>1</v>
      </c>
      <c r="I366" t="s">
        <v>514</v>
      </c>
      <c r="J366" t="s">
        <v>2320</v>
      </c>
      <c r="K366">
        <v>36</v>
      </c>
      <c r="L366" t="s">
        <v>27</v>
      </c>
      <c r="M366" t="s">
        <v>1271</v>
      </c>
      <c r="N366" t="s">
        <v>43</v>
      </c>
      <c r="O366" t="s">
        <v>503</v>
      </c>
      <c r="P366" t="s">
        <v>2321</v>
      </c>
      <c r="Q366">
        <v>4</v>
      </c>
      <c r="R366">
        <v>440</v>
      </c>
      <c r="T366">
        <v>1077</v>
      </c>
      <c r="V366" t="s">
        <v>242</v>
      </c>
      <c r="W366" t="s">
        <v>786</v>
      </c>
      <c r="X366" t="s">
        <v>2317</v>
      </c>
      <c r="Y366" t="s">
        <v>2323</v>
      </c>
    </row>
    <row r="367" spans="1:25" x14ac:dyDescent="0.2">
      <c r="A367" t="s">
        <v>2335</v>
      </c>
      <c r="B367" s="1">
        <f>VALUE(RIGHT(A367,LEN(A367)-3))</f>
        <v>397</v>
      </c>
      <c r="C367" t="s">
        <v>32</v>
      </c>
      <c r="D367" t="s">
        <v>4140</v>
      </c>
      <c r="E367" t="s">
        <v>2340</v>
      </c>
      <c r="F367">
        <v>1</v>
      </c>
      <c r="G367" t="s">
        <v>57</v>
      </c>
      <c r="H367">
        <v>1</v>
      </c>
      <c r="I367" t="s">
        <v>58</v>
      </c>
      <c r="J367" t="s">
        <v>2336</v>
      </c>
      <c r="K367">
        <v>46</v>
      </c>
      <c r="L367" t="s">
        <v>150</v>
      </c>
      <c r="M367" t="s">
        <v>2337</v>
      </c>
      <c r="N367" t="s">
        <v>43</v>
      </c>
      <c r="O367" t="s">
        <v>503</v>
      </c>
      <c r="P367" t="s">
        <v>2338</v>
      </c>
      <c r="Q367">
        <v>3</v>
      </c>
      <c r="R367">
        <v>350</v>
      </c>
      <c r="S367">
        <v>180</v>
      </c>
      <c r="T367">
        <v>900</v>
      </c>
      <c r="U367">
        <v>650</v>
      </c>
      <c r="V367" t="s">
        <v>103</v>
      </c>
      <c r="W367" t="s">
        <v>104</v>
      </c>
      <c r="X367" t="s">
        <v>61</v>
      </c>
      <c r="Y367" t="s">
        <v>2341</v>
      </c>
    </row>
    <row r="368" spans="1:25" x14ac:dyDescent="0.2">
      <c r="A368" t="s">
        <v>2364</v>
      </c>
      <c r="B368" s="1">
        <f>VALUE(RIGHT(A368,LEN(A368)-3))</f>
        <v>401</v>
      </c>
      <c r="C368" t="s">
        <v>32</v>
      </c>
      <c r="D368" t="s">
        <v>4140</v>
      </c>
      <c r="E368" t="s">
        <v>2367</v>
      </c>
      <c r="F368">
        <v>1</v>
      </c>
      <c r="G368" t="s">
        <v>57</v>
      </c>
      <c r="H368">
        <v>0</v>
      </c>
      <c r="J368" t="s">
        <v>2365</v>
      </c>
      <c r="K368">
        <v>42</v>
      </c>
      <c r="L368" t="s">
        <v>2366</v>
      </c>
      <c r="M368" t="s">
        <v>1612</v>
      </c>
      <c r="N368" t="s">
        <v>43</v>
      </c>
      <c r="O368" t="s">
        <v>503</v>
      </c>
      <c r="P368" t="s">
        <v>1890</v>
      </c>
      <c r="Q368">
        <v>5</v>
      </c>
      <c r="R368">
        <v>315</v>
      </c>
      <c r="T368">
        <v>3000</v>
      </c>
      <c r="V368" t="s">
        <v>242</v>
      </c>
      <c r="W368" t="s">
        <v>104</v>
      </c>
      <c r="X368" t="s">
        <v>2368</v>
      </c>
      <c r="Y368" t="s">
        <v>2369</v>
      </c>
    </row>
    <row r="369" spans="1:25" x14ac:dyDescent="0.2">
      <c r="A369" t="s">
        <v>2387</v>
      </c>
      <c r="B369" s="1">
        <f>VALUE(RIGHT(A369,LEN(A369)-3))</f>
        <v>405</v>
      </c>
      <c r="C369" t="s">
        <v>32</v>
      </c>
      <c r="D369" t="s">
        <v>4140</v>
      </c>
      <c r="E369" t="s">
        <v>2391</v>
      </c>
      <c r="F369">
        <v>1</v>
      </c>
      <c r="G369" t="s">
        <v>35</v>
      </c>
      <c r="H369">
        <v>0</v>
      </c>
      <c r="J369" t="s">
        <v>2388</v>
      </c>
      <c r="K369">
        <v>24</v>
      </c>
      <c r="L369" t="s">
        <v>27</v>
      </c>
      <c r="M369" t="s">
        <v>2389</v>
      </c>
      <c r="N369" t="s">
        <v>43</v>
      </c>
      <c r="O369" t="s">
        <v>503</v>
      </c>
      <c r="P369" t="s">
        <v>2315</v>
      </c>
      <c r="Q369">
        <v>6</v>
      </c>
      <c r="R369">
        <v>654</v>
      </c>
      <c r="S369">
        <v>520</v>
      </c>
      <c r="T369">
        <v>600</v>
      </c>
      <c r="V369" t="s">
        <v>103</v>
      </c>
      <c r="W369" t="s">
        <v>2392</v>
      </c>
      <c r="X369" t="s">
        <v>48</v>
      </c>
      <c r="Y369" t="s">
        <v>2393</v>
      </c>
    </row>
    <row r="370" spans="1:25" x14ac:dyDescent="0.2">
      <c r="A370" t="s">
        <v>2394</v>
      </c>
      <c r="B370" s="1">
        <f>VALUE(RIGHT(A370,LEN(A370)-3))</f>
        <v>406</v>
      </c>
      <c r="C370" t="s">
        <v>32</v>
      </c>
      <c r="D370" t="s">
        <v>4140</v>
      </c>
      <c r="E370" t="s">
        <v>2397</v>
      </c>
      <c r="F370">
        <v>1</v>
      </c>
      <c r="G370" t="s">
        <v>57</v>
      </c>
      <c r="H370">
        <v>0</v>
      </c>
      <c r="J370" t="s">
        <v>2395</v>
      </c>
      <c r="K370">
        <v>27</v>
      </c>
      <c r="L370" t="s">
        <v>893</v>
      </c>
      <c r="M370" t="s">
        <v>2396</v>
      </c>
      <c r="N370" t="s">
        <v>43</v>
      </c>
      <c r="O370" t="s">
        <v>503</v>
      </c>
      <c r="P370" t="s">
        <v>2315</v>
      </c>
      <c r="Q370">
        <v>7</v>
      </c>
      <c r="V370" t="s">
        <v>242</v>
      </c>
      <c r="W370" t="s">
        <v>2107</v>
      </c>
      <c r="X370" t="s">
        <v>48</v>
      </c>
      <c r="Y370" t="s">
        <v>2398</v>
      </c>
    </row>
    <row r="371" spans="1:25" x14ac:dyDescent="0.2">
      <c r="A371" t="s">
        <v>2406</v>
      </c>
      <c r="B371" s="1">
        <f>VALUE(RIGHT(A371,LEN(A371)-3))</f>
        <v>408</v>
      </c>
      <c r="C371" t="s">
        <v>32</v>
      </c>
      <c r="D371" t="s">
        <v>4140</v>
      </c>
      <c r="E371" t="s">
        <v>2411</v>
      </c>
      <c r="F371">
        <v>2</v>
      </c>
      <c r="G371" t="s">
        <v>94</v>
      </c>
      <c r="H371">
        <v>3</v>
      </c>
      <c r="I371" t="s">
        <v>146</v>
      </c>
      <c r="J371" t="s">
        <v>2407</v>
      </c>
      <c r="K371">
        <v>57</v>
      </c>
      <c r="L371" t="s">
        <v>2408</v>
      </c>
      <c r="M371" t="s">
        <v>2409</v>
      </c>
      <c r="N371" t="s">
        <v>43</v>
      </c>
      <c r="O371" t="s">
        <v>503</v>
      </c>
      <c r="P371" t="s">
        <v>1143</v>
      </c>
      <c r="Q371">
        <v>9</v>
      </c>
      <c r="R371">
        <v>100</v>
      </c>
      <c r="S371">
        <v>3</v>
      </c>
      <c r="T371">
        <v>300</v>
      </c>
      <c r="V371" t="s">
        <v>173</v>
      </c>
      <c r="W371" t="s">
        <v>2412</v>
      </c>
      <c r="X371" t="s">
        <v>369</v>
      </c>
      <c r="Y371" t="s">
        <v>2413</v>
      </c>
    </row>
    <row r="372" spans="1:25" x14ac:dyDescent="0.2">
      <c r="A372" t="s">
        <v>2419</v>
      </c>
      <c r="B372" s="1">
        <f>VALUE(RIGHT(A372,LEN(A372)-3))</f>
        <v>410</v>
      </c>
      <c r="C372" t="s">
        <v>32</v>
      </c>
      <c r="D372" t="s">
        <v>4140</v>
      </c>
      <c r="E372" t="s">
        <v>2422</v>
      </c>
      <c r="F372">
        <v>2</v>
      </c>
      <c r="G372" t="s">
        <v>94</v>
      </c>
      <c r="H372">
        <v>3</v>
      </c>
      <c r="I372" t="s">
        <v>366</v>
      </c>
      <c r="J372" t="s">
        <v>2420</v>
      </c>
      <c r="K372">
        <v>38</v>
      </c>
      <c r="L372" t="s">
        <v>27</v>
      </c>
      <c r="M372" t="s">
        <v>259</v>
      </c>
      <c r="N372" t="s">
        <v>43</v>
      </c>
      <c r="O372" t="s">
        <v>503</v>
      </c>
      <c r="P372" t="s">
        <v>2315</v>
      </c>
      <c r="Q372">
        <v>7</v>
      </c>
      <c r="R372">
        <v>350</v>
      </c>
      <c r="S372">
        <v>100</v>
      </c>
      <c r="T372">
        <v>1800</v>
      </c>
      <c r="U372">
        <v>1400</v>
      </c>
      <c r="V372" t="s">
        <v>2423</v>
      </c>
      <c r="W372" t="s">
        <v>2222</v>
      </c>
      <c r="X372" t="s">
        <v>61</v>
      </c>
      <c r="Y372" t="s">
        <v>2424</v>
      </c>
    </row>
    <row r="373" spans="1:25" x14ac:dyDescent="0.2">
      <c r="A373" t="s">
        <v>2435</v>
      </c>
      <c r="B373" s="1">
        <f>VALUE(RIGHT(A373,LEN(A373)-3))</f>
        <v>413</v>
      </c>
      <c r="C373" t="s">
        <v>32</v>
      </c>
      <c r="D373" t="s">
        <v>4140</v>
      </c>
      <c r="E373" t="s">
        <v>2440</v>
      </c>
      <c r="F373">
        <v>1</v>
      </c>
      <c r="G373" t="s">
        <v>57</v>
      </c>
      <c r="H373">
        <v>0</v>
      </c>
      <c r="J373" t="s">
        <v>2436</v>
      </c>
      <c r="K373">
        <v>43</v>
      </c>
      <c r="L373" t="s">
        <v>1131</v>
      </c>
      <c r="M373" t="s">
        <v>2437</v>
      </c>
      <c r="N373" t="s">
        <v>43</v>
      </c>
      <c r="O373" t="s">
        <v>503</v>
      </c>
      <c r="P373" t="s">
        <v>2438</v>
      </c>
      <c r="Q373">
        <v>15</v>
      </c>
      <c r="R373">
        <v>600</v>
      </c>
      <c r="S373">
        <v>200</v>
      </c>
      <c r="T373">
        <v>3000</v>
      </c>
      <c r="V373" t="s">
        <v>103</v>
      </c>
      <c r="W373" t="s">
        <v>845</v>
      </c>
      <c r="X373" t="s">
        <v>48</v>
      </c>
      <c r="Y373" t="s">
        <v>2441</v>
      </c>
    </row>
    <row r="374" spans="1:25" x14ac:dyDescent="0.2">
      <c r="A374" t="s">
        <v>2475</v>
      </c>
      <c r="B374" s="1">
        <f>VALUE(RIGHT(A374,LEN(A374)-3))</f>
        <v>420</v>
      </c>
      <c r="C374" t="s">
        <v>32</v>
      </c>
      <c r="D374" t="s">
        <v>4140</v>
      </c>
      <c r="E374" t="s">
        <v>2478</v>
      </c>
      <c r="F374">
        <v>2</v>
      </c>
      <c r="G374" t="s">
        <v>94</v>
      </c>
      <c r="H374">
        <v>2</v>
      </c>
      <c r="I374" t="s">
        <v>284</v>
      </c>
      <c r="J374" t="s">
        <v>2476</v>
      </c>
      <c r="K374">
        <v>53</v>
      </c>
      <c r="L374" t="s">
        <v>27</v>
      </c>
      <c r="M374" t="s">
        <v>1296</v>
      </c>
      <c r="N374" t="s">
        <v>43</v>
      </c>
      <c r="O374" t="s">
        <v>503</v>
      </c>
      <c r="P374" t="s">
        <v>2477</v>
      </c>
      <c r="Q374">
        <v>24</v>
      </c>
      <c r="V374" t="s">
        <v>242</v>
      </c>
      <c r="W374" t="s">
        <v>2479</v>
      </c>
      <c r="X374" t="s">
        <v>61</v>
      </c>
      <c r="Y374" t="s">
        <v>2480</v>
      </c>
    </row>
    <row r="375" spans="1:25" x14ac:dyDescent="0.2">
      <c r="A375" t="s">
        <v>2493</v>
      </c>
      <c r="B375" s="1">
        <f>VALUE(RIGHT(A375,LEN(A375)-3))</f>
        <v>423</v>
      </c>
      <c r="C375" t="s">
        <v>32</v>
      </c>
      <c r="D375" t="s">
        <v>4140</v>
      </c>
      <c r="E375" t="s">
        <v>2496</v>
      </c>
      <c r="F375">
        <v>1</v>
      </c>
      <c r="G375" t="s">
        <v>57</v>
      </c>
      <c r="H375">
        <v>0</v>
      </c>
      <c r="J375" t="s">
        <v>2494</v>
      </c>
      <c r="K375">
        <v>38</v>
      </c>
      <c r="L375" t="s">
        <v>690</v>
      </c>
      <c r="M375" t="s">
        <v>1266</v>
      </c>
      <c r="N375" t="s">
        <v>43</v>
      </c>
      <c r="O375" t="s">
        <v>503</v>
      </c>
      <c r="P375" t="s">
        <v>2292</v>
      </c>
      <c r="Q375">
        <v>3</v>
      </c>
      <c r="R375">
        <v>300</v>
      </c>
      <c r="T375">
        <v>1000</v>
      </c>
      <c r="V375" t="s">
        <v>242</v>
      </c>
      <c r="W375" t="s">
        <v>934</v>
      </c>
      <c r="X375" t="s">
        <v>48</v>
      </c>
      <c r="Y375" t="s">
        <v>2497</v>
      </c>
    </row>
    <row r="376" spans="1:25" x14ac:dyDescent="0.2">
      <c r="A376" t="s">
        <v>2498</v>
      </c>
      <c r="B376" s="1">
        <f>VALUE(RIGHT(A376,LEN(A376)-3))</f>
        <v>424</v>
      </c>
      <c r="C376" t="s">
        <v>32</v>
      </c>
      <c r="D376" t="s">
        <v>4140</v>
      </c>
      <c r="E376" t="s">
        <v>2500</v>
      </c>
      <c r="F376">
        <v>1</v>
      </c>
      <c r="G376" t="s">
        <v>35</v>
      </c>
      <c r="H376">
        <v>1</v>
      </c>
      <c r="I376" t="s">
        <v>514</v>
      </c>
      <c r="J376" t="s">
        <v>2499</v>
      </c>
      <c r="K376">
        <v>33</v>
      </c>
      <c r="L376" t="s">
        <v>178</v>
      </c>
      <c r="N376" t="s">
        <v>43</v>
      </c>
      <c r="O376" t="s">
        <v>503</v>
      </c>
      <c r="P376" t="s">
        <v>2003</v>
      </c>
      <c r="Q376">
        <v>12</v>
      </c>
      <c r="R376">
        <v>800</v>
      </c>
      <c r="T376">
        <v>10000</v>
      </c>
      <c r="V376" t="s">
        <v>242</v>
      </c>
      <c r="W376" t="s">
        <v>1359</v>
      </c>
      <c r="X376" t="s">
        <v>61</v>
      </c>
      <c r="Y376" t="s">
        <v>2501</v>
      </c>
    </row>
    <row r="377" spans="1:25" x14ac:dyDescent="0.2">
      <c r="A377" t="s">
        <v>2521</v>
      </c>
      <c r="B377" s="1">
        <f>VALUE(RIGHT(A377,LEN(A377)-3))</f>
        <v>429</v>
      </c>
      <c r="C377" t="s">
        <v>32</v>
      </c>
      <c r="D377" t="s">
        <v>4140</v>
      </c>
      <c r="E377" t="s">
        <v>2523</v>
      </c>
      <c r="F377">
        <v>1</v>
      </c>
      <c r="G377" t="s">
        <v>57</v>
      </c>
      <c r="H377">
        <v>0</v>
      </c>
      <c r="J377" t="s">
        <v>2522</v>
      </c>
      <c r="K377">
        <v>29</v>
      </c>
      <c r="L377" t="s">
        <v>27</v>
      </c>
      <c r="M377" t="s">
        <v>1271</v>
      </c>
      <c r="N377" t="s">
        <v>43</v>
      </c>
      <c r="O377" t="s">
        <v>503</v>
      </c>
      <c r="P377" t="s">
        <v>1890</v>
      </c>
      <c r="Q377">
        <v>7</v>
      </c>
      <c r="R377">
        <v>180</v>
      </c>
      <c r="S377">
        <v>100</v>
      </c>
      <c r="U377">
        <v>1300</v>
      </c>
      <c r="V377" t="s">
        <v>242</v>
      </c>
      <c r="W377" t="s">
        <v>1359</v>
      </c>
      <c r="X377" t="s">
        <v>369</v>
      </c>
      <c r="Y377" t="s">
        <v>2524</v>
      </c>
    </row>
    <row r="378" spans="1:25" x14ac:dyDescent="0.2">
      <c r="A378" t="s">
        <v>2533</v>
      </c>
      <c r="B378" s="1">
        <f>VALUE(RIGHT(A378,LEN(A378)-3))</f>
        <v>431</v>
      </c>
      <c r="C378" t="s">
        <v>32</v>
      </c>
      <c r="D378" t="s">
        <v>4140</v>
      </c>
      <c r="E378" t="s">
        <v>2536</v>
      </c>
      <c r="F378">
        <v>1</v>
      </c>
      <c r="G378" t="s">
        <v>35</v>
      </c>
      <c r="H378">
        <v>0</v>
      </c>
      <c r="J378" t="s">
        <v>2534</v>
      </c>
      <c r="K378">
        <v>33</v>
      </c>
      <c r="L378" t="s">
        <v>52</v>
      </c>
      <c r="M378" t="s">
        <v>2535</v>
      </c>
      <c r="N378" t="s">
        <v>43</v>
      </c>
      <c r="O378" t="s">
        <v>503</v>
      </c>
      <c r="P378" t="s">
        <v>2438</v>
      </c>
      <c r="Q378">
        <v>9</v>
      </c>
      <c r="R378">
        <v>1000</v>
      </c>
      <c r="T378">
        <v>1000</v>
      </c>
      <c r="V378" t="s">
        <v>242</v>
      </c>
      <c r="W378" t="s">
        <v>1359</v>
      </c>
      <c r="X378" t="s">
        <v>48</v>
      </c>
      <c r="Y378" t="s">
        <v>2537</v>
      </c>
    </row>
    <row r="379" spans="1:25" x14ac:dyDescent="0.2">
      <c r="A379" t="s">
        <v>2555</v>
      </c>
      <c r="B379" s="1">
        <f>VALUE(RIGHT(A379,LEN(A379)-3))</f>
        <v>435</v>
      </c>
      <c r="C379" t="s">
        <v>32</v>
      </c>
      <c r="D379" t="s">
        <v>4140</v>
      </c>
      <c r="E379" t="s">
        <v>2558</v>
      </c>
      <c r="F379">
        <v>1</v>
      </c>
      <c r="G379" t="s">
        <v>35</v>
      </c>
      <c r="H379">
        <v>1</v>
      </c>
      <c r="I379" t="s">
        <v>68</v>
      </c>
      <c r="J379" t="s">
        <v>2556</v>
      </c>
      <c r="K379">
        <v>34</v>
      </c>
      <c r="L379" t="s">
        <v>120</v>
      </c>
      <c r="M379" t="s">
        <v>2557</v>
      </c>
      <c r="N379" t="s">
        <v>43</v>
      </c>
      <c r="O379" t="s">
        <v>503</v>
      </c>
      <c r="P379" t="s">
        <v>1878</v>
      </c>
      <c r="R379">
        <v>850</v>
      </c>
      <c r="T379">
        <v>1650</v>
      </c>
      <c r="V379" t="s">
        <v>242</v>
      </c>
      <c r="W379" t="s">
        <v>2107</v>
      </c>
      <c r="X379" t="s">
        <v>2317</v>
      </c>
      <c r="Y379" t="s">
        <v>2559</v>
      </c>
    </row>
    <row r="380" spans="1:25" x14ac:dyDescent="0.2">
      <c r="A380" t="s">
        <v>2566</v>
      </c>
      <c r="B380" s="1">
        <f>VALUE(RIGHT(A380,LEN(A380)-3))</f>
        <v>437</v>
      </c>
      <c r="C380" t="s">
        <v>32</v>
      </c>
      <c r="D380" t="s">
        <v>4140</v>
      </c>
      <c r="E380" t="s">
        <v>2570</v>
      </c>
      <c r="F380">
        <v>1</v>
      </c>
      <c r="G380" t="s">
        <v>35</v>
      </c>
      <c r="H380">
        <v>2</v>
      </c>
      <c r="I380" t="s">
        <v>568</v>
      </c>
      <c r="J380" t="s">
        <v>2567</v>
      </c>
      <c r="K380">
        <v>45</v>
      </c>
      <c r="L380" t="s">
        <v>402</v>
      </c>
      <c r="M380" t="s">
        <v>2568</v>
      </c>
      <c r="N380" t="s">
        <v>43</v>
      </c>
      <c r="O380" t="s">
        <v>503</v>
      </c>
      <c r="P380" t="s">
        <v>2338</v>
      </c>
      <c r="Q380">
        <v>8</v>
      </c>
      <c r="R380">
        <v>600</v>
      </c>
      <c r="S380">
        <v>400</v>
      </c>
      <c r="T380">
        <v>650</v>
      </c>
      <c r="V380" t="s">
        <v>242</v>
      </c>
      <c r="W380" t="s">
        <v>2571</v>
      </c>
      <c r="X380" t="s">
        <v>48</v>
      </c>
      <c r="Y380" t="s">
        <v>2572</v>
      </c>
    </row>
    <row r="381" spans="1:25" x14ac:dyDescent="0.2">
      <c r="A381" t="s">
        <v>2573</v>
      </c>
      <c r="B381" s="1">
        <f>VALUE(RIGHT(A381,LEN(A381)-3))</f>
        <v>438</v>
      </c>
      <c r="C381" t="s">
        <v>32</v>
      </c>
      <c r="D381" t="s">
        <v>4140</v>
      </c>
      <c r="E381" t="s">
        <v>2576</v>
      </c>
      <c r="F381">
        <v>1</v>
      </c>
      <c r="G381" t="s">
        <v>35</v>
      </c>
      <c r="H381">
        <v>3</v>
      </c>
      <c r="I381" t="s">
        <v>2542</v>
      </c>
      <c r="J381" t="s">
        <v>2574</v>
      </c>
      <c r="K381">
        <v>36</v>
      </c>
      <c r="L381" t="s">
        <v>258</v>
      </c>
      <c r="M381" t="s">
        <v>1514</v>
      </c>
      <c r="N381" t="s">
        <v>43</v>
      </c>
      <c r="O381" t="s">
        <v>503</v>
      </c>
      <c r="P381" t="s">
        <v>2315</v>
      </c>
      <c r="Q381">
        <v>3</v>
      </c>
      <c r="R381">
        <v>80</v>
      </c>
      <c r="T381">
        <v>550</v>
      </c>
      <c r="V381" t="s">
        <v>200</v>
      </c>
      <c r="W381" t="s">
        <v>561</v>
      </c>
      <c r="X381" t="s">
        <v>48</v>
      </c>
      <c r="Y381" t="s">
        <v>2577</v>
      </c>
    </row>
    <row r="382" spans="1:25" x14ac:dyDescent="0.2">
      <c r="A382" t="s">
        <v>2578</v>
      </c>
      <c r="B382" s="1">
        <f>VALUE(RIGHT(A382,LEN(A382)-3))</f>
        <v>439</v>
      </c>
      <c r="C382" t="s">
        <v>32</v>
      </c>
      <c r="D382" t="s">
        <v>4140</v>
      </c>
      <c r="E382" t="s">
        <v>2581</v>
      </c>
      <c r="F382">
        <v>1</v>
      </c>
      <c r="G382" t="s">
        <v>57</v>
      </c>
      <c r="H382">
        <v>1</v>
      </c>
      <c r="I382" t="s">
        <v>58</v>
      </c>
      <c r="J382" t="s">
        <v>2579</v>
      </c>
      <c r="K382">
        <v>47</v>
      </c>
      <c r="L382" t="s">
        <v>690</v>
      </c>
      <c r="M382" t="s">
        <v>1271</v>
      </c>
      <c r="N382" t="s">
        <v>43</v>
      </c>
      <c r="O382" t="s">
        <v>503</v>
      </c>
      <c r="P382" t="s">
        <v>2315</v>
      </c>
      <c r="R382">
        <v>800</v>
      </c>
      <c r="T382">
        <v>1800</v>
      </c>
      <c r="V382" t="s">
        <v>242</v>
      </c>
      <c r="W382" t="s">
        <v>194</v>
      </c>
      <c r="X382" t="s">
        <v>194</v>
      </c>
      <c r="Y382" t="s">
        <v>2582</v>
      </c>
    </row>
    <row r="383" spans="1:25" x14ac:dyDescent="0.2">
      <c r="A383" t="s">
        <v>2588</v>
      </c>
      <c r="B383" s="1">
        <f>VALUE(RIGHT(A383,LEN(A383)-3))</f>
        <v>441</v>
      </c>
      <c r="C383" t="s">
        <v>32</v>
      </c>
      <c r="D383" t="s">
        <v>4140</v>
      </c>
      <c r="E383" t="s">
        <v>2591</v>
      </c>
      <c r="F383">
        <v>2</v>
      </c>
      <c r="G383" t="s">
        <v>94</v>
      </c>
      <c r="H383">
        <v>2</v>
      </c>
      <c r="I383" t="s">
        <v>2491</v>
      </c>
      <c r="J383" t="s">
        <v>2589</v>
      </c>
      <c r="K383">
        <v>55</v>
      </c>
      <c r="L383" t="s">
        <v>357</v>
      </c>
      <c r="M383" t="s">
        <v>1790</v>
      </c>
      <c r="N383" t="s">
        <v>43</v>
      </c>
      <c r="O383" t="s">
        <v>503</v>
      </c>
      <c r="P383" t="s">
        <v>1801</v>
      </c>
      <c r="Q383">
        <v>16</v>
      </c>
      <c r="R383">
        <v>2000</v>
      </c>
      <c r="T383">
        <v>4000</v>
      </c>
      <c r="V383" t="s">
        <v>242</v>
      </c>
      <c r="W383" t="s">
        <v>515</v>
      </c>
      <c r="X383" t="s">
        <v>61</v>
      </c>
      <c r="Y383" t="s">
        <v>2592</v>
      </c>
    </row>
    <row r="384" spans="1:25" x14ac:dyDescent="0.2">
      <c r="A384" t="s">
        <v>2620</v>
      </c>
      <c r="B384" s="1">
        <f>VALUE(RIGHT(A384,LEN(A384)-3))</f>
        <v>447</v>
      </c>
      <c r="C384" t="s">
        <v>32</v>
      </c>
      <c r="D384" t="s">
        <v>4140</v>
      </c>
      <c r="E384" t="s">
        <v>2624</v>
      </c>
      <c r="F384">
        <v>1</v>
      </c>
      <c r="G384" t="s">
        <v>57</v>
      </c>
      <c r="H384">
        <v>2</v>
      </c>
      <c r="I384" t="s">
        <v>146</v>
      </c>
      <c r="J384" t="s">
        <v>2621</v>
      </c>
      <c r="K384">
        <v>33</v>
      </c>
      <c r="L384" t="s">
        <v>27</v>
      </c>
      <c r="M384" t="s">
        <v>1266</v>
      </c>
      <c r="N384" t="s">
        <v>43</v>
      </c>
      <c r="O384" t="s">
        <v>503</v>
      </c>
      <c r="P384" t="s">
        <v>2622</v>
      </c>
      <c r="Q384">
        <v>8</v>
      </c>
      <c r="V384" t="s">
        <v>59</v>
      </c>
      <c r="W384" t="s">
        <v>1757</v>
      </c>
      <c r="X384" t="s">
        <v>2317</v>
      </c>
      <c r="Y384" t="s">
        <v>2625</v>
      </c>
    </row>
    <row r="385" spans="1:25" x14ac:dyDescent="0.2">
      <c r="A385" t="s">
        <v>2643</v>
      </c>
      <c r="B385" s="1">
        <f>VALUE(RIGHT(A385,LEN(A385)-3))</f>
        <v>451</v>
      </c>
      <c r="C385" t="s">
        <v>32</v>
      </c>
      <c r="D385" t="s">
        <v>4140</v>
      </c>
      <c r="E385" t="s">
        <v>2647</v>
      </c>
      <c r="F385">
        <v>1</v>
      </c>
      <c r="G385" t="s">
        <v>57</v>
      </c>
      <c r="H385">
        <v>0</v>
      </c>
      <c r="J385" t="s">
        <v>2644</v>
      </c>
      <c r="K385">
        <v>34</v>
      </c>
      <c r="L385" t="s">
        <v>402</v>
      </c>
      <c r="N385" t="s">
        <v>43</v>
      </c>
      <c r="O385" t="s">
        <v>503</v>
      </c>
      <c r="P385" t="s">
        <v>2645</v>
      </c>
      <c r="Q385">
        <v>8</v>
      </c>
      <c r="R385">
        <v>1000</v>
      </c>
      <c r="T385">
        <v>2000</v>
      </c>
      <c r="V385" t="s">
        <v>242</v>
      </c>
      <c r="W385" t="s">
        <v>786</v>
      </c>
      <c r="X385" t="s">
        <v>48</v>
      </c>
      <c r="Y385" t="s">
        <v>2648</v>
      </c>
    </row>
    <row r="386" spans="1:25" x14ac:dyDescent="0.2">
      <c r="A386" t="s">
        <v>2649</v>
      </c>
      <c r="B386" s="1">
        <f>VALUE(RIGHT(A386,LEN(A386)-3))</f>
        <v>452</v>
      </c>
      <c r="C386" t="s">
        <v>32</v>
      </c>
      <c r="D386" t="s">
        <v>4140</v>
      </c>
      <c r="E386" t="s">
        <v>2652</v>
      </c>
      <c r="F386">
        <v>2</v>
      </c>
      <c r="G386" t="s">
        <v>57</v>
      </c>
      <c r="H386">
        <v>1</v>
      </c>
      <c r="I386" t="s">
        <v>1354</v>
      </c>
      <c r="J386" t="s">
        <v>2650</v>
      </c>
      <c r="K386">
        <v>65</v>
      </c>
      <c r="L386" t="s">
        <v>52</v>
      </c>
      <c r="M386" t="s">
        <v>961</v>
      </c>
      <c r="N386" t="s">
        <v>43</v>
      </c>
      <c r="O386" t="s">
        <v>503</v>
      </c>
      <c r="P386" t="s">
        <v>2477</v>
      </c>
      <c r="Q386">
        <v>9</v>
      </c>
      <c r="R386">
        <v>600</v>
      </c>
      <c r="S386">
        <v>100</v>
      </c>
      <c r="V386" t="s">
        <v>103</v>
      </c>
      <c r="W386" t="s">
        <v>934</v>
      </c>
      <c r="X386" t="s">
        <v>48</v>
      </c>
      <c r="Y386" t="s">
        <v>2653</v>
      </c>
    </row>
    <row r="387" spans="1:25" x14ac:dyDescent="0.2">
      <c r="A387" t="s">
        <v>2654</v>
      </c>
      <c r="B387" s="1">
        <f>VALUE(RIGHT(A387,LEN(A387)-3))</f>
        <v>453</v>
      </c>
      <c r="C387" t="s">
        <v>32</v>
      </c>
      <c r="D387" t="s">
        <v>4140</v>
      </c>
      <c r="E387" t="s">
        <v>2658</v>
      </c>
      <c r="F387">
        <v>2</v>
      </c>
      <c r="G387" t="s">
        <v>94</v>
      </c>
      <c r="H387">
        <v>2</v>
      </c>
      <c r="I387" t="s">
        <v>2659</v>
      </c>
      <c r="J387" t="s">
        <v>2655</v>
      </c>
      <c r="K387">
        <v>42</v>
      </c>
      <c r="L387" t="s">
        <v>551</v>
      </c>
      <c r="M387" t="s">
        <v>1271</v>
      </c>
      <c r="N387" t="s">
        <v>43</v>
      </c>
      <c r="O387" t="s">
        <v>503</v>
      </c>
      <c r="P387" t="s">
        <v>2656</v>
      </c>
      <c r="Q387">
        <v>12</v>
      </c>
      <c r="R387">
        <v>1700</v>
      </c>
      <c r="T387">
        <v>500</v>
      </c>
      <c r="V387" t="s">
        <v>173</v>
      </c>
      <c r="W387" t="s">
        <v>2660</v>
      </c>
      <c r="X387" t="s">
        <v>61</v>
      </c>
      <c r="Y387" t="s">
        <v>2661</v>
      </c>
    </row>
    <row r="388" spans="1:25" x14ac:dyDescent="0.2">
      <c r="A388" t="s">
        <v>2670</v>
      </c>
      <c r="B388" s="1">
        <f>VALUE(RIGHT(A388,LEN(A388)-3))</f>
        <v>456</v>
      </c>
      <c r="C388" t="s">
        <v>32</v>
      </c>
      <c r="D388" t="s">
        <v>4140</v>
      </c>
      <c r="E388" t="s">
        <v>2674</v>
      </c>
      <c r="F388">
        <v>1</v>
      </c>
      <c r="G388" t="s">
        <v>57</v>
      </c>
      <c r="H388">
        <v>1</v>
      </c>
      <c r="I388" t="s">
        <v>291</v>
      </c>
      <c r="J388" t="s">
        <v>2671</v>
      </c>
      <c r="K388">
        <v>32</v>
      </c>
      <c r="L388" t="s">
        <v>178</v>
      </c>
      <c r="M388" t="s">
        <v>1006</v>
      </c>
      <c r="N388" t="s">
        <v>43</v>
      </c>
      <c r="O388" t="s">
        <v>503</v>
      </c>
      <c r="P388" t="s">
        <v>2672</v>
      </c>
      <c r="Q388">
        <v>8</v>
      </c>
      <c r="R388">
        <v>700</v>
      </c>
      <c r="V388" t="s">
        <v>242</v>
      </c>
      <c r="W388" t="s">
        <v>2107</v>
      </c>
      <c r="X388" t="s">
        <v>61</v>
      </c>
      <c r="Y388" t="s">
        <v>2675</v>
      </c>
    </row>
    <row r="389" spans="1:25" x14ac:dyDescent="0.2">
      <c r="A389" t="s">
        <v>2683</v>
      </c>
      <c r="B389" s="1">
        <f>VALUE(RIGHT(A389,LEN(A389)-3))</f>
        <v>458</v>
      </c>
      <c r="C389" t="s">
        <v>32</v>
      </c>
      <c r="D389" t="s">
        <v>4140</v>
      </c>
      <c r="E389" t="s">
        <v>2686</v>
      </c>
      <c r="F389">
        <v>1</v>
      </c>
      <c r="G389" t="s">
        <v>35</v>
      </c>
      <c r="H389">
        <v>1</v>
      </c>
      <c r="I389" t="s">
        <v>68</v>
      </c>
      <c r="J389" t="s">
        <v>2684</v>
      </c>
      <c r="K389">
        <v>36</v>
      </c>
      <c r="L389" t="s">
        <v>402</v>
      </c>
      <c r="M389" t="s">
        <v>2557</v>
      </c>
      <c r="N389" t="s">
        <v>43</v>
      </c>
      <c r="O389" t="s">
        <v>503</v>
      </c>
      <c r="P389" t="s">
        <v>2685</v>
      </c>
      <c r="Q389">
        <v>13</v>
      </c>
      <c r="R389">
        <v>730</v>
      </c>
      <c r="T389">
        <v>5000</v>
      </c>
      <c r="V389" t="s">
        <v>242</v>
      </c>
      <c r="W389" t="s">
        <v>2687</v>
      </c>
      <c r="X389" t="s">
        <v>1904</v>
      </c>
      <c r="Y389" t="s">
        <v>2688</v>
      </c>
    </row>
    <row r="390" spans="1:25" x14ac:dyDescent="0.2">
      <c r="A390" t="s">
        <v>2709</v>
      </c>
      <c r="B390" s="1">
        <f>VALUE(RIGHT(A390,LEN(A390)-3))</f>
        <v>463</v>
      </c>
      <c r="C390" t="s">
        <v>32</v>
      </c>
      <c r="D390" t="s">
        <v>4140</v>
      </c>
      <c r="E390" t="s">
        <v>2712</v>
      </c>
      <c r="F390">
        <v>1</v>
      </c>
      <c r="G390" t="s">
        <v>57</v>
      </c>
      <c r="H390">
        <v>0</v>
      </c>
      <c r="J390" t="s">
        <v>2710</v>
      </c>
      <c r="K390">
        <v>38</v>
      </c>
      <c r="L390" t="s">
        <v>120</v>
      </c>
      <c r="M390" t="s">
        <v>151</v>
      </c>
      <c r="N390" t="s">
        <v>43</v>
      </c>
      <c r="O390" t="s">
        <v>503</v>
      </c>
      <c r="P390" t="s">
        <v>2645</v>
      </c>
      <c r="Q390">
        <v>8</v>
      </c>
      <c r="R390">
        <v>1000</v>
      </c>
      <c r="T390">
        <v>900</v>
      </c>
      <c r="V390" t="s">
        <v>242</v>
      </c>
      <c r="W390" t="s">
        <v>194</v>
      </c>
      <c r="X390" t="s">
        <v>194</v>
      </c>
      <c r="Y390" t="s">
        <v>2713</v>
      </c>
    </row>
    <row r="391" spans="1:25" x14ac:dyDescent="0.2">
      <c r="A391" t="s">
        <v>2730</v>
      </c>
      <c r="B391" s="1">
        <f>VALUE(RIGHT(A391,LEN(A391)-3))</f>
        <v>467</v>
      </c>
      <c r="C391" t="s">
        <v>32</v>
      </c>
      <c r="D391" t="s">
        <v>4140</v>
      </c>
      <c r="E391" t="s">
        <v>2733</v>
      </c>
      <c r="F391">
        <v>1</v>
      </c>
      <c r="G391" t="s">
        <v>35</v>
      </c>
      <c r="H391">
        <v>1</v>
      </c>
      <c r="I391" t="s">
        <v>68</v>
      </c>
      <c r="J391" t="s">
        <v>2731</v>
      </c>
      <c r="K391">
        <v>44</v>
      </c>
      <c r="L391" t="s">
        <v>27</v>
      </c>
      <c r="M391" t="s">
        <v>1514</v>
      </c>
      <c r="N391" t="s">
        <v>43</v>
      </c>
      <c r="O391" t="s">
        <v>503</v>
      </c>
      <c r="P391" t="s">
        <v>2321</v>
      </c>
      <c r="R391">
        <v>500</v>
      </c>
      <c r="S391">
        <v>140</v>
      </c>
      <c r="T391">
        <v>800</v>
      </c>
      <c r="U391">
        <v>250</v>
      </c>
      <c r="V391" t="s">
        <v>242</v>
      </c>
      <c r="W391" t="s">
        <v>475</v>
      </c>
      <c r="X391" t="s">
        <v>2317</v>
      </c>
      <c r="Y391" t="s">
        <v>2734</v>
      </c>
    </row>
    <row r="392" spans="1:25" x14ac:dyDescent="0.2">
      <c r="A392" t="s">
        <v>2735</v>
      </c>
      <c r="B392" s="1">
        <f>VALUE(RIGHT(A392,LEN(A392)-3))</f>
        <v>468</v>
      </c>
      <c r="C392" t="s">
        <v>32</v>
      </c>
      <c r="D392" t="s">
        <v>4140</v>
      </c>
      <c r="E392" t="s">
        <v>2738</v>
      </c>
      <c r="F392">
        <v>2</v>
      </c>
      <c r="G392" t="s">
        <v>57</v>
      </c>
      <c r="H392">
        <v>0</v>
      </c>
      <c r="J392" t="s">
        <v>2736</v>
      </c>
      <c r="K392">
        <v>31</v>
      </c>
      <c r="L392" t="s">
        <v>1223</v>
      </c>
      <c r="M392" t="s">
        <v>2557</v>
      </c>
      <c r="N392" t="s">
        <v>43</v>
      </c>
      <c r="O392" t="s">
        <v>503</v>
      </c>
      <c r="P392" t="s">
        <v>2299</v>
      </c>
      <c r="Q392">
        <v>4</v>
      </c>
      <c r="R392">
        <v>1476</v>
      </c>
      <c r="T392">
        <v>300</v>
      </c>
      <c r="V392" t="s">
        <v>242</v>
      </c>
      <c r="W392" t="s">
        <v>2158</v>
      </c>
      <c r="X392" t="s">
        <v>1904</v>
      </c>
      <c r="Y392" t="s">
        <v>2739</v>
      </c>
    </row>
    <row r="393" spans="1:25" x14ac:dyDescent="0.2">
      <c r="A393" t="s">
        <v>2744</v>
      </c>
      <c r="B393" s="1">
        <f>VALUE(RIGHT(A393,LEN(A393)-3))</f>
        <v>470</v>
      </c>
      <c r="C393" t="s">
        <v>32</v>
      </c>
      <c r="D393" t="s">
        <v>4140</v>
      </c>
      <c r="E393" t="s">
        <v>2747</v>
      </c>
      <c r="F393">
        <v>1</v>
      </c>
      <c r="G393" t="s">
        <v>57</v>
      </c>
      <c r="H393">
        <v>2</v>
      </c>
      <c r="I393" t="s">
        <v>1544</v>
      </c>
      <c r="J393" t="s">
        <v>2745</v>
      </c>
      <c r="K393">
        <v>36</v>
      </c>
      <c r="L393" t="s">
        <v>217</v>
      </c>
      <c r="M393" t="s">
        <v>259</v>
      </c>
      <c r="N393" t="s">
        <v>43</v>
      </c>
      <c r="O393" t="s">
        <v>503</v>
      </c>
      <c r="P393" t="s">
        <v>2746</v>
      </c>
      <c r="Q393">
        <v>11</v>
      </c>
      <c r="R393">
        <v>1900</v>
      </c>
      <c r="S393">
        <v>1400</v>
      </c>
      <c r="T393">
        <v>2000</v>
      </c>
      <c r="V393" t="s">
        <v>103</v>
      </c>
      <c r="W393" t="s">
        <v>1866</v>
      </c>
      <c r="X393" t="s">
        <v>48</v>
      </c>
      <c r="Y393" t="s">
        <v>2748</v>
      </c>
    </row>
    <row r="394" spans="1:25" x14ac:dyDescent="0.2">
      <c r="A394" t="s">
        <v>2767</v>
      </c>
      <c r="B394" s="1">
        <f>VALUE(RIGHT(A394,LEN(A394)-3))</f>
        <v>474</v>
      </c>
      <c r="C394" t="s">
        <v>32</v>
      </c>
      <c r="D394" t="s">
        <v>4140</v>
      </c>
      <c r="E394" t="s">
        <v>2770</v>
      </c>
      <c r="F394">
        <v>1</v>
      </c>
      <c r="G394" t="s">
        <v>57</v>
      </c>
      <c r="H394">
        <v>0</v>
      </c>
      <c r="J394" t="s">
        <v>2768</v>
      </c>
      <c r="K394">
        <v>63</v>
      </c>
      <c r="L394" t="s">
        <v>150</v>
      </c>
      <c r="M394" t="s">
        <v>2769</v>
      </c>
      <c r="N394" t="s">
        <v>43</v>
      </c>
      <c r="O394" t="s">
        <v>503</v>
      </c>
      <c r="P394" t="s">
        <v>2668</v>
      </c>
      <c r="Q394">
        <v>8</v>
      </c>
      <c r="R394">
        <v>500</v>
      </c>
      <c r="T394">
        <v>2000</v>
      </c>
      <c r="V394" t="s">
        <v>367</v>
      </c>
      <c r="W394" t="s">
        <v>857</v>
      </c>
      <c r="X394" t="s">
        <v>48</v>
      </c>
      <c r="Y394" t="s">
        <v>2771</v>
      </c>
    </row>
    <row r="395" spans="1:25" x14ac:dyDescent="0.2">
      <c r="A395" t="s">
        <v>2781</v>
      </c>
      <c r="B395" s="1">
        <f>VALUE(RIGHT(A395,LEN(A395)-3))</f>
        <v>477</v>
      </c>
      <c r="C395" t="s">
        <v>32</v>
      </c>
      <c r="D395" t="s">
        <v>4140</v>
      </c>
      <c r="E395" t="s">
        <v>2784</v>
      </c>
      <c r="F395">
        <v>1</v>
      </c>
      <c r="G395" t="s">
        <v>57</v>
      </c>
      <c r="H395">
        <v>4</v>
      </c>
      <c r="I395" t="s">
        <v>2380</v>
      </c>
      <c r="J395" t="s">
        <v>2782</v>
      </c>
      <c r="K395">
        <v>63</v>
      </c>
      <c r="L395" t="s">
        <v>27</v>
      </c>
      <c r="M395" t="s">
        <v>264</v>
      </c>
      <c r="N395" t="s">
        <v>43</v>
      </c>
      <c r="O395" t="s">
        <v>503</v>
      </c>
      <c r="P395" t="s">
        <v>1111</v>
      </c>
      <c r="Q395">
        <v>25</v>
      </c>
      <c r="R395">
        <v>500</v>
      </c>
      <c r="T395">
        <v>1000</v>
      </c>
      <c r="V395" t="s">
        <v>242</v>
      </c>
      <c r="W395" t="s">
        <v>2785</v>
      </c>
      <c r="X395" t="s">
        <v>2317</v>
      </c>
      <c r="Y395" t="s">
        <v>2786</v>
      </c>
    </row>
    <row r="396" spans="1:25" x14ac:dyDescent="0.2">
      <c r="A396" t="s">
        <v>2787</v>
      </c>
      <c r="B396" s="1">
        <f>VALUE(RIGHT(A396,LEN(A396)-3))</f>
        <v>478</v>
      </c>
      <c r="C396" t="s">
        <v>32</v>
      </c>
      <c r="D396" t="s">
        <v>4140</v>
      </c>
      <c r="E396" t="s">
        <v>2792</v>
      </c>
      <c r="F396">
        <v>2</v>
      </c>
      <c r="G396" t="s">
        <v>94</v>
      </c>
      <c r="H396">
        <v>4</v>
      </c>
      <c r="I396" t="s">
        <v>907</v>
      </c>
      <c r="J396" t="s">
        <v>2788</v>
      </c>
      <c r="K396">
        <v>40</v>
      </c>
      <c r="L396" t="s">
        <v>27</v>
      </c>
      <c r="M396" t="s">
        <v>2789</v>
      </c>
      <c r="N396" t="s">
        <v>43</v>
      </c>
      <c r="O396" t="s">
        <v>503</v>
      </c>
      <c r="P396" t="s">
        <v>2790</v>
      </c>
      <c r="Q396">
        <v>20</v>
      </c>
      <c r="R396">
        <v>1500</v>
      </c>
      <c r="S396">
        <v>200</v>
      </c>
      <c r="T396">
        <v>4300</v>
      </c>
      <c r="U396">
        <v>750</v>
      </c>
      <c r="V396" t="s">
        <v>242</v>
      </c>
      <c r="W396" t="s">
        <v>2793</v>
      </c>
      <c r="X396" t="s">
        <v>48</v>
      </c>
      <c r="Y396" t="s">
        <v>2794</v>
      </c>
    </row>
    <row r="397" spans="1:25" x14ac:dyDescent="0.2">
      <c r="A397" t="s">
        <v>2795</v>
      </c>
      <c r="B397" s="1">
        <f>VALUE(RIGHT(A397,LEN(A397)-3))</f>
        <v>479</v>
      </c>
      <c r="C397" t="s">
        <v>32</v>
      </c>
      <c r="D397" t="s">
        <v>4140</v>
      </c>
      <c r="E397" t="s">
        <v>2799</v>
      </c>
      <c r="F397">
        <v>1</v>
      </c>
      <c r="G397" t="s">
        <v>35</v>
      </c>
      <c r="H397">
        <v>0</v>
      </c>
      <c r="J397" t="s">
        <v>2796</v>
      </c>
      <c r="K397">
        <v>42</v>
      </c>
      <c r="L397" t="s">
        <v>357</v>
      </c>
      <c r="M397" t="s">
        <v>2351</v>
      </c>
      <c r="N397" t="s">
        <v>43</v>
      </c>
      <c r="O397" t="s">
        <v>503</v>
      </c>
      <c r="P397" t="s">
        <v>2797</v>
      </c>
      <c r="Q397">
        <v>4</v>
      </c>
      <c r="R397">
        <v>37</v>
      </c>
      <c r="V397" t="s">
        <v>242</v>
      </c>
      <c r="W397" t="s">
        <v>194</v>
      </c>
      <c r="X397" t="s">
        <v>760</v>
      </c>
      <c r="Y397" t="s">
        <v>2800</v>
      </c>
    </row>
    <row r="398" spans="1:25" x14ac:dyDescent="0.2">
      <c r="A398" t="s">
        <v>2819</v>
      </c>
      <c r="B398" s="1">
        <f>VALUE(RIGHT(A398,LEN(A398)-3))</f>
        <v>483</v>
      </c>
      <c r="C398" t="s">
        <v>32</v>
      </c>
      <c r="D398" t="s">
        <v>4140</v>
      </c>
      <c r="E398" t="s">
        <v>2821</v>
      </c>
      <c r="F398">
        <v>1</v>
      </c>
      <c r="G398" t="s">
        <v>57</v>
      </c>
      <c r="H398">
        <v>0</v>
      </c>
      <c r="J398" t="s">
        <v>2820</v>
      </c>
      <c r="K398">
        <v>39</v>
      </c>
      <c r="L398" t="s">
        <v>258</v>
      </c>
      <c r="M398" t="s">
        <v>259</v>
      </c>
      <c r="N398" t="s">
        <v>43</v>
      </c>
      <c r="O398" t="s">
        <v>503</v>
      </c>
      <c r="P398" t="s">
        <v>2656</v>
      </c>
      <c r="Q398">
        <v>14</v>
      </c>
      <c r="R398">
        <v>850</v>
      </c>
      <c r="T398">
        <v>650</v>
      </c>
      <c r="V398" t="s">
        <v>242</v>
      </c>
      <c r="W398" t="s">
        <v>2822</v>
      </c>
      <c r="X398" t="s">
        <v>48</v>
      </c>
      <c r="Y398" t="s">
        <v>2823</v>
      </c>
    </row>
    <row r="399" spans="1:25" x14ac:dyDescent="0.2">
      <c r="A399" t="s">
        <v>2829</v>
      </c>
      <c r="B399" s="1">
        <f>VALUE(RIGHT(A399,LEN(A399)-3))</f>
        <v>485</v>
      </c>
      <c r="C399" t="s">
        <v>32</v>
      </c>
      <c r="D399" t="s">
        <v>4140</v>
      </c>
      <c r="E399" t="s">
        <v>2833</v>
      </c>
      <c r="F399">
        <v>2</v>
      </c>
      <c r="G399" t="s">
        <v>94</v>
      </c>
      <c r="H399">
        <v>3</v>
      </c>
      <c r="I399" t="s">
        <v>2834</v>
      </c>
      <c r="J399" t="s">
        <v>2830</v>
      </c>
      <c r="K399">
        <v>36</v>
      </c>
      <c r="L399" t="s">
        <v>150</v>
      </c>
      <c r="M399" t="s">
        <v>2291</v>
      </c>
      <c r="N399" t="s">
        <v>43</v>
      </c>
      <c r="O399" t="s">
        <v>503</v>
      </c>
      <c r="P399" t="s">
        <v>2831</v>
      </c>
      <c r="Q399">
        <v>4</v>
      </c>
      <c r="R399">
        <v>350</v>
      </c>
      <c r="T399">
        <v>500</v>
      </c>
      <c r="U399">
        <v>150</v>
      </c>
      <c r="V399" t="s">
        <v>242</v>
      </c>
      <c r="W399" t="s">
        <v>2107</v>
      </c>
      <c r="X399" t="s">
        <v>48</v>
      </c>
      <c r="Y399" t="s">
        <v>2835</v>
      </c>
    </row>
    <row r="400" spans="1:25" x14ac:dyDescent="0.2">
      <c r="A400" t="s">
        <v>2836</v>
      </c>
      <c r="B400" s="1">
        <f>VALUE(RIGHT(A400,LEN(A400)-3))</f>
        <v>486</v>
      </c>
      <c r="C400" t="s">
        <v>32</v>
      </c>
      <c r="D400" t="s">
        <v>4140</v>
      </c>
      <c r="E400" t="s">
        <v>2840</v>
      </c>
      <c r="F400">
        <v>2</v>
      </c>
      <c r="G400" t="s">
        <v>94</v>
      </c>
      <c r="H400">
        <v>1</v>
      </c>
      <c r="I400" t="s">
        <v>123</v>
      </c>
      <c r="J400" t="s">
        <v>2837</v>
      </c>
      <c r="K400">
        <v>39</v>
      </c>
      <c r="L400" t="s">
        <v>150</v>
      </c>
      <c r="M400" t="s">
        <v>2838</v>
      </c>
      <c r="N400" t="s">
        <v>43</v>
      </c>
      <c r="O400" t="s">
        <v>503</v>
      </c>
      <c r="P400" t="s">
        <v>2790</v>
      </c>
      <c r="Q400">
        <v>2</v>
      </c>
      <c r="R400">
        <v>450</v>
      </c>
      <c r="T400">
        <v>300</v>
      </c>
      <c r="V400" t="s">
        <v>242</v>
      </c>
      <c r="W400" t="s">
        <v>2273</v>
      </c>
      <c r="X400" t="s">
        <v>48</v>
      </c>
      <c r="Y400" t="s">
        <v>2841</v>
      </c>
    </row>
    <row r="401" spans="1:25" x14ac:dyDescent="0.2">
      <c r="A401" t="s">
        <v>2851</v>
      </c>
      <c r="B401" s="1">
        <f>VALUE(RIGHT(A401,LEN(A401)-3))</f>
        <v>489</v>
      </c>
      <c r="C401" t="s">
        <v>32</v>
      </c>
      <c r="D401" t="s">
        <v>4140</v>
      </c>
      <c r="E401" t="s">
        <v>2853</v>
      </c>
      <c r="F401">
        <v>1</v>
      </c>
      <c r="G401" t="s">
        <v>57</v>
      </c>
      <c r="H401">
        <v>0</v>
      </c>
      <c r="J401" t="s">
        <v>2848</v>
      </c>
      <c r="K401">
        <v>36</v>
      </c>
      <c r="L401" t="s">
        <v>178</v>
      </c>
      <c r="M401" t="s">
        <v>2852</v>
      </c>
      <c r="N401" t="s">
        <v>83</v>
      </c>
      <c r="O401" t="s">
        <v>503</v>
      </c>
      <c r="P401" t="s">
        <v>2645</v>
      </c>
      <c r="Q401">
        <v>15</v>
      </c>
      <c r="R401">
        <v>1500</v>
      </c>
      <c r="V401" t="s">
        <v>889</v>
      </c>
      <c r="W401" t="s">
        <v>786</v>
      </c>
      <c r="X401" t="s">
        <v>48</v>
      </c>
      <c r="Y401" t="s">
        <v>2854</v>
      </c>
    </row>
    <row r="402" spans="1:25" x14ac:dyDescent="0.2">
      <c r="A402" t="s">
        <v>2855</v>
      </c>
      <c r="B402" s="1">
        <f>VALUE(RIGHT(A402,LEN(A402)-3))</f>
        <v>490</v>
      </c>
      <c r="C402" t="s">
        <v>32</v>
      </c>
      <c r="D402" t="s">
        <v>4140</v>
      </c>
      <c r="E402" t="s">
        <v>2858</v>
      </c>
      <c r="F402">
        <v>2</v>
      </c>
      <c r="G402" t="s">
        <v>57</v>
      </c>
      <c r="H402">
        <v>2</v>
      </c>
      <c r="I402" t="s">
        <v>241</v>
      </c>
      <c r="J402" t="s">
        <v>2848</v>
      </c>
      <c r="K402">
        <v>43</v>
      </c>
      <c r="L402" t="s">
        <v>402</v>
      </c>
      <c r="M402" t="s">
        <v>2856</v>
      </c>
      <c r="N402" t="s">
        <v>43</v>
      </c>
      <c r="O402" t="s">
        <v>503</v>
      </c>
      <c r="P402" t="s">
        <v>1771</v>
      </c>
      <c r="Q402">
        <v>5</v>
      </c>
      <c r="R402">
        <v>200</v>
      </c>
      <c r="T402">
        <v>400</v>
      </c>
      <c r="U402">
        <v>100</v>
      </c>
      <c r="V402" t="s">
        <v>2817</v>
      </c>
      <c r="W402" t="s">
        <v>2681</v>
      </c>
      <c r="X402" t="s">
        <v>48</v>
      </c>
      <c r="Y402" t="s">
        <v>2859</v>
      </c>
    </row>
    <row r="403" spans="1:25" x14ac:dyDescent="0.2">
      <c r="A403" t="s">
        <v>2879</v>
      </c>
      <c r="B403" s="1">
        <f>VALUE(RIGHT(A403,LEN(A403)-3))</f>
        <v>495</v>
      </c>
      <c r="C403" t="s">
        <v>32</v>
      </c>
      <c r="D403" t="s">
        <v>4140</v>
      </c>
      <c r="E403" t="s">
        <v>2882</v>
      </c>
      <c r="F403">
        <v>1</v>
      </c>
      <c r="G403" t="s">
        <v>35</v>
      </c>
      <c r="H403">
        <v>3</v>
      </c>
      <c r="I403" t="s">
        <v>2883</v>
      </c>
      <c r="J403" t="s">
        <v>2880</v>
      </c>
      <c r="K403">
        <v>32</v>
      </c>
      <c r="L403" t="s">
        <v>27</v>
      </c>
      <c r="M403" t="s">
        <v>2769</v>
      </c>
      <c r="N403" t="s">
        <v>43</v>
      </c>
      <c r="O403" t="s">
        <v>503</v>
      </c>
      <c r="P403" t="s">
        <v>2645</v>
      </c>
      <c r="Q403">
        <v>2</v>
      </c>
      <c r="R403">
        <v>300</v>
      </c>
      <c r="S403">
        <v>20</v>
      </c>
      <c r="T403">
        <v>1000</v>
      </c>
      <c r="U403">
        <v>600</v>
      </c>
      <c r="V403" t="s">
        <v>242</v>
      </c>
      <c r="W403" t="s">
        <v>2884</v>
      </c>
      <c r="X403" t="s">
        <v>48</v>
      </c>
      <c r="Y403" t="s">
        <v>2885</v>
      </c>
    </row>
    <row r="404" spans="1:25" x14ac:dyDescent="0.2">
      <c r="A404" t="s">
        <v>2886</v>
      </c>
      <c r="B404" s="1">
        <f>VALUE(RIGHT(A404,LEN(A404)-3))</f>
        <v>496</v>
      </c>
      <c r="C404" t="s">
        <v>32</v>
      </c>
      <c r="D404" t="s">
        <v>4140</v>
      </c>
      <c r="E404" t="s">
        <v>2889</v>
      </c>
      <c r="F404">
        <v>1</v>
      </c>
      <c r="G404" t="s">
        <v>57</v>
      </c>
      <c r="H404">
        <v>4</v>
      </c>
      <c r="I404" t="s">
        <v>1251</v>
      </c>
      <c r="J404" t="s">
        <v>2887</v>
      </c>
      <c r="K404">
        <v>55</v>
      </c>
      <c r="L404" t="s">
        <v>178</v>
      </c>
      <c r="M404" t="s">
        <v>300</v>
      </c>
      <c r="N404" t="s">
        <v>43</v>
      </c>
      <c r="O404" t="s">
        <v>503</v>
      </c>
      <c r="P404" t="s">
        <v>1771</v>
      </c>
      <c r="V404" t="s">
        <v>2423</v>
      </c>
      <c r="W404" t="s">
        <v>2785</v>
      </c>
      <c r="X404" t="s">
        <v>61</v>
      </c>
      <c r="Y404" t="s">
        <v>2890</v>
      </c>
    </row>
    <row r="405" spans="1:25" x14ac:dyDescent="0.2">
      <c r="A405" t="s">
        <v>2891</v>
      </c>
      <c r="B405" s="1">
        <f>VALUE(RIGHT(A405,LEN(A405)-3))</f>
        <v>497</v>
      </c>
      <c r="C405" t="s">
        <v>32</v>
      </c>
      <c r="D405" t="s">
        <v>4140</v>
      </c>
      <c r="E405" t="s">
        <v>2895</v>
      </c>
      <c r="F405">
        <v>1</v>
      </c>
      <c r="G405" t="s">
        <v>35</v>
      </c>
      <c r="H405">
        <v>1</v>
      </c>
      <c r="I405" t="s">
        <v>123</v>
      </c>
      <c r="J405" t="s">
        <v>2892</v>
      </c>
      <c r="K405">
        <v>28</v>
      </c>
      <c r="L405" t="s">
        <v>27</v>
      </c>
      <c r="M405" t="s">
        <v>2893</v>
      </c>
      <c r="N405" t="s">
        <v>43</v>
      </c>
      <c r="O405" t="s">
        <v>503</v>
      </c>
      <c r="P405" t="s">
        <v>2656</v>
      </c>
      <c r="Q405">
        <v>1</v>
      </c>
      <c r="R405">
        <v>160</v>
      </c>
      <c r="T405">
        <v>3000</v>
      </c>
      <c r="U405">
        <v>1500</v>
      </c>
      <c r="V405" t="s">
        <v>2817</v>
      </c>
      <c r="W405" t="s">
        <v>2896</v>
      </c>
      <c r="X405" t="s">
        <v>61</v>
      </c>
      <c r="Y405" t="s">
        <v>2897</v>
      </c>
    </row>
    <row r="406" spans="1:25" x14ac:dyDescent="0.2">
      <c r="A406" t="s">
        <v>2913</v>
      </c>
      <c r="B406" s="1">
        <f>VALUE(RIGHT(A406,LEN(A406)-3))</f>
        <v>501</v>
      </c>
      <c r="C406" t="s">
        <v>32</v>
      </c>
      <c r="D406" t="s">
        <v>4140</v>
      </c>
      <c r="E406" t="s">
        <v>2916</v>
      </c>
      <c r="F406">
        <v>1</v>
      </c>
      <c r="G406" t="s">
        <v>57</v>
      </c>
      <c r="H406">
        <v>1</v>
      </c>
      <c r="I406" t="s">
        <v>58</v>
      </c>
      <c r="J406" t="s">
        <v>2914</v>
      </c>
      <c r="K406">
        <v>37</v>
      </c>
      <c r="L406" t="s">
        <v>178</v>
      </c>
      <c r="M406" t="s">
        <v>1468</v>
      </c>
      <c r="N406" t="s">
        <v>43</v>
      </c>
      <c r="O406" t="s">
        <v>503</v>
      </c>
      <c r="P406" t="s">
        <v>1878</v>
      </c>
      <c r="V406" t="s">
        <v>242</v>
      </c>
      <c r="W406" t="s">
        <v>2917</v>
      </c>
      <c r="X406" t="s">
        <v>61</v>
      </c>
      <c r="Y406" t="s">
        <v>2918</v>
      </c>
    </row>
    <row r="407" spans="1:25" x14ac:dyDescent="0.2">
      <c r="A407" t="s">
        <v>2919</v>
      </c>
      <c r="B407" s="1">
        <f>VALUE(RIGHT(A407,LEN(A407)-3))</f>
        <v>502</v>
      </c>
      <c r="C407" t="s">
        <v>32</v>
      </c>
      <c r="D407" t="s">
        <v>4140</v>
      </c>
      <c r="E407" t="s">
        <v>2921</v>
      </c>
      <c r="F407">
        <v>1</v>
      </c>
      <c r="G407" t="s">
        <v>57</v>
      </c>
      <c r="H407">
        <v>0</v>
      </c>
      <c r="J407" t="s">
        <v>2920</v>
      </c>
      <c r="K407">
        <v>34</v>
      </c>
      <c r="L407" t="s">
        <v>127</v>
      </c>
      <c r="M407" t="s">
        <v>1733</v>
      </c>
      <c r="N407" t="s">
        <v>43</v>
      </c>
      <c r="O407" t="s">
        <v>503</v>
      </c>
      <c r="P407" t="s">
        <v>2645</v>
      </c>
      <c r="Q407">
        <v>11</v>
      </c>
      <c r="R407">
        <v>550</v>
      </c>
      <c r="S407">
        <v>550</v>
      </c>
      <c r="T407">
        <v>1100</v>
      </c>
      <c r="V407" t="s">
        <v>242</v>
      </c>
      <c r="W407" t="s">
        <v>2222</v>
      </c>
      <c r="X407" t="s">
        <v>48</v>
      </c>
      <c r="Y407" t="s">
        <v>2922</v>
      </c>
    </row>
    <row r="408" spans="1:25" x14ac:dyDescent="0.2">
      <c r="A408" t="s">
        <v>2927</v>
      </c>
      <c r="B408" s="1">
        <f>VALUE(RIGHT(A408,LEN(A408)-3))</f>
        <v>504</v>
      </c>
      <c r="C408" t="s">
        <v>32</v>
      </c>
      <c r="D408" t="s">
        <v>4140</v>
      </c>
      <c r="E408" t="s">
        <v>2932</v>
      </c>
      <c r="F408">
        <v>1</v>
      </c>
      <c r="G408" t="s">
        <v>35</v>
      </c>
      <c r="H408">
        <v>3</v>
      </c>
      <c r="I408" t="s">
        <v>2933</v>
      </c>
      <c r="J408" t="s">
        <v>2928</v>
      </c>
      <c r="K408">
        <v>57</v>
      </c>
      <c r="L408" t="s">
        <v>402</v>
      </c>
      <c r="M408" t="s">
        <v>2929</v>
      </c>
      <c r="N408" t="s">
        <v>43</v>
      </c>
      <c r="O408" t="s">
        <v>503</v>
      </c>
      <c r="P408" t="s">
        <v>2930</v>
      </c>
      <c r="Q408">
        <v>10</v>
      </c>
      <c r="R408">
        <v>650</v>
      </c>
      <c r="S408">
        <v>125</v>
      </c>
      <c r="T408">
        <v>700</v>
      </c>
      <c r="U408">
        <v>130</v>
      </c>
      <c r="V408" t="s">
        <v>2817</v>
      </c>
      <c r="W408" t="s">
        <v>2934</v>
      </c>
      <c r="X408" t="s">
        <v>48</v>
      </c>
      <c r="Y408" t="s">
        <v>2935</v>
      </c>
    </row>
    <row r="409" spans="1:25" x14ac:dyDescent="0.2">
      <c r="A409" t="s">
        <v>2936</v>
      </c>
      <c r="B409" s="1">
        <f>VALUE(RIGHT(A409,LEN(A409)-3))</f>
        <v>505</v>
      </c>
      <c r="C409" t="s">
        <v>32</v>
      </c>
      <c r="D409" t="s">
        <v>4140</v>
      </c>
      <c r="E409" t="s">
        <v>2939</v>
      </c>
      <c r="F409">
        <v>1</v>
      </c>
      <c r="G409" t="s">
        <v>35</v>
      </c>
      <c r="H409">
        <v>1</v>
      </c>
      <c r="I409" t="s">
        <v>1105</v>
      </c>
      <c r="J409" t="s">
        <v>2937</v>
      </c>
      <c r="K409">
        <v>35</v>
      </c>
      <c r="L409" t="s">
        <v>178</v>
      </c>
      <c r="M409" t="s">
        <v>259</v>
      </c>
      <c r="N409" t="s">
        <v>43</v>
      </c>
      <c r="O409" t="s">
        <v>503</v>
      </c>
      <c r="P409" t="s">
        <v>2790</v>
      </c>
      <c r="Q409">
        <v>7</v>
      </c>
      <c r="R409">
        <v>2400</v>
      </c>
      <c r="S409">
        <v>1000</v>
      </c>
      <c r="T409">
        <v>250</v>
      </c>
      <c r="V409" t="s">
        <v>242</v>
      </c>
      <c r="W409" t="s">
        <v>308</v>
      </c>
      <c r="X409" t="s">
        <v>1274</v>
      </c>
      <c r="Y409" t="s">
        <v>2940</v>
      </c>
    </row>
    <row r="410" spans="1:25" x14ac:dyDescent="0.2">
      <c r="A410" t="s">
        <v>2947</v>
      </c>
      <c r="B410" s="1">
        <f>VALUE(RIGHT(A410,LEN(A410)-3))</f>
        <v>507</v>
      </c>
      <c r="C410" t="s">
        <v>32</v>
      </c>
      <c r="D410" t="s">
        <v>4140</v>
      </c>
      <c r="E410" t="s">
        <v>2950</v>
      </c>
      <c r="F410">
        <v>1</v>
      </c>
      <c r="G410" t="s">
        <v>35</v>
      </c>
      <c r="H410">
        <v>3</v>
      </c>
      <c r="I410" t="s">
        <v>2951</v>
      </c>
      <c r="J410" t="s">
        <v>2948</v>
      </c>
      <c r="K410">
        <v>43</v>
      </c>
      <c r="L410" t="s">
        <v>178</v>
      </c>
      <c r="M410" t="s">
        <v>1199</v>
      </c>
      <c r="N410" t="s">
        <v>43</v>
      </c>
      <c r="O410" t="s">
        <v>503</v>
      </c>
      <c r="P410" t="s">
        <v>1374</v>
      </c>
      <c r="Q410">
        <v>15</v>
      </c>
      <c r="R410">
        <v>2000</v>
      </c>
      <c r="S410">
        <v>1200</v>
      </c>
      <c r="T410">
        <v>1200</v>
      </c>
      <c r="U410">
        <v>600</v>
      </c>
      <c r="V410" t="s">
        <v>103</v>
      </c>
      <c r="W410" t="s">
        <v>515</v>
      </c>
      <c r="X410" t="s">
        <v>61</v>
      </c>
      <c r="Y410" t="s">
        <v>2952</v>
      </c>
    </row>
    <row r="411" spans="1:25" x14ac:dyDescent="0.2">
      <c r="A411" t="s">
        <v>2963</v>
      </c>
      <c r="B411" s="1">
        <f>VALUE(RIGHT(A411,LEN(A411)-3))</f>
        <v>510</v>
      </c>
      <c r="C411" t="s">
        <v>32</v>
      </c>
      <c r="D411" t="s">
        <v>4140</v>
      </c>
      <c r="E411" t="s">
        <v>2966</v>
      </c>
      <c r="F411">
        <v>1</v>
      </c>
      <c r="G411" t="s">
        <v>57</v>
      </c>
      <c r="H411">
        <v>2</v>
      </c>
      <c r="I411" t="s">
        <v>146</v>
      </c>
      <c r="J411" t="s">
        <v>2964</v>
      </c>
      <c r="K411">
        <v>34</v>
      </c>
      <c r="L411" t="s">
        <v>258</v>
      </c>
      <c r="M411" t="s">
        <v>519</v>
      </c>
      <c r="N411" t="s">
        <v>43</v>
      </c>
      <c r="O411" t="s">
        <v>503</v>
      </c>
      <c r="P411" t="s">
        <v>2338</v>
      </c>
      <c r="Q411">
        <v>7</v>
      </c>
      <c r="R411">
        <v>600</v>
      </c>
      <c r="S411">
        <v>500</v>
      </c>
      <c r="T411">
        <v>600</v>
      </c>
      <c r="V411" t="s">
        <v>173</v>
      </c>
      <c r="W411" t="s">
        <v>2660</v>
      </c>
      <c r="X411" t="s">
        <v>61</v>
      </c>
      <c r="Y411" t="s">
        <v>2967</v>
      </c>
    </row>
    <row r="412" spans="1:25" x14ac:dyDescent="0.2">
      <c r="A412" t="s">
        <v>2968</v>
      </c>
      <c r="B412" s="1">
        <f>VALUE(RIGHT(A412,LEN(A412)-3))</f>
        <v>511</v>
      </c>
      <c r="C412" t="s">
        <v>32</v>
      </c>
      <c r="D412" t="s">
        <v>4140</v>
      </c>
      <c r="E412" t="s">
        <v>2970</v>
      </c>
      <c r="F412">
        <v>1</v>
      </c>
      <c r="G412" t="s">
        <v>57</v>
      </c>
      <c r="H412">
        <v>2</v>
      </c>
      <c r="I412" t="s">
        <v>1105</v>
      </c>
      <c r="J412" t="s">
        <v>2964</v>
      </c>
      <c r="K412">
        <v>46</v>
      </c>
      <c r="L412" t="s">
        <v>1223</v>
      </c>
      <c r="M412" t="s">
        <v>2678</v>
      </c>
      <c r="N412" t="s">
        <v>43</v>
      </c>
      <c r="O412" t="s">
        <v>503</v>
      </c>
      <c r="P412" t="s">
        <v>2127</v>
      </c>
      <c r="Q412">
        <v>3</v>
      </c>
      <c r="R412">
        <v>57</v>
      </c>
      <c r="S412">
        <v>20</v>
      </c>
      <c r="T412">
        <v>300</v>
      </c>
      <c r="U412">
        <v>80</v>
      </c>
      <c r="V412" t="s">
        <v>36</v>
      </c>
      <c r="W412" t="s">
        <v>2971</v>
      </c>
      <c r="X412" t="s">
        <v>194</v>
      </c>
      <c r="Y412" t="s">
        <v>2972</v>
      </c>
    </row>
    <row r="413" spans="1:25" x14ac:dyDescent="0.2">
      <c r="A413" t="s">
        <v>2991</v>
      </c>
      <c r="B413" s="1">
        <f>VALUE(RIGHT(A413,LEN(A413)-3))</f>
        <v>515</v>
      </c>
      <c r="C413" t="s">
        <v>32</v>
      </c>
      <c r="D413" t="s">
        <v>4140</v>
      </c>
      <c r="E413" t="s">
        <v>2993</v>
      </c>
      <c r="F413">
        <v>1</v>
      </c>
      <c r="G413" t="s">
        <v>57</v>
      </c>
      <c r="H413">
        <v>1</v>
      </c>
      <c r="I413" t="s">
        <v>68</v>
      </c>
      <c r="J413" t="s">
        <v>2992</v>
      </c>
      <c r="K413">
        <v>24</v>
      </c>
      <c r="L413" t="s">
        <v>52</v>
      </c>
      <c r="M413" t="s">
        <v>1596</v>
      </c>
      <c r="N413" t="s">
        <v>43</v>
      </c>
      <c r="O413" t="s">
        <v>503</v>
      </c>
      <c r="P413" t="s">
        <v>2831</v>
      </c>
      <c r="Q413">
        <v>3</v>
      </c>
      <c r="R413">
        <v>400</v>
      </c>
      <c r="T413">
        <v>7000</v>
      </c>
      <c r="V413" t="s">
        <v>889</v>
      </c>
      <c r="W413" t="s">
        <v>1359</v>
      </c>
      <c r="X413" t="s">
        <v>61</v>
      </c>
      <c r="Y413" t="s">
        <v>2994</v>
      </c>
    </row>
    <row r="414" spans="1:25" x14ac:dyDescent="0.2">
      <c r="A414" t="s">
        <v>3001</v>
      </c>
      <c r="B414" s="1">
        <f>VALUE(RIGHT(A414,LEN(A414)-3))</f>
        <v>517</v>
      </c>
      <c r="C414" t="s">
        <v>32</v>
      </c>
      <c r="D414" t="s">
        <v>4140</v>
      </c>
      <c r="E414" t="s">
        <v>3003</v>
      </c>
      <c r="F414">
        <v>1</v>
      </c>
      <c r="G414" t="s">
        <v>57</v>
      </c>
      <c r="H414">
        <v>1</v>
      </c>
      <c r="I414" t="s">
        <v>123</v>
      </c>
      <c r="J414" t="s">
        <v>3002</v>
      </c>
      <c r="K414">
        <v>34</v>
      </c>
      <c r="L414" t="s">
        <v>402</v>
      </c>
      <c r="M414" t="s">
        <v>2002</v>
      </c>
      <c r="N414" t="s">
        <v>43</v>
      </c>
      <c r="O414" t="s">
        <v>503</v>
      </c>
      <c r="P414" t="s">
        <v>2797</v>
      </c>
      <c r="R414">
        <v>400</v>
      </c>
      <c r="T414">
        <v>300</v>
      </c>
      <c r="V414" t="s">
        <v>2817</v>
      </c>
      <c r="W414" t="s">
        <v>1936</v>
      </c>
      <c r="X414" t="s">
        <v>48</v>
      </c>
      <c r="Y414" t="s">
        <v>3004</v>
      </c>
    </row>
    <row r="415" spans="1:25" x14ac:dyDescent="0.2">
      <c r="A415" t="s">
        <v>3009</v>
      </c>
      <c r="B415" s="1">
        <f>VALUE(RIGHT(A415,LEN(A415)-3))</f>
        <v>519</v>
      </c>
      <c r="C415" t="s">
        <v>32</v>
      </c>
      <c r="D415" t="s">
        <v>4140</v>
      </c>
      <c r="E415" t="s">
        <v>3010</v>
      </c>
      <c r="F415">
        <v>1</v>
      </c>
      <c r="G415" t="s">
        <v>57</v>
      </c>
      <c r="H415">
        <v>1</v>
      </c>
      <c r="I415" t="s">
        <v>58</v>
      </c>
      <c r="J415" t="s">
        <v>3006</v>
      </c>
      <c r="K415">
        <v>42</v>
      </c>
      <c r="L415" t="s">
        <v>120</v>
      </c>
      <c r="M415" t="s">
        <v>151</v>
      </c>
      <c r="N415" t="s">
        <v>43</v>
      </c>
      <c r="O415" t="s">
        <v>503</v>
      </c>
      <c r="P415" t="s">
        <v>2831</v>
      </c>
      <c r="Q415">
        <v>11</v>
      </c>
      <c r="R415">
        <v>850</v>
      </c>
      <c r="T415">
        <v>1500</v>
      </c>
      <c r="V415" t="s">
        <v>2423</v>
      </c>
      <c r="W415" t="s">
        <v>3011</v>
      </c>
      <c r="X415" t="s">
        <v>61</v>
      </c>
      <c r="Y415" t="s">
        <v>3012</v>
      </c>
    </row>
    <row r="416" spans="1:25" x14ac:dyDescent="0.2">
      <c r="A416" t="s">
        <v>3018</v>
      </c>
      <c r="B416" s="1">
        <f>VALUE(RIGHT(A416,LEN(A416)-3))</f>
        <v>521</v>
      </c>
      <c r="C416" t="s">
        <v>32</v>
      </c>
      <c r="D416" t="s">
        <v>4140</v>
      </c>
      <c r="E416" t="s">
        <v>3022</v>
      </c>
      <c r="F416">
        <v>1</v>
      </c>
      <c r="G416" t="s">
        <v>35</v>
      </c>
      <c r="H416">
        <v>1</v>
      </c>
      <c r="I416" t="s">
        <v>1354</v>
      </c>
      <c r="J416" t="s">
        <v>3019</v>
      </c>
      <c r="K416">
        <v>32</v>
      </c>
      <c r="L416" t="s">
        <v>27</v>
      </c>
      <c r="M416" t="s">
        <v>3020</v>
      </c>
      <c r="N416" t="s">
        <v>43</v>
      </c>
      <c r="O416" t="s">
        <v>503</v>
      </c>
      <c r="P416" t="s">
        <v>2645</v>
      </c>
      <c r="Q416">
        <v>6</v>
      </c>
      <c r="V416" t="s">
        <v>103</v>
      </c>
      <c r="W416" t="s">
        <v>941</v>
      </c>
      <c r="X416" t="s">
        <v>779</v>
      </c>
      <c r="Y416" t="s">
        <v>3023</v>
      </c>
    </row>
    <row r="417" spans="1:25" x14ac:dyDescent="0.2">
      <c r="A417" t="s">
        <v>3024</v>
      </c>
      <c r="B417" s="1">
        <f>VALUE(RIGHT(A417,LEN(A417)-3))</f>
        <v>522</v>
      </c>
      <c r="C417" t="s">
        <v>32</v>
      </c>
      <c r="D417" t="s">
        <v>4140</v>
      </c>
      <c r="E417" t="s">
        <v>3027</v>
      </c>
      <c r="F417">
        <v>1</v>
      </c>
      <c r="G417" t="s">
        <v>35</v>
      </c>
      <c r="H417">
        <v>0</v>
      </c>
      <c r="J417" t="s">
        <v>3025</v>
      </c>
      <c r="K417">
        <v>24</v>
      </c>
      <c r="L417" t="s">
        <v>2203</v>
      </c>
      <c r="M417" t="s">
        <v>2291</v>
      </c>
      <c r="N417" t="s">
        <v>43</v>
      </c>
      <c r="O417" t="s">
        <v>503</v>
      </c>
      <c r="P417" t="s">
        <v>2656</v>
      </c>
      <c r="Q417">
        <v>3</v>
      </c>
      <c r="R417">
        <v>285</v>
      </c>
      <c r="T417">
        <v>1300</v>
      </c>
      <c r="V417" t="s">
        <v>242</v>
      </c>
      <c r="W417" t="s">
        <v>3028</v>
      </c>
      <c r="X417" t="s">
        <v>369</v>
      </c>
      <c r="Y417" t="s">
        <v>3029</v>
      </c>
    </row>
    <row r="418" spans="1:25" x14ac:dyDescent="0.2">
      <c r="A418" t="s">
        <v>3030</v>
      </c>
      <c r="B418" s="1">
        <f>VALUE(RIGHT(A418,LEN(A418)-3))</f>
        <v>523</v>
      </c>
      <c r="C418" t="s">
        <v>32</v>
      </c>
      <c r="D418" t="s">
        <v>4140</v>
      </c>
      <c r="E418" t="s">
        <v>3033</v>
      </c>
      <c r="F418">
        <v>1</v>
      </c>
      <c r="G418" t="s">
        <v>130</v>
      </c>
      <c r="H418">
        <v>0</v>
      </c>
      <c r="J418" t="s">
        <v>3031</v>
      </c>
      <c r="K418">
        <v>34</v>
      </c>
      <c r="L418" t="s">
        <v>258</v>
      </c>
      <c r="M418" t="s">
        <v>1097</v>
      </c>
      <c r="N418" t="s">
        <v>43</v>
      </c>
      <c r="O418" t="s">
        <v>503</v>
      </c>
      <c r="P418" t="s">
        <v>2645</v>
      </c>
      <c r="Q418">
        <v>8</v>
      </c>
      <c r="R418">
        <v>1000</v>
      </c>
      <c r="V418" t="s">
        <v>242</v>
      </c>
      <c r="W418" t="s">
        <v>1407</v>
      </c>
      <c r="X418" t="s">
        <v>61</v>
      </c>
      <c r="Y418" t="s">
        <v>3034</v>
      </c>
    </row>
    <row r="419" spans="1:25" x14ac:dyDescent="0.2">
      <c r="A419" t="s">
        <v>3035</v>
      </c>
      <c r="B419" s="1">
        <f>VALUE(RIGHT(A419,LEN(A419)-3))</f>
        <v>524</v>
      </c>
      <c r="C419" t="s">
        <v>32</v>
      </c>
      <c r="D419" t="s">
        <v>4140</v>
      </c>
      <c r="E419" t="s">
        <v>3039</v>
      </c>
      <c r="F419">
        <v>1</v>
      </c>
      <c r="G419" t="s">
        <v>57</v>
      </c>
      <c r="H419">
        <v>1</v>
      </c>
      <c r="I419" t="s">
        <v>123</v>
      </c>
      <c r="J419" t="s">
        <v>3036</v>
      </c>
      <c r="K419">
        <v>40</v>
      </c>
      <c r="L419" t="s">
        <v>27</v>
      </c>
      <c r="M419" t="s">
        <v>584</v>
      </c>
      <c r="N419" t="s">
        <v>43</v>
      </c>
      <c r="O419" t="s">
        <v>503</v>
      </c>
      <c r="P419" t="s">
        <v>3037</v>
      </c>
      <c r="Q419">
        <v>2</v>
      </c>
      <c r="S419">
        <v>1</v>
      </c>
      <c r="T419">
        <v>450</v>
      </c>
      <c r="V419" t="s">
        <v>242</v>
      </c>
      <c r="W419" t="s">
        <v>3040</v>
      </c>
      <c r="X419" t="s">
        <v>235</v>
      </c>
      <c r="Y419" t="s">
        <v>3041</v>
      </c>
    </row>
    <row r="420" spans="1:25" x14ac:dyDescent="0.2">
      <c r="A420" t="s">
        <v>3050</v>
      </c>
      <c r="B420" s="1">
        <f>VALUE(RIGHT(A420,LEN(A420)-3))</f>
        <v>526</v>
      </c>
      <c r="C420" t="s">
        <v>32</v>
      </c>
      <c r="D420" t="s">
        <v>4140</v>
      </c>
      <c r="E420" t="s">
        <v>3053</v>
      </c>
      <c r="F420">
        <v>1</v>
      </c>
      <c r="G420" t="s">
        <v>130</v>
      </c>
      <c r="H420">
        <v>0</v>
      </c>
      <c r="J420" t="s">
        <v>3051</v>
      </c>
      <c r="K420">
        <v>40</v>
      </c>
      <c r="L420" t="s">
        <v>690</v>
      </c>
      <c r="M420" t="s">
        <v>3052</v>
      </c>
      <c r="N420" t="s">
        <v>43</v>
      </c>
      <c r="O420" t="s">
        <v>503</v>
      </c>
      <c r="P420" t="s">
        <v>2656</v>
      </c>
      <c r="V420" t="s">
        <v>242</v>
      </c>
      <c r="W420" t="s">
        <v>1359</v>
      </c>
      <c r="X420" t="s">
        <v>61</v>
      </c>
      <c r="Y420" t="s">
        <v>3054</v>
      </c>
    </row>
    <row r="421" spans="1:25" x14ac:dyDescent="0.2">
      <c r="A421" t="s">
        <v>3059</v>
      </c>
      <c r="B421" s="1">
        <f>VALUE(RIGHT(A421,LEN(A421)-3))</f>
        <v>528</v>
      </c>
      <c r="C421" t="s">
        <v>32</v>
      </c>
      <c r="D421" t="s">
        <v>4140</v>
      </c>
      <c r="E421" t="s">
        <v>3062</v>
      </c>
      <c r="F421">
        <v>1</v>
      </c>
      <c r="G421" t="s">
        <v>57</v>
      </c>
      <c r="H421">
        <v>1</v>
      </c>
      <c r="I421" t="s">
        <v>291</v>
      </c>
      <c r="J421" t="s">
        <v>3060</v>
      </c>
      <c r="K421">
        <v>31</v>
      </c>
      <c r="L421" t="s">
        <v>178</v>
      </c>
      <c r="M421" t="s">
        <v>259</v>
      </c>
      <c r="N421" t="s">
        <v>43</v>
      </c>
      <c r="O421" t="s">
        <v>503</v>
      </c>
      <c r="P421" t="s">
        <v>2656</v>
      </c>
      <c r="Q421">
        <v>2</v>
      </c>
      <c r="R421">
        <v>300</v>
      </c>
      <c r="T421">
        <v>2800</v>
      </c>
      <c r="V421" t="s">
        <v>367</v>
      </c>
      <c r="W421" t="s">
        <v>3063</v>
      </c>
      <c r="X421" t="s">
        <v>182</v>
      </c>
      <c r="Y421" t="s">
        <v>3064</v>
      </c>
    </row>
    <row r="422" spans="1:25" x14ac:dyDescent="0.2">
      <c r="A422" t="s">
        <v>3072</v>
      </c>
      <c r="B422" s="1">
        <f>VALUE(RIGHT(A422,LEN(A422)-3))</f>
        <v>530</v>
      </c>
      <c r="C422" t="s">
        <v>32</v>
      </c>
      <c r="D422" t="s">
        <v>4140</v>
      </c>
      <c r="E422" t="s">
        <v>3074</v>
      </c>
      <c r="F422">
        <v>1</v>
      </c>
      <c r="G422" t="s">
        <v>57</v>
      </c>
      <c r="H422">
        <v>2</v>
      </c>
      <c r="I422" t="s">
        <v>2285</v>
      </c>
      <c r="J422" t="s">
        <v>3073</v>
      </c>
      <c r="K422">
        <v>34</v>
      </c>
      <c r="L422" t="s">
        <v>127</v>
      </c>
      <c r="M422" t="s">
        <v>1296</v>
      </c>
      <c r="N422" t="s">
        <v>43</v>
      </c>
      <c r="O422" t="s">
        <v>503</v>
      </c>
      <c r="P422" t="s">
        <v>2299</v>
      </c>
      <c r="Q422">
        <v>2</v>
      </c>
      <c r="V422" t="s">
        <v>367</v>
      </c>
      <c r="W422" t="s">
        <v>857</v>
      </c>
      <c r="X422" t="s">
        <v>48</v>
      </c>
      <c r="Y422" t="s">
        <v>3075</v>
      </c>
    </row>
    <row r="423" spans="1:25" x14ac:dyDescent="0.2">
      <c r="A423" t="s">
        <v>3082</v>
      </c>
      <c r="B423" s="1">
        <f>VALUE(RIGHT(A423,LEN(A423)-3))</f>
        <v>532</v>
      </c>
      <c r="C423" t="s">
        <v>32</v>
      </c>
      <c r="D423" t="s">
        <v>4140</v>
      </c>
      <c r="E423" t="s">
        <v>3083</v>
      </c>
      <c r="F423">
        <v>1</v>
      </c>
      <c r="G423" t="s">
        <v>57</v>
      </c>
      <c r="H423">
        <v>0</v>
      </c>
      <c r="J423" t="s">
        <v>3077</v>
      </c>
      <c r="K423">
        <v>39</v>
      </c>
      <c r="L423" t="s">
        <v>178</v>
      </c>
      <c r="M423" t="s">
        <v>1006</v>
      </c>
      <c r="N423" t="s">
        <v>43</v>
      </c>
      <c r="O423" t="s">
        <v>503</v>
      </c>
      <c r="P423" t="s">
        <v>2672</v>
      </c>
      <c r="Q423">
        <v>4</v>
      </c>
      <c r="R423">
        <v>450</v>
      </c>
      <c r="S423">
        <v>70</v>
      </c>
      <c r="T423">
        <v>550</v>
      </c>
      <c r="V423" t="s">
        <v>103</v>
      </c>
      <c r="W423" t="s">
        <v>3084</v>
      </c>
      <c r="X423" t="s">
        <v>48</v>
      </c>
      <c r="Y423" t="s">
        <v>3085</v>
      </c>
    </row>
    <row r="424" spans="1:25" x14ac:dyDescent="0.2">
      <c r="A424" t="s">
        <v>3103</v>
      </c>
      <c r="B424" s="1">
        <f>VALUE(RIGHT(A424,LEN(A424)-3))</f>
        <v>536</v>
      </c>
      <c r="C424" t="s">
        <v>32</v>
      </c>
      <c r="D424" t="s">
        <v>4140</v>
      </c>
      <c r="E424" t="s">
        <v>3105</v>
      </c>
      <c r="F424">
        <v>2</v>
      </c>
      <c r="G424" t="s">
        <v>35</v>
      </c>
      <c r="H424">
        <v>4</v>
      </c>
      <c r="I424" t="s">
        <v>3106</v>
      </c>
      <c r="J424" t="s">
        <v>3099</v>
      </c>
      <c r="K424">
        <v>44</v>
      </c>
      <c r="L424" t="s">
        <v>551</v>
      </c>
      <c r="M424" t="s">
        <v>961</v>
      </c>
      <c r="N424" t="s">
        <v>83</v>
      </c>
      <c r="O424" t="s">
        <v>503</v>
      </c>
      <c r="P424" t="s">
        <v>2656</v>
      </c>
      <c r="Q424">
        <v>3</v>
      </c>
      <c r="R424">
        <v>600</v>
      </c>
      <c r="S424">
        <v>300</v>
      </c>
      <c r="V424" t="s">
        <v>242</v>
      </c>
      <c r="W424" t="s">
        <v>2107</v>
      </c>
      <c r="X424" t="s">
        <v>48</v>
      </c>
      <c r="Y424" t="s">
        <v>3107</v>
      </c>
    </row>
    <row r="425" spans="1:25" x14ac:dyDescent="0.2">
      <c r="A425" t="s">
        <v>3108</v>
      </c>
      <c r="B425" s="1">
        <f>VALUE(RIGHT(A425,LEN(A425)-3))</f>
        <v>537</v>
      </c>
      <c r="C425" t="s">
        <v>32</v>
      </c>
      <c r="D425" t="s">
        <v>4140</v>
      </c>
      <c r="E425" t="s">
        <v>3111</v>
      </c>
      <c r="F425">
        <v>1</v>
      </c>
      <c r="G425" t="s">
        <v>57</v>
      </c>
      <c r="H425">
        <v>1</v>
      </c>
      <c r="I425" t="s">
        <v>68</v>
      </c>
      <c r="J425" t="s">
        <v>3109</v>
      </c>
      <c r="K425">
        <v>33</v>
      </c>
      <c r="L425" t="s">
        <v>178</v>
      </c>
      <c r="M425" t="s">
        <v>3044</v>
      </c>
      <c r="N425" t="s">
        <v>43</v>
      </c>
      <c r="O425" t="s">
        <v>503</v>
      </c>
      <c r="P425" t="s">
        <v>2645</v>
      </c>
      <c r="Q425">
        <v>10</v>
      </c>
      <c r="R425">
        <v>750</v>
      </c>
      <c r="S425">
        <v>500</v>
      </c>
      <c r="T425">
        <v>350</v>
      </c>
      <c r="V425" t="s">
        <v>3112</v>
      </c>
      <c r="W425" t="s">
        <v>104</v>
      </c>
      <c r="X425" t="s">
        <v>753</v>
      </c>
      <c r="Y425" t="s">
        <v>3113</v>
      </c>
    </row>
    <row r="426" spans="1:25" x14ac:dyDescent="0.2">
      <c r="A426" t="s">
        <v>40</v>
      </c>
      <c r="B426" s="1">
        <f>VALUE(RIGHT(A426,LEN(A426)-3))</f>
        <v>2</v>
      </c>
      <c r="C426" t="s">
        <v>44</v>
      </c>
      <c r="D426" t="s">
        <v>45</v>
      </c>
      <c r="E426" t="s">
        <v>46</v>
      </c>
      <c r="F426">
        <v>0</v>
      </c>
      <c r="H426">
        <v>0</v>
      </c>
      <c r="J426" t="s">
        <v>41</v>
      </c>
      <c r="L426" t="s">
        <v>27</v>
      </c>
      <c r="M426" t="s">
        <v>42</v>
      </c>
      <c r="N426" t="s">
        <v>43</v>
      </c>
      <c r="O426" t="s">
        <v>30</v>
      </c>
      <c r="P426" t="s">
        <v>31</v>
      </c>
      <c r="V426" t="s">
        <v>36</v>
      </c>
      <c r="W426" t="s">
        <v>47</v>
      </c>
      <c r="X426" t="s">
        <v>48</v>
      </c>
      <c r="Y426" t="s">
        <v>49</v>
      </c>
    </row>
    <row r="427" spans="1:25" x14ac:dyDescent="0.2">
      <c r="A427" t="s">
        <v>106</v>
      </c>
      <c r="B427" s="1">
        <f>VALUE(RIGHT(A427,LEN(A427)-3))</f>
        <v>9</v>
      </c>
      <c r="C427" t="s">
        <v>44</v>
      </c>
      <c r="D427" t="s">
        <v>45</v>
      </c>
      <c r="E427" t="s">
        <v>108</v>
      </c>
      <c r="F427">
        <v>0</v>
      </c>
      <c r="H427">
        <v>0</v>
      </c>
      <c r="J427" t="s">
        <v>107</v>
      </c>
      <c r="L427" t="s">
        <v>74</v>
      </c>
      <c r="M427" t="s">
        <v>100</v>
      </c>
      <c r="N427" t="s">
        <v>43</v>
      </c>
      <c r="O427" t="s">
        <v>30</v>
      </c>
      <c r="P427" t="s">
        <v>31</v>
      </c>
      <c r="V427" t="s">
        <v>103</v>
      </c>
      <c r="W427" t="s">
        <v>104</v>
      </c>
      <c r="X427" t="s">
        <v>61</v>
      </c>
      <c r="Y427" t="s">
        <v>109</v>
      </c>
    </row>
    <row r="428" spans="1:25" x14ac:dyDescent="0.2">
      <c r="A428" t="s">
        <v>196</v>
      </c>
      <c r="B428" s="1">
        <f>VALUE(RIGHT(A428,LEN(A428)-3))</f>
        <v>22</v>
      </c>
      <c r="C428" t="s">
        <v>44</v>
      </c>
      <c r="D428" t="s">
        <v>45</v>
      </c>
      <c r="E428" t="s">
        <v>199</v>
      </c>
      <c r="F428">
        <v>0</v>
      </c>
      <c r="H428">
        <v>0</v>
      </c>
      <c r="J428" t="s">
        <v>197</v>
      </c>
      <c r="L428" t="s">
        <v>27</v>
      </c>
      <c r="M428" t="s">
        <v>198</v>
      </c>
      <c r="N428" t="s">
        <v>83</v>
      </c>
      <c r="O428" t="s">
        <v>30</v>
      </c>
      <c r="P428" t="s">
        <v>31</v>
      </c>
      <c r="V428" t="s">
        <v>200</v>
      </c>
      <c r="W428" t="s">
        <v>201</v>
      </c>
      <c r="X428" t="s">
        <v>48</v>
      </c>
      <c r="Y428" t="s">
        <v>202</v>
      </c>
    </row>
    <row r="429" spans="1:25" x14ac:dyDescent="0.2">
      <c r="A429" t="s">
        <v>215</v>
      </c>
      <c r="B429" s="1">
        <f>VALUE(RIGHT(A429,LEN(A429)-3))</f>
        <v>25</v>
      </c>
      <c r="C429" t="s">
        <v>44</v>
      </c>
      <c r="D429" t="s">
        <v>45</v>
      </c>
      <c r="E429" t="s">
        <v>218</v>
      </c>
      <c r="F429">
        <v>0</v>
      </c>
      <c r="H429">
        <v>0</v>
      </c>
      <c r="J429" t="s">
        <v>216</v>
      </c>
      <c r="L429" t="s">
        <v>217</v>
      </c>
      <c r="M429" t="s">
        <v>179</v>
      </c>
      <c r="N429" t="s">
        <v>43</v>
      </c>
      <c r="O429" t="s">
        <v>30</v>
      </c>
      <c r="P429" t="s">
        <v>31</v>
      </c>
      <c r="T429">
        <v>3000</v>
      </c>
      <c r="V429" t="s">
        <v>36</v>
      </c>
      <c r="W429" t="s">
        <v>219</v>
      </c>
      <c r="X429" t="s">
        <v>220</v>
      </c>
      <c r="Y429" t="s">
        <v>221</v>
      </c>
    </row>
    <row r="430" spans="1:25" x14ac:dyDescent="0.2">
      <c r="A430" t="s">
        <v>245</v>
      </c>
      <c r="B430" s="1">
        <f>VALUE(RIGHT(A430,LEN(A430)-3))</f>
        <v>29</v>
      </c>
      <c r="C430" t="s">
        <v>44</v>
      </c>
      <c r="D430" t="s">
        <v>45</v>
      </c>
      <c r="E430" t="s">
        <v>247</v>
      </c>
      <c r="F430">
        <v>0</v>
      </c>
      <c r="H430">
        <v>0</v>
      </c>
      <c r="J430" t="s">
        <v>246</v>
      </c>
      <c r="L430" t="s">
        <v>52</v>
      </c>
      <c r="M430" t="s">
        <v>113</v>
      </c>
      <c r="N430" t="s">
        <v>54</v>
      </c>
      <c r="O430" t="s">
        <v>30</v>
      </c>
      <c r="P430" t="s">
        <v>31</v>
      </c>
      <c r="V430" t="s">
        <v>59</v>
      </c>
      <c r="W430" t="s">
        <v>248</v>
      </c>
      <c r="X430" t="s">
        <v>61</v>
      </c>
      <c r="Y430" t="s">
        <v>249</v>
      </c>
    </row>
    <row r="431" spans="1:25" x14ac:dyDescent="0.2">
      <c r="A431" t="s">
        <v>256</v>
      </c>
      <c r="B431" s="1">
        <f>VALUE(RIGHT(A431,LEN(A431)-3))</f>
        <v>31</v>
      </c>
      <c r="C431" t="s">
        <v>44</v>
      </c>
      <c r="D431" t="s">
        <v>45</v>
      </c>
      <c r="E431" t="s">
        <v>260</v>
      </c>
      <c r="F431">
        <v>0</v>
      </c>
      <c r="H431">
        <v>0</v>
      </c>
      <c r="J431" t="s">
        <v>257</v>
      </c>
      <c r="L431" t="s">
        <v>258</v>
      </c>
      <c r="M431" t="s">
        <v>259</v>
      </c>
      <c r="N431" t="s">
        <v>43</v>
      </c>
      <c r="O431" t="s">
        <v>30</v>
      </c>
      <c r="P431" t="s">
        <v>31</v>
      </c>
      <c r="V431" t="s">
        <v>36</v>
      </c>
      <c r="W431" t="s">
        <v>181</v>
      </c>
      <c r="X431" t="s">
        <v>48</v>
      </c>
      <c r="Y431" t="s">
        <v>261</v>
      </c>
    </row>
    <row r="432" spans="1:25" x14ac:dyDescent="0.2">
      <c r="A432" t="s">
        <v>269</v>
      </c>
      <c r="B432" s="1">
        <f>VALUE(RIGHT(A432,LEN(A432)-3))</f>
        <v>33</v>
      </c>
      <c r="C432" t="s">
        <v>44</v>
      </c>
      <c r="D432" t="s">
        <v>45</v>
      </c>
      <c r="E432" t="s">
        <v>272</v>
      </c>
      <c r="F432">
        <v>0</v>
      </c>
      <c r="H432">
        <v>0</v>
      </c>
      <c r="J432" t="s">
        <v>270</v>
      </c>
      <c r="L432" t="s">
        <v>27</v>
      </c>
      <c r="M432" t="s">
        <v>271</v>
      </c>
      <c r="N432" t="s">
        <v>43</v>
      </c>
      <c r="O432" t="s">
        <v>30</v>
      </c>
      <c r="P432" t="s">
        <v>31</v>
      </c>
      <c r="V432" t="s">
        <v>86</v>
      </c>
      <c r="W432" t="s">
        <v>78</v>
      </c>
      <c r="X432" t="s">
        <v>61</v>
      </c>
      <c r="Y432" t="s">
        <v>273</v>
      </c>
    </row>
    <row r="433" spans="1:25" x14ac:dyDescent="0.2">
      <c r="A433" t="s">
        <v>294</v>
      </c>
      <c r="B433" s="1">
        <f>VALUE(RIGHT(A433,LEN(A433)-3))</f>
        <v>37</v>
      </c>
      <c r="C433" t="s">
        <v>44</v>
      </c>
      <c r="D433" t="s">
        <v>45</v>
      </c>
      <c r="E433" t="s">
        <v>296</v>
      </c>
      <c r="F433">
        <v>0</v>
      </c>
      <c r="H433">
        <v>0</v>
      </c>
      <c r="J433" t="s">
        <v>295</v>
      </c>
      <c r="L433" t="s">
        <v>27</v>
      </c>
      <c r="M433" t="s">
        <v>65</v>
      </c>
      <c r="N433" t="s">
        <v>43</v>
      </c>
      <c r="O433" t="s">
        <v>30</v>
      </c>
      <c r="P433" t="s">
        <v>31</v>
      </c>
      <c r="V433" t="s">
        <v>36</v>
      </c>
      <c r="W433" t="s">
        <v>116</v>
      </c>
      <c r="X433" t="s">
        <v>48</v>
      </c>
      <c r="Y433" t="s">
        <v>297</v>
      </c>
    </row>
    <row r="434" spans="1:25" x14ac:dyDescent="0.2">
      <c r="A434" t="s">
        <v>298</v>
      </c>
      <c r="B434" s="1">
        <f>VALUE(RIGHT(A434,LEN(A434)-3))</f>
        <v>38</v>
      </c>
      <c r="C434" t="s">
        <v>44</v>
      </c>
      <c r="D434" t="s">
        <v>45</v>
      </c>
      <c r="E434" t="s">
        <v>301</v>
      </c>
      <c r="F434">
        <v>0</v>
      </c>
      <c r="H434">
        <v>0</v>
      </c>
      <c r="J434" t="s">
        <v>299</v>
      </c>
      <c r="L434" t="s">
        <v>217</v>
      </c>
      <c r="M434" t="s">
        <v>300</v>
      </c>
      <c r="N434" t="s">
        <v>43</v>
      </c>
      <c r="O434" t="s">
        <v>30</v>
      </c>
      <c r="P434" t="s">
        <v>31</v>
      </c>
      <c r="R434">
        <v>30</v>
      </c>
      <c r="V434" t="s">
        <v>36</v>
      </c>
      <c r="W434" t="s">
        <v>194</v>
      </c>
      <c r="X434" t="s">
        <v>302</v>
      </c>
      <c r="Y434" t="s">
        <v>303</v>
      </c>
    </row>
    <row r="435" spans="1:25" x14ac:dyDescent="0.2">
      <c r="A435" t="s">
        <v>304</v>
      </c>
      <c r="B435" s="1">
        <f>VALUE(RIGHT(A435,LEN(A435)-3))</f>
        <v>39</v>
      </c>
      <c r="C435" t="s">
        <v>44</v>
      </c>
      <c r="D435" t="s">
        <v>45</v>
      </c>
      <c r="E435" t="s">
        <v>307</v>
      </c>
      <c r="F435">
        <v>0</v>
      </c>
      <c r="H435">
        <v>0</v>
      </c>
      <c r="J435" t="s">
        <v>305</v>
      </c>
      <c r="L435" t="s">
        <v>27</v>
      </c>
      <c r="M435" t="s">
        <v>306</v>
      </c>
      <c r="N435" t="s">
        <v>43</v>
      </c>
      <c r="O435" t="s">
        <v>30</v>
      </c>
      <c r="P435" t="s">
        <v>31</v>
      </c>
      <c r="V435" t="s">
        <v>36</v>
      </c>
      <c r="W435" t="s">
        <v>308</v>
      </c>
      <c r="X435" t="s">
        <v>48</v>
      </c>
      <c r="Y435" t="s">
        <v>309</v>
      </c>
    </row>
    <row r="436" spans="1:25" x14ac:dyDescent="0.2">
      <c r="A436" t="s">
        <v>349</v>
      </c>
      <c r="B436" s="1">
        <f>VALUE(RIGHT(A436,LEN(A436)-3))</f>
        <v>46</v>
      </c>
      <c r="C436" t="s">
        <v>44</v>
      </c>
      <c r="D436" t="s">
        <v>45</v>
      </c>
      <c r="E436" t="s">
        <v>352</v>
      </c>
      <c r="F436">
        <v>0</v>
      </c>
      <c r="H436">
        <v>0</v>
      </c>
      <c r="J436" t="s">
        <v>350</v>
      </c>
      <c r="L436" t="s">
        <v>27</v>
      </c>
      <c r="M436" t="s">
        <v>351</v>
      </c>
      <c r="N436" t="s">
        <v>43</v>
      </c>
      <c r="O436" t="s">
        <v>30</v>
      </c>
      <c r="P436" t="s">
        <v>31</v>
      </c>
      <c r="V436" t="s">
        <v>36</v>
      </c>
      <c r="W436" t="s">
        <v>353</v>
      </c>
      <c r="X436" t="s">
        <v>48</v>
      </c>
      <c r="Y436" t="s">
        <v>354</v>
      </c>
    </row>
    <row r="437" spans="1:25" x14ac:dyDescent="0.2">
      <c r="A437" t="s">
        <v>434</v>
      </c>
      <c r="B437" s="1">
        <f>VALUE(RIGHT(A437,LEN(A437)-3))</f>
        <v>59</v>
      </c>
      <c r="C437" t="s">
        <v>44</v>
      </c>
      <c r="D437" t="s">
        <v>45</v>
      </c>
      <c r="E437" t="s">
        <v>436</v>
      </c>
      <c r="F437">
        <v>0</v>
      </c>
      <c r="H437">
        <v>0</v>
      </c>
      <c r="J437" t="s">
        <v>435</v>
      </c>
      <c r="K437">
        <v>25</v>
      </c>
      <c r="L437" t="s">
        <v>150</v>
      </c>
      <c r="M437" t="s">
        <v>385</v>
      </c>
      <c r="N437" t="s">
        <v>43</v>
      </c>
      <c r="O437" t="s">
        <v>30</v>
      </c>
      <c r="P437" t="s">
        <v>31</v>
      </c>
      <c r="V437" t="s">
        <v>242</v>
      </c>
      <c r="W437" t="s">
        <v>104</v>
      </c>
      <c r="X437" t="s">
        <v>48</v>
      </c>
      <c r="Y437" t="s">
        <v>437</v>
      </c>
    </row>
    <row r="438" spans="1:25" x14ac:dyDescent="0.2">
      <c r="A438" t="s">
        <v>488</v>
      </c>
      <c r="B438" s="1">
        <f>VALUE(RIGHT(A438,LEN(A438)-3))</f>
        <v>68</v>
      </c>
      <c r="C438" t="s">
        <v>44</v>
      </c>
      <c r="D438" t="s">
        <v>45</v>
      </c>
      <c r="E438" t="s">
        <v>491</v>
      </c>
      <c r="F438">
        <v>0</v>
      </c>
      <c r="H438">
        <v>0</v>
      </c>
      <c r="J438" t="s">
        <v>489</v>
      </c>
      <c r="L438" t="s">
        <v>178</v>
      </c>
      <c r="M438" t="s">
        <v>490</v>
      </c>
      <c r="N438" t="s">
        <v>43</v>
      </c>
      <c r="O438" t="s">
        <v>30</v>
      </c>
      <c r="P438" t="s">
        <v>31</v>
      </c>
      <c r="V438" t="s">
        <v>242</v>
      </c>
      <c r="W438" t="s">
        <v>492</v>
      </c>
      <c r="X438" t="s">
        <v>182</v>
      </c>
      <c r="Y438" t="s">
        <v>493</v>
      </c>
    </row>
    <row r="439" spans="1:25" x14ac:dyDescent="0.2">
      <c r="A439" t="s">
        <v>523</v>
      </c>
      <c r="B439" s="1">
        <f>VALUE(RIGHT(A439,LEN(A439)-3))</f>
        <v>73</v>
      </c>
      <c r="C439" t="s">
        <v>44</v>
      </c>
      <c r="D439" t="s">
        <v>45</v>
      </c>
      <c r="E439" t="s">
        <v>526</v>
      </c>
      <c r="F439">
        <v>0</v>
      </c>
      <c r="H439">
        <v>0</v>
      </c>
      <c r="J439" t="s">
        <v>524</v>
      </c>
      <c r="L439" t="s">
        <v>525</v>
      </c>
      <c r="M439" t="s">
        <v>519</v>
      </c>
      <c r="N439" t="s">
        <v>43</v>
      </c>
      <c r="O439" t="s">
        <v>30</v>
      </c>
      <c r="P439" t="s">
        <v>31</v>
      </c>
      <c r="V439" t="s">
        <v>36</v>
      </c>
      <c r="W439" t="s">
        <v>308</v>
      </c>
      <c r="X439" t="s">
        <v>61</v>
      </c>
      <c r="Y439" t="s">
        <v>527</v>
      </c>
    </row>
    <row r="440" spans="1:25" x14ac:dyDescent="0.2">
      <c r="A440" t="s">
        <v>540</v>
      </c>
      <c r="B440" s="1">
        <f>VALUE(RIGHT(A440,LEN(A440)-3))</f>
        <v>76</v>
      </c>
      <c r="C440" t="s">
        <v>44</v>
      </c>
      <c r="D440" t="s">
        <v>45</v>
      </c>
      <c r="E440" t="s">
        <v>542</v>
      </c>
      <c r="F440">
        <v>0</v>
      </c>
      <c r="H440">
        <v>0</v>
      </c>
      <c r="J440" t="s">
        <v>541</v>
      </c>
      <c r="L440" t="s">
        <v>99</v>
      </c>
      <c r="M440" t="s">
        <v>100</v>
      </c>
      <c r="N440" t="s">
        <v>43</v>
      </c>
      <c r="O440" t="s">
        <v>30</v>
      </c>
      <c r="P440" t="s">
        <v>31</v>
      </c>
      <c r="V440" t="s">
        <v>173</v>
      </c>
      <c r="W440" t="s">
        <v>543</v>
      </c>
      <c r="X440" t="s">
        <v>182</v>
      </c>
      <c r="Y440" t="s">
        <v>544</v>
      </c>
    </row>
    <row r="441" spans="1:25" x14ac:dyDescent="0.2">
      <c r="A441" t="s">
        <v>545</v>
      </c>
      <c r="B441" s="1">
        <f>VALUE(RIGHT(A441,LEN(A441)-3))</f>
        <v>77</v>
      </c>
      <c r="C441" t="s">
        <v>44</v>
      </c>
      <c r="D441" t="s">
        <v>45</v>
      </c>
      <c r="E441" t="s">
        <v>547</v>
      </c>
      <c r="F441">
        <v>0</v>
      </c>
      <c r="H441">
        <v>0</v>
      </c>
      <c r="J441" t="s">
        <v>546</v>
      </c>
      <c r="L441" t="s">
        <v>178</v>
      </c>
      <c r="N441" t="s">
        <v>43</v>
      </c>
      <c r="O441" t="s">
        <v>30</v>
      </c>
      <c r="P441" t="s">
        <v>31</v>
      </c>
      <c r="R441">
        <v>53</v>
      </c>
      <c r="T441">
        <v>500</v>
      </c>
      <c r="V441" t="s">
        <v>36</v>
      </c>
      <c r="W441" t="s">
        <v>181</v>
      </c>
      <c r="X441" t="s">
        <v>48</v>
      </c>
      <c r="Y441" t="s">
        <v>548</v>
      </c>
    </row>
    <row r="442" spans="1:25" x14ac:dyDescent="0.2">
      <c r="A442" t="s">
        <v>637</v>
      </c>
      <c r="B442" s="1">
        <f>VALUE(RIGHT(A442,LEN(A442)-3))</f>
        <v>91</v>
      </c>
      <c r="C442" t="s">
        <v>44</v>
      </c>
      <c r="D442" t="s">
        <v>45</v>
      </c>
      <c r="E442" t="s">
        <v>640</v>
      </c>
      <c r="F442">
        <v>0</v>
      </c>
      <c r="H442">
        <v>0</v>
      </c>
      <c r="J442" t="s">
        <v>638</v>
      </c>
      <c r="L442" t="s">
        <v>357</v>
      </c>
      <c r="M442" t="s">
        <v>639</v>
      </c>
      <c r="N442" t="s">
        <v>43</v>
      </c>
      <c r="O442" t="s">
        <v>30</v>
      </c>
      <c r="P442" t="s">
        <v>31</v>
      </c>
      <c r="V442" t="s">
        <v>36</v>
      </c>
      <c r="W442" t="s">
        <v>641</v>
      </c>
      <c r="X442" t="s">
        <v>48</v>
      </c>
      <c r="Y442" t="s">
        <v>642</v>
      </c>
    </row>
    <row r="443" spans="1:25" x14ac:dyDescent="0.2">
      <c r="A443" t="s">
        <v>649</v>
      </c>
      <c r="B443" s="1">
        <f>VALUE(RIGHT(A443,LEN(A443)-3))</f>
        <v>93</v>
      </c>
      <c r="C443" t="s">
        <v>44</v>
      </c>
      <c r="D443" t="s">
        <v>45</v>
      </c>
      <c r="E443" t="s">
        <v>652</v>
      </c>
      <c r="F443">
        <v>0</v>
      </c>
      <c r="H443">
        <v>0</v>
      </c>
      <c r="J443" t="s">
        <v>650</v>
      </c>
      <c r="L443" t="s">
        <v>357</v>
      </c>
      <c r="M443" t="s">
        <v>651</v>
      </c>
      <c r="N443" t="s">
        <v>29</v>
      </c>
      <c r="O443" t="s">
        <v>30</v>
      </c>
      <c r="P443" t="s">
        <v>31</v>
      </c>
      <c r="R443">
        <v>31</v>
      </c>
      <c r="V443" t="s">
        <v>36</v>
      </c>
      <c r="W443" t="s">
        <v>104</v>
      </c>
      <c r="X443" t="s">
        <v>48</v>
      </c>
    </row>
    <row r="444" spans="1:25" x14ac:dyDescent="0.2">
      <c r="A444" t="s">
        <v>664</v>
      </c>
      <c r="B444" s="1">
        <f>VALUE(RIGHT(A444,LEN(A444)-3))</f>
        <v>96</v>
      </c>
      <c r="C444" t="s">
        <v>44</v>
      </c>
      <c r="D444" t="s">
        <v>45</v>
      </c>
      <c r="E444" t="s">
        <v>666</v>
      </c>
      <c r="F444">
        <v>0</v>
      </c>
      <c r="H444">
        <v>0</v>
      </c>
      <c r="J444" t="s">
        <v>665</v>
      </c>
      <c r="L444" t="s">
        <v>258</v>
      </c>
      <c r="M444" t="s">
        <v>259</v>
      </c>
      <c r="N444" t="s">
        <v>43</v>
      </c>
      <c r="O444" t="s">
        <v>30</v>
      </c>
      <c r="P444" t="s">
        <v>31</v>
      </c>
      <c r="R444">
        <v>41</v>
      </c>
      <c r="V444" t="s">
        <v>36</v>
      </c>
      <c r="W444" t="s">
        <v>181</v>
      </c>
      <c r="X444" t="s">
        <v>48</v>
      </c>
      <c r="Y444" t="s">
        <v>667</v>
      </c>
    </row>
    <row r="445" spans="1:25" x14ac:dyDescent="0.2">
      <c r="A445" t="s">
        <v>673</v>
      </c>
      <c r="B445" s="1">
        <f>VALUE(RIGHT(A445,LEN(A445)-3))</f>
        <v>98</v>
      </c>
      <c r="C445" t="s">
        <v>44</v>
      </c>
      <c r="D445" t="s">
        <v>45</v>
      </c>
      <c r="E445" t="s">
        <v>675</v>
      </c>
      <c r="F445">
        <v>0</v>
      </c>
      <c r="H445">
        <v>0</v>
      </c>
      <c r="J445" t="s">
        <v>674</v>
      </c>
      <c r="L445" t="s">
        <v>357</v>
      </c>
      <c r="M445" t="s">
        <v>455</v>
      </c>
      <c r="N445" t="s">
        <v>43</v>
      </c>
      <c r="O445" t="s">
        <v>30</v>
      </c>
      <c r="P445" t="s">
        <v>31</v>
      </c>
      <c r="V445" t="s">
        <v>36</v>
      </c>
      <c r="W445" t="s">
        <v>308</v>
      </c>
      <c r="X445" t="s">
        <v>61</v>
      </c>
      <c r="Y445" t="s">
        <v>676</v>
      </c>
    </row>
    <row r="446" spans="1:25" x14ac:dyDescent="0.2">
      <c r="A446" t="s">
        <v>732</v>
      </c>
      <c r="B446" s="1">
        <f>VALUE(RIGHT(A446,LEN(A446)-3))</f>
        <v>108</v>
      </c>
      <c r="C446" t="s">
        <v>44</v>
      </c>
      <c r="D446" t="s">
        <v>45</v>
      </c>
      <c r="E446" t="s">
        <v>735</v>
      </c>
      <c r="F446">
        <v>0</v>
      </c>
      <c r="H446">
        <v>0</v>
      </c>
      <c r="J446" t="s">
        <v>733</v>
      </c>
      <c r="K446">
        <v>59</v>
      </c>
      <c r="L446" t="s">
        <v>178</v>
      </c>
      <c r="M446" t="s">
        <v>734</v>
      </c>
      <c r="N446" t="s">
        <v>43</v>
      </c>
      <c r="O446" t="s">
        <v>30</v>
      </c>
      <c r="P446" t="s">
        <v>31</v>
      </c>
      <c r="V446" t="s">
        <v>36</v>
      </c>
      <c r="W446" t="s">
        <v>736</v>
      </c>
      <c r="X446" t="s">
        <v>48</v>
      </c>
      <c r="Y446" t="s">
        <v>737</v>
      </c>
    </row>
    <row r="447" spans="1:25" x14ac:dyDescent="0.2">
      <c r="A447" t="s">
        <v>743</v>
      </c>
      <c r="B447" s="1">
        <f>VALUE(RIGHT(A447,LEN(A447)-3))</f>
        <v>110</v>
      </c>
      <c r="C447" t="s">
        <v>44</v>
      </c>
      <c r="D447" t="s">
        <v>45</v>
      </c>
      <c r="E447" t="s">
        <v>747</v>
      </c>
      <c r="F447">
        <v>0</v>
      </c>
      <c r="H447">
        <v>0</v>
      </c>
      <c r="J447" t="s">
        <v>744</v>
      </c>
      <c r="L447" t="s">
        <v>52</v>
      </c>
      <c r="M447" t="s">
        <v>745</v>
      </c>
      <c r="N447" t="s">
        <v>746</v>
      </c>
      <c r="O447" t="s">
        <v>30</v>
      </c>
      <c r="P447" t="s">
        <v>31</v>
      </c>
      <c r="V447" t="s">
        <v>36</v>
      </c>
      <c r="W447" t="s">
        <v>308</v>
      </c>
      <c r="X447" t="s">
        <v>61</v>
      </c>
      <c r="Y447" t="s">
        <v>748</v>
      </c>
    </row>
    <row r="448" spans="1:25" x14ac:dyDescent="0.2">
      <c r="A448" t="s">
        <v>769</v>
      </c>
      <c r="B448" s="1">
        <f>VALUE(RIGHT(A448,LEN(A448)-3))</f>
        <v>114</v>
      </c>
      <c r="C448" t="s">
        <v>44</v>
      </c>
      <c r="D448" t="s">
        <v>45</v>
      </c>
      <c r="E448" t="s">
        <v>771</v>
      </c>
      <c r="F448">
        <v>0</v>
      </c>
      <c r="H448">
        <v>0</v>
      </c>
      <c r="J448" t="s">
        <v>770</v>
      </c>
      <c r="K448">
        <v>57</v>
      </c>
      <c r="L448" t="s">
        <v>178</v>
      </c>
      <c r="M448" t="s">
        <v>410</v>
      </c>
      <c r="N448" t="s">
        <v>43</v>
      </c>
      <c r="O448" t="s">
        <v>30</v>
      </c>
      <c r="P448" t="s">
        <v>31</v>
      </c>
      <c r="V448" t="s">
        <v>86</v>
      </c>
      <c r="W448" t="s">
        <v>87</v>
      </c>
      <c r="X448" t="s">
        <v>182</v>
      </c>
      <c r="Y448" t="s">
        <v>772</v>
      </c>
    </row>
    <row r="449" spans="1:25" x14ac:dyDescent="0.2">
      <c r="A449" t="s">
        <v>853</v>
      </c>
      <c r="B449" s="1">
        <f>VALUE(RIGHT(A449,LEN(A449)-3))</f>
        <v>129</v>
      </c>
      <c r="C449" t="s">
        <v>44</v>
      </c>
      <c r="D449" t="s">
        <v>45</v>
      </c>
      <c r="E449" t="s">
        <v>856</v>
      </c>
      <c r="F449">
        <v>0</v>
      </c>
      <c r="H449">
        <v>0</v>
      </c>
      <c r="J449" t="s">
        <v>854</v>
      </c>
      <c r="L449" t="s">
        <v>423</v>
      </c>
      <c r="M449" t="s">
        <v>855</v>
      </c>
      <c r="N449" t="s">
        <v>83</v>
      </c>
      <c r="O449" t="s">
        <v>30</v>
      </c>
      <c r="P449" t="s">
        <v>31</v>
      </c>
      <c r="V449" t="s">
        <v>173</v>
      </c>
      <c r="W449" t="s">
        <v>857</v>
      </c>
      <c r="X449" t="s">
        <v>753</v>
      </c>
      <c r="Y449" t="s">
        <v>858</v>
      </c>
    </row>
    <row r="450" spans="1:25" x14ac:dyDescent="0.2">
      <c r="A450" t="s">
        <v>859</v>
      </c>
      <c r="B450" s="1">
        <f>VALUE(RIGHT(A450,LEN(A450)-3))</f>
        <v>130</v>
      </c>
      <c r="C450" t="s">
        <v>44</v>
      </c>
      <c r="D450" t="s">
        <v>45</v>
      </c>
      <c r="E450" t="s">
        <v>861</v>
      </c>
      <c r="F450">
        <v>0</v>
      </c>
      <c r="H450">
        <v>0</v>
      </c>
      <c r="J450" t="s">
        <v>860</v>
      </c>
      <c r="L450" t="s">
        <v>27</v>
      </c>
      <c r="M450" t="s">
        <v>264</v>
      </c>
      <c r="N450" t="s">
        <v>43</v>
      </c>
      <c r="O450" t="s">
        <v>30</v>
      </c>
      <c r="P450" t="s">
        <v>31</v>
      </c>
      <c r="V450" t="s">
        <v>173</v>
      </c>
      <c r="W450" t="s">
        <v>308</v>
      </c>
      <c r="X450" t="s">
        <v>61</v>
      </c>
      <c r="Y450" t="s">
        <v>862</v>
      </c>
    </row>
    <row r="451" spans="1:25" x14ac:dyDescent="0.2">
      <c r="A451" t="s">
        <v>1480</v>
      </c>
      <c r="B451" s="1">
        <f>VALUE(RIGHT(A451,LEN(A451)-3))</f>
        <v>241</v>
      </c>
      <c r="C451" t="s">
        <v>44</v>
      </c>
      <c r="D451" t="s">
        <v>45</v>
      </c>
      <c r="E451" t="s">
        <v>1483</v>
      </c>
      <c r="F451">
        <v>0</v>
      </c>
      <c r="H451">
        <v>0</v>
      </c>
      <c r="J451" t="s">
        <v>1481</v>
      </c>
      <c r="L451" t="s">
        <v>338</v>
      </c>
      <c r="M451" t="s">
        <v>1482</v>
      </c>
      <c r="N451" t="s">
        <v>54</v>
      </c>
      <c r="O451" t="s">
        <v>30</v>
      </c>
      <c r="P451" t="s">
        <v>31</v>
      </c>
      <c r="V451" t="s">
        <v>200</v>
      </c>
      <c r="W451" t="s">
        <v>201</v>
      </c>
      <c r="X451" t="s">
        <v>48</v>
      </c>
      <c r="Y451" t="s">
        <v>1484</v>
      </c>
    </row>
    <row r="452" spans="1:25" x14ac:dyDescent="0.2">
      <c r="A452" t="s">
        <v>1842</v>
      </c>
      <c r="B452" s="1">
        <f>VALUE(RIGHT(A452,LEN(A452)-3))</f>
        <v>309</v>
      </c>
      <c r="C452" t="s">
        <v>44</v>
      </c>
      <c r="D452" t="s">
        <v>45</v>
      </c>
      <c r="E452" t="s">
        <v>1845</v>
      </c>
      <c r="F452">
        <v>0</v>
      </c>
      <c r="H452">
        <v>0</v>
      </c>
      <c r="J452" t="s">
        <v>1843</v>
      </c>
      <c r="K452">
        <v>32</v>
      </c>
      <c r="L452" t="s">
        <v>1586</v>
      </c>
      <c r="M452" t="s">
        <v>1844</v>
      </c>
      <c r="N452" t="s">
        <v>43</v>
      </c>
      <c r="O452" t="s">
        <v>30</v>
      </c>
      <c r="P452" t="s">
        <v>31</v>
      </c>
      <c r="R452">
        <v>450</v>
      </c>
      <c r="V452" t="s">
        <v>36</v>
      </c>
      <c r="W452" t="s">
        <v>308</v>
      </c>
      <c r="X452" t="s">
        <v>635</v>
      </c>
      <c r="Y452" t="s">
        <v>1846</v>
      </c>
    </row>
    <row r="453" spans="1:25" x14ac:dyDescent="0.2">
      <c r="A453" t="s">
        <v>1882</v>
      </c>
      <c r="B453" s="1">
        <f>VALUE(RIGHT(A453,LEN(A453)-3))</f>
        <v>317</v>
      </c>
      <c r="C453" t="s">
        <v>44</v>
      </c>
      <c r="D453" t="s">
        <v>45</v>
      </c>
      <c r="E453" t="s">
        <v>1886</v>
      </c>
      <c r="F453">
        <v>0</v>
      </c>
      <c r="H453">
        <v>0</v>
      </c>
      <c r="J453" t="s">
        <v>1883</v>
      </c>
      <c r="K453">
        <v>45</v>
      </c>
      <c r="L453" t="s">
        <v>1884</v>
      </c>
      <c r="M453" t="s">
        <v>1885</v>
      </c>
      <c r="N453" t="s">
        <v>43</v>
      </c>
      <c r="O453" t="s">
        <v>30</v>
      </c>
      <c r="P453" t="s">
        <v>31</v>
      </c>
      <c r="Q453">
        <v>3</v>
      </c>
      <c r="R453">
        <v>65</v>
      </c>
      <c r="V453" t="s">
        <v>36</v>
      </c>
      <c r="W453" t="s">
        <v>308</v>
      </c>
      <c r="X453" t="s">
        <v>48</v>
      </c>
      <c r="Y453" t="s">
        <v>1887</v>
      </c>
    </row>
    <row r="454" spans="1:25" x14ac:dyDescent="0.2">
      <c r="A454" t="s">
        <v>2114</v>
      </c>
      <c r="B454" s="1">
        <f>VALUE(RIGHT(A454,LEN(A454)-3))</f>
        <v>359</v>
      </c>
      <c r="C454" t="s">
        <v>44</v>
      </c>
      <c r="D454" t="s">
        <v>45</v>
      </c>
      <c r="E454" t="s">
        <v>2117</v>
      </c>
      <c r="F454">
        <v>0</v>
      </c>
      <c r="H454">
        <v>0</v>
      </c>
      <c r="J454" t="s">
        <v>2115</v>
      </c>
      <c r="K454">
        <v>40</v>
      </c>
      <c r="L454" t="s">
        <v>2116</v>
      </c>
      <c r="M454" t="s">
        <v>385</v>
      </c>
      <c r="N454" t="s">
        <v>43</v>
      </c>
      <c r="O454" t="s">
        <v>30</v>
      </c>
      <c r="P454" t="s">
        <v>31</v>
      </c>
      <c r="V454" t="s">
        <v>242</v>
      </c>
      <c r="W454" t="s">
        <v>2118</v>
      </c>
      <c r="X454" t="s">
        <v>48</v>
      </c>
      <c r="Y454" t="s">
        <v>2119</v>
      </c>
    </row>
    <row r="455" spans="1:25" x14ac:dyDescent="0.2">
      <c r="A455" t="s">
        <v>2342</v>
      </c>
      <c r="B455" s="1">
        <f>VALUE(RIGHT(A455,LEN(A455)-3))</f>
        <v>398</v>
      </c>
      <c r="C455" t="s">
        <v>44</v>
      </c>
      <c r="D455" t="s">
        <v>45</v>
      </c>
      <c r="E455" t="s">
        <v>2346</v>
      </c>
      <c r="F455">
        <v>0</v>
      </c>
      <c r="H455">
        <v>0</v>
      </c>
      <c r="J455" t="s">
        <v>2343</v>
      </c>
      <c r="K455">
        <v>39</v>
      </c>
      <c r="L455" t="s">
        <v>2344</v>
      </c>
      <c r="M455" t="s">
        <v>2345</v>
      </c>
      <c r="N455" t="s">
        <v>54</v>
      </c>
      <c r="O455" t="s">
        <v>30</v>
      </c>
      <c r="P455" t="s">
        <v>31</v>
      </c>
      <c r="Q455">
        <v>11</v>
      </c>
      <c r="R455">
        <v>450</v>
      </c>
      <c r="T455">
        <v>300</v>
      </c>
      <c r="V455" t="s">
        <v>36</v>
      </c>
      <c r="W455" t="s">
        <v>1431</v>
      </c>
      <c r="X455" t="s">
        <v>2347</v>
      </c>
      <c r="Y455" t="s">
        <v>2348</v>
      </c>
    </row>
    <row r="456" spans="1:25" x14ac:dyDescent="0.2">
      <c r="A456" t="s">
        <v>2469</v>
      </c>
      <c r="B456" s="1">
        <f>VALUE(RIGHT(A456,LEN(A456)-3))</f>
        <v>419</v>
      </c>
      <c r="C456" t="s">
        <v>44</v>
      </c>
      <c r="D456" t="s">
        <v>45</v>
      </c>
      <c r="E456" t="s">
        <v>2472</v>
      </c>
      <c r="F456">
        <v>0</v>
      </c>
      <c r="H456">
        <v>0</v>
      </c>
      <c r="J456" t="s">
        <v>2470</v>
      </c>
      <c r="K456">
        <v>45</v>
      </c>
      <c r="L456" t="s">
        <v>52</v>
      </c>
      <c r="M456" t="s">
        <v>2471</v>
      </c>
      <c r="N456" t="s">
        <v>29</v>
      </c>
      <c r="O456" t="s">
        <v>30</v>
      </c>
      <c r="P456" t="s">
        <v>31</v>
      </c>
      <c r="Q456">
        <v>5</v>
      </c>
      <c r="R456">
        <v>200</v>
      </c>
      <c r="T456">
        <v>900</v>
      </c>
      <c r="V456" t="s">
        <v>103</v>
      </c>
      <c r="W456" t="s">
        <v>2473</v>
      </c>
      <c r="X456" t="s">
        <v>302</v>
      </c>
      <c r="Y456" t="s">
        <v>2474</v>
      </c>
    </row>
    <row r="457" spans="1:25" x14ac:dyDescent="0.2">
      <c r="A457" t="s">
        <v>2510</v>
      </c>
      <c r="B457" s="1">
        <f>VALUE(RIGHT(A457,LEN(A457)-3))</f>
        <v>427</v>
      </c>
      <c r="C457" t="s">
        <v>44</v>
      </c>
      <c r="D457" t="s">
        <v>45</v>
      </c>
      <c r="E457" t="s">
        <v>2512</v>
      </c>
      <c r="F457">
        <v>0</v>
      </c>
      <c r="H457">
        <v>0</v>
      </c>
      <c r="J457" t="s">
        <v>2511</v>
      </c>
      <c r="K457">
        <v>27</v>
      </c>
      <c r="L457" t="s">
        <v>27</v>
      </c>
      <c r="M457" t="s">
        <v>530</v>
      </c>
      <c r="N457" t="s">
        <v>43</v>
      </c>
      <c r="O457" t="s">
        <v>30</v>
      </c>
      <c r="P457" t="s">
        <v>31</v>
      </c>
      <c r="Q457">
        <v>3</v>
      </c>
      <c r="R457">
        <v>250</v>
      </c>
      <c r="S457">
        <v>1</v>
      </c>
      <c r="T457">
        <v>2000</v>
      </c>
      <c r="V457" t="s">
        <v>103</v>
      </c>
      <c r="W457" t="s">
        <v>139</v>
      </c>
      <c r="X457" t="s">
        <v>235</v>
      </c>
      <c r="Y457" t="s">
        <v>2513</v>
      </c>
    </row>
    <row r="458" spans="1:25" x14ac:dyDescent="0.2">
      <c r="A458" t="s">
        <v>2615</v>
      </c>
      <c r="B458" s="1">
        <f>VALUE(RIGHT(A458,LEN(A458)-3))</f>
        <v>446</v>
      </c>
      <c r="C458" t="s">
        <v>44</v>
      </c>
      <c r="D458" t="s">
        <v>45</v>
      </c>
      <c r="E458" t="s">
        <v>2618</v>
      </c>
      <c r="F458">
        <v>0</v>
      </c>
      <c r="H458">
        <v>0</v>
      </c>
      <c r="J458" t="s">
        <v>2616</v>
      </c>
      <c r="K458">
        <v>44</v>
      </c>
      <c r="L458" t="s">
        <v>178</v>
      </c>
      <c r="M458" t="s">
        <v>2617</v>
      </c>
      <c r="N458" t="s">
        <v>43</v>
      </c>
      <c r="O458" t="s">
        <v>30</v>
      </c>
      <c r="P458" t="s">
        <v>31</v>
      </c>
      <c r="Q458">
        <v>2</v>
      </c>
      <c r="V458" t="s">
        <v>103</v>
      </c>
      <c r="W458" t="s">
        <v>194</v>
      </c>
      <c r="X458" t="s">
        <v>194</v>
      </c>
      <c r="Y458" t="s">
        <v>2619</v>
      </c>
    </row>
    <row r="459" spans="1:25" x14ac:dyDescent="0.2">
      <c r="A459" t="s">
        <v>2695</v>
      </c>
      <c r="B459" s="1">
        <f>VALUE(RIGHT(A459,LEN(A459)-3))</f>
        <v>460</v>
      </c>
      <c r="C459" t="s">
        <v>44</v>
      </c>
      <c r="D459" t="s">
        <v>45</v>
      </c>
      <c r="E459" t="s">
        <v>2697</v>
      </c>
      <c r="F459">
        <v>0</v>
      </c>
      <c r="H459">
        <v>0</v>
      </c>
      <c r="J459" t="s">
        <v>2696</v>
      </c>
      <c r="K459">
        <v>56</v>
      </c>
      <c r="L459" t="s">
        <v>178</v>
      </c>
      <c r="M459" t="s">
        <v>300</v>
      </c>
      <c r="N459" t="s">
        <v>43</v>
      </c>
      <c r="O459" t="s">
        <v>30</v>
      </c>
      <c r="P459" t="s">
        <v>31</v>
      </c>
      <c r="Q459">
        <v>1</v>
      </c>
      <c r="R459">
        <v>40</v>
      </c>
      <c r="V459" t="s">
        <v>103</v>
      </c>
      <c r="W459" t="s">
        <v>194</v>
      </c>
      <c r="X459" t="s">
        <v>194</v>
      </c>
      <c r="Y459" t="s">
        <v>2698</v>
      </c>
    </row>
    <row r="460" spans="1:25" x14ac:dyDescent="0.2">
      <c r="A460" t="s">
        <v>2725</v>
      </c>
      <c r="B460" s="1">
        <f>VALUE(RIGHT(A460,LEN(A460)-3))</f>
        <v>466</v>
      </c>
      <c r="C460" t="s">
        <v>44</v>
      </c>
      <c r="D460" t="s">
        <v>45</v>
      </c>
      <c r="E460" t="s">
        <v>2727</v>
      </c>
      <c r="F460">
        <v>0</v>
      </c>
      <c r="H460">
        <v>0</v>
      </c>
      <c r="J460" t="s">
        <v>2726</v>
      </c>
      <c r="K460">
        <v>43</v>
      </c>
      <c r="L460" t="s">
        <v>178</v>
      </c>
      <c r="M460" t="s">
        <v>1050</v>
      </c>
      <c r="N460" t="s">
        <v>43</v>
      </c>
      <c r="O460" t="s">
        <v>30</v>
      </c>
      <c r="P460" t="s">
        <v>31</v>
      </c>
      <c r="Q460">
        <v>2</v>
      </c>
      <c r="R460">
        <v>60</v>
      </c>
      <c r="T460">
        <v>700</v>
      </c>
      <c r="V460" t="s">
        <v>242</v>
      </c>
      <c r="W460" t="s">
        <v>2728</v>
      </c>
      <c r="X460" t="s">
        <v>48</v>
      </c>
      <c r="Y460" t="s">
        <v>2729</v>
      </c>
    </row>
    <row r="461" spans="1:25" x14ac:dyDescent="0.2">
      <c r="A461" t="s">
        <v>2740</v>
      </c>
      <c r="B461" s="1">
        <f>VALUE(RIGHT(A461,LEN(A461)-3))</f>
        <v>469</v>
      </c>
      <c r="C461" t="s">
        <v>44</v>
      </c>
      <c r="D461" t="s">
        <v>45</v>
      </c>
      <c r="E461" t="s">
        <v>2743</v>
      </c>
      <c r="F461">
        <v>0</v>
      </c>
      <c r="H461">
        <v>0</v>
      </c>
      <c r="J461" t="s">
        <v>2741</v>
      </c>
      <c r="K461">
        <v>47</v>
      </c>
      <c r="L461" t="s">
        <v>52</v>
      </c>
      <c r="M461" t="s">
        <v>2742</v>
      </c>
      <c r="N461" t="s">
        <v>43</v>
      </c>
      <c r="O461" t="s">
        <v>30</v>
      </c>
      <c r="P461" t="s">
        <v>31</v>
      </c>
      <c r="Q461">
        <v>1</v>
      </c>
      <c r="R461">
        <v>127</v>
      </c>
      <c r="V461" t="s">
        <v>36</v>
      </c>
      <c r="W461" t="s">
        <v>308</v>
      </c>
      <c r="X461" t="s">
        <v>61</v>
      </c>
    </row>
    <row r="462" spans="1:25" x14ac:dyDescent="0.2">
      <c r="A462" t="s">
        <v>2762</v>
      </c>
      <c r="B462" s="1">
        <f>VALUE(RIGHT(A462,LEN(A462)-3))</f>
        <v>473</v>
      </c>
      <c r="C462" t="s">
        <v>44</v>
      </c>
      <c r="D462" t="s">
        <v>45</v>
      </c>
      <c r="E462" t="s">
        <v>2764</v>
      </c>
      <c r="F462">
        <v>0</v>
      </c>
      <c r="H462">
        <v>0</v>
      </c>
      <c r="J462" t="s">
        <v>2763</v>
      </c>
      <c r="K462">
        <v>50</v>
      </c>
      <c r="L462" t="s">
        <v>27</v>
      </c>
      <c r="M462" t="s">
        <v>65</v>
      </c>
      <c r="N462" t="s">
        <v>746</v>
      </c>
      <c r="O462" t="s">
        <v>30</v>
      </c>
      <c r="P462" t="s">
        <v>31</v>
      </c>
      <c r="V462" t="s">
        <v>2168</v>
      </c>
      <c r="W462" t="s">
        <v>2765</v>
      </c>
      <c r="X462" t="s">
        <v>48</v>
      </c>
      <c r="Y462" t="s">
        <v>2766</v>
      </c>
    </row>
    <row r="463" spans="1:25" x14ac:dyDescent="0.2">
      <c r="A463" t="s">
        <v>2772</v>
      </c>
      <c r="B463" s="1">
        <f>VALUE(RIGHT(A463,LEN(A463)-3))</f>
        <v>475</v>
      </c>
      <c r="C463" t="s">
        <v>44</v>
      </c>
      <c r="D463" t="s">
        <v>45</v>
      </c>
      <c r="E463" t="s">
        <v>2774</v>
      </c>
      <c r="F463">
        <v>0</v>
      </c>
      <c r="H463">
        <v>0</v>
      </c>
      <c r="J463" t="s">
        <v>2773</v>
      </c>
      <c r="K463">
        <v>37</v>
      </c>
      <c r="L463" t="s">
        <v>27</v>
      </c>
      <c r="M463" t="s">
        <v>373</v>
      </c>
      <c r="N463" t="s">
        <v>83</v>
      </c>
      <c r="O463" t="s">
        <v>30</v>
      </c>
      <c r="P463" t="s">
        <v>31</v>
      </c>
      <c r="T463">
        <v>8500</v>
      </c>
      <c r="V463" t="s">
        <v>103</v>
      </c>
      <c r="W463" t="s">
        <v>2062</v>
      </c>
      <c r="X463" t="s">
        <v>569</v>
      </c>
      <c r="Y463" t="s">
        <v>2775</v>
      </c>
    </row>
    <row r="464" spans="1:25" x14ac:dyDescent="0.2">
      <c r="A464" t="s">
        <v>2842</v>
      </c>
      <c r="B464" s="1">
        <f>VALUE(RIGHT(A464,LEN(A464)-3))</f>
        <v>487</v>
      </c>
      <c r="C464" t="s">
        <v>44</v>
      </c>
      <c r="D464" t="s">
        <v>45</v>
      </c>
      <c r="E464" t="s">
        <v>2844</v>
      </c>
      <c r="F464">
        <v>0</v>
      </c>
      <c r="H464">
        <v>0</v>
      </c>
      <c r="J464" t="s">
        <v>2843</v>
      </c>
      <c r="K464">
        <v>54</v>
      </c>
      <c r="L464" t="s">
        <v>120</v>
      </c>
      <c r="M464" t="s">
        <v>385</v>
      </c>
      <c r="N464" t="s">
        <v>43</v>
      </c>
      <c r="O464" t="s">
        <v>30</v>
      </c>
      <c r="P464" t="s">
        <v>31</v>
      </c>
      <c r="Q464">
        <v>8</v>
      </c>
      <c r="V464" t="s">
        <v>36</v>
      </c>
      <c r="W464" t="s">
        <v>2845</v>
      </c>
      <c r="X464" t="s">
        <v>61</v>
      </c>
      <c r="Y464" t="s">
        <v>2846</v>
      </c>
    </row>
    <row r="465" spans="1:25" x14ac:dyDescent="0.2">
      <c r="A465" t="s">
        <v>2923</v>
      </c>
      <c r="B465" s="1">
        <f>VALUE(RIGHT(A465,LEN(A465)-3))</f>
        <v>503</v>
      </c>
      <c r="C465" t="s">
        <v>44</v>
      </c>
      <c r="D465" t="s">
        <v>45</v>
      </c>
      <c r="E465" t="s">
        <v>2925</v>
      </c>
      <c r="F465">
        <v>0</v>
      </c>
      <c r="H465">
        <v>0</v>
      </c>
      <c r="J465" t="s">
        <v>2924</v>
      </c>
      <c r="K465">
        <v>32</v>
      </c>
      <c r="L465" t="s">
        <v>150</v>
      </c>
      <c r="M465" t="s">
        <v>1790</v>
      </c>
      <c r="N465" t="s">
        <v>43</v>
      </c>
      <c r="O465" t="s">
        <v>30</v>
      </c>
      <c r="P465" t="s">
        <v>31</v>
      </c>
      <c r="R465">
        <v>150</v>
      </c>
      <c r="T465">
        <v>600</v>
      </c>
      <c r="V465" t="s">
        <v>36</v>
      </c>
      <c r="W465" t="s">
        <v>181</v>
      </c>
      <c r="X465" t="s">
        <v>61</v>
      </c>
      <c r="Y465" t="s">
        <v>2926</v>
      </c>
    </row>
    <row r="466" spans="1:25" x14ac:dyDescent="0.2">
      <c r="A466" t="s">
        <v>653</v>
      </c>
      <c r="B466" s="1">
        <f>VALUE(RIGHT(A466,LEN(A466)-3))</f>
        <v>94</v>
      </c>
      <c r="C466" t="s">
        <v>44</v>
      </c>
      <c r="D466" t="s">
        <v>45</v>
      </c>
      <c r="E466" t="s">
        <v>656</v>
      </c>
      <c r="F466">
        <v>0</v>
      </c>
      <c r="H466">
        <v>0</v>
      </c>
      <c r="J466" t="s">
        <v>654</v>
      </c>
      <c r="L466" t="s">
        <v>27</v>
      </c>
      <c r="M466" t="s">
        <v>655</v>
      </c>
      <c r="N466" t="s">
        <v>29</v>
      </c>
      <c r="O466" t="s">
        <v>602</v>
      </c>
      <c r="P466" t="s">
        <v>603</v>
      </c>
      <c r="R466">
        <v>1869</v>
      </c>
      <c r="V466" t="s">
        <v>173</v>
      </c>
      <c r="W466" t="s">
        <v>174</v>
      </c>
      <c r="X466" t="s">
        <v>302</v>
      </c>
      <c r="Y466" t="s">
        <v>657</v>
      </c>
    </row>
    <row r="467" spans="1:25" x14ac:dyDescent="0.2">
      <c r="A467" t="s">
        <v>695</v>
      </c>
      <c r="B467" s="1">
        <f>VALUE(RIGHT(A467,LEN(A467)-3))</f>
        <v>102</v>
      </c>
      <c r="C467" t="s">
        <v>44</v>
      </c>
      <c r="D467" t="s">
        <v>45</v>
      </c>
      <c r="E467" t="s">
        <v>698</v>
      </c>
      <c r="F467">
        <v>0</v>
      </c>
      <c r="H467">
        <v>0</v>
      </c>
      <c r="J467" t="s">
        <v>696</v>
      </c>
      <c r="K467">
        <v>27</v>
      </c>
      <c r="L467" t="s">
        <v>551</v>
      </c>
      <c r="M467" t="s">
        <v>697</v>
      </c>
      <c r="N467" t="s">
        <v>43</v>
      </c>
      <c r="O467" t="s">
        <v>602</v>
      </c>
      <c r="P467" t="s">
        <v>603</v>
      </c>
      <c r="V467" t="s">
        <v>242</v>
      </c>
      <c r="W467" t="s">
        <v>699</v>
      </c>
      <c r="X467" t="s">
        <v>700</v>
      </c>
      <c r="Y467" t="s">
        <v>701</v>
      </c>
    </row>
    <row r="468" spans="1:25" x14ac:dyDescent="0.2">
      <c r="A468" t="s">
        <v>804</v>
      </c>
      <c r="B468" s="1">
        <f>VALUE(RIGHT(A468,LEN(A468)-3))</f>
        <v>120</v>
      </c>
      <c r="C468" t="s">
        <v>44</v>
      </c>
      <c r="D468" t="s">
        <v>45</v>
      </c>
      <c r="E468" t="s">
        <v>807</v>
      </c>
      <c r="F468">
        <v>0</v>
      </c>
      <c r="H468">
        <v>0</v>
      </c>
      <c r="J468" t="s">
        <v>805</v>
      </c>
      <c r="K468">
        <v>45</v>
      </c>
      <c r="L468" t="s">
        <v>806</v>
      </c>
      <c r="M468" t="s">
        <v>259</v>
      </c>
      <c r="N468" t="s">
        <v>43</v>
      </c>
      <c r="O468" t="s">
        <v>602</v>
      </c>
      <c r="P468" t="s">
        <v>603</v>
      </c>
      <c r="V468" t="s">
        <v>200</v>
      </c>
      <c r="W468" t="s">
        <v>201</v>
      </c>
      <c r="X468" t="s">
        <v>61</v>
      </c>
      <c r="Y468" t="s">
        <v>808</v>
      </c>
    </row>
    <row r="469" spans="1:25" x14ac:dyDescent="0.2">
      <c r="A469" t="s">
        <v>1027</v>
      </c>
      <c r="B469" s="1">
        <f>VALUE(RIGHT(A469,LEN(A469)-3))</f>
        <v>159</v>
      </c>
      <c r="C469" t="s">
        <v>44</v>
      </c>
      <c r="D469" t="s">
        <v>45</v>
      </c>
      <c r="E469" t="s">
        <v>1029</v>
      </c>
      <c r="F469">
        <v>0</v>
      </c>
      <c r="H469">
        <v>0</v>
      </c>
      <c r="J469" t="s">
        <v>1028</v>
      </c>
      <c r="L469" t="s">
        <v>338</v>
      </c>
      <c r="M469" t="s">
        <v>100</v>
      </c>
      <c r="N469" t="s">
        <v>43</v>
      </c>
      <c r="O469" t="s">
        <v>602</v>
      </c>
      <c r="P469" t="s">
        <v>603</v>
      </c>
      <c r="V469" t="s">
        <v>242</v>
      </c>
      <c r="W469" t="s">
        <v>492</v>
      </c>
      <c r="X469" t="s">
        <v>61</v>
      </c>
      <c r="Y469" t="s">
        <v>1030</v>
      </c>
    </row>
    <row r="470" spans="1:25" x14ac:dyDescent="0.2">
      <c r="A470" t="s">
        <v>1083</v>
      </c>
      <c r="B470" s="1">
        <f>VALUE(RIGHT(A470,LEN(A470)-3))</f>
        <v>169</v>
      </c>
      <c r="C470" t="s">
        <v>44</v>
      </c>
      <c r="D470" t="s">
        <v>45</v>
      </c>
      <c r="E470" t="s">
        <v>1085</v>
      </c>
      <c r="F470">
        <v>0</v>
      </c>
      <c r="H470">
        <v>0</v>
      </c>
      <c r="J470" t="s">
        <v>1084</v>
      </c>
      <c r="K470">
        <v>31</v>
      </c>
      <c r="L470" t="s">
        <v>178</v>
      </c>
      <c r="M470" t="s">
        <v>259</v>
      </c>
      <c r="N470" t="s">
        <v>43</v>
      </c>
      <c r="O470" t="s">
        <v>602</v>
      </c>
      <c r="P470" t="s">
        <v>603</v>
      </c>
      <c r="R470">
        <v>400</v>
      </c>
      <c r="V470" t="s">
        <v>200</v>
      </c>
      <c r="W470" t="s">
        <v>201</v>
      </c>
      <c r="X470" t="s">
        <v>61</v>
      </c>
      <c r="Y470" t="s">
        <v>1086</v>
      </c>
    </row>
    <row r="471" spans="1:25" x14ac:dyDescent="0.2">
      <c r="A471" t="s">
        <v>1493</v>
      </c>
      <c r="B471" s="1">
        <f>VALUE(RIGHT(A471,LEN(A471)-3))</f>
        <v>244</v>
      </c>
      <c r="C471" t="s">
        <v>44</v>
      </c>
      <c r="D471" t="s">
        <v>45</v>
      </c>
      <c r="E471" t="s">
        <v>1496</v>
      </c>
      <c r="F471">
        <v>0</v>
      </c>
      <c r="H471">
        <v>0</v>
      </c>
      <c r="J471" t="s">
        <v>1494</v>
      </c>
      <c r="L471" t="s">
        <v>27</v>
      </c>
      <c r="M471" t="s">
        <v>1495</v>
      </c>
      <c r="N471" t="s">
        <v>43</v>
      </c>
      <c r="O471" t="s">
        <v>602</v>
      </c>
      <c r="P471" t="s">
        <v>603</v>
      </c>
      <c r="V471" t="s">
        <v>36</v>
      </c>
      <c r="W471" t="s">
        <v>1497</v>
      </c>
      <c r="X471" t="s">
        <v>329</v>
      </c>
      <c r="Y471" t="s">
        <v>1498</v>
      </c>
    </row>
    <row r="472" spans="1:25" x14ac:dyDescent="0.2">
      <c r="A472" t="s">
        <v>1620</v>
      </c>
      <c r="B472" s="1">
        <f>VALUE(RIGHT(A472,LEN(A472)-3))</f>
        <v>268</v>
      </c>
      <c r="C472" t="s">
        <v>44</v>
      </c>
      <c r="D472" t="s">
        <v>45</v>
      </c>
      <c r="E472" t="s">
        <v>1623</v>
      </c>
      <c r="F472">
        <v>0</v>
      </c>
      <c r="H472">
        <v>0</v>
      </c>
      <c r="J472" t="s">
        <v>1621</v>
      </c>
      <c r="L472" t="s">
        <v>150</v>
      </c>
      <c r="M472" t="s">
        <v>552</v>
      </c>
      <c r="N472" t="s">
        <v>43</v>
      </c>
      <c r="O472" t="s">
        <v>4154</v>
      </c>
      <c r="P472" t="s">
        <v>1622</v>
      </c>
      <c r="Q472">
        <v>1</v>
      </c>
      <c r="R472">
        <v>600</v>
      </c>
      <c r="T472">
        <v>6950</v>
      </c>
      <c r="V472" t="s">
        <v>242</v>
      </c>
      <c r="W472" t="s">
        <v>47</v>
      </c>
      <c r="X472" t="s">
        <v>61</v>
      </c>
      <c r="Y472" t="s">
        <v>1624</v>
      </c>
    </row>
    <row r="473" spans="1:25" x14ac:dyDescent="0.2">
      <c r="A473" t="s">
        <v>2048</v>
      </c>
      <c r="B473" s="1">
        <f>VALUE(RIGHT(A473,LEN(A473)-3))</f>
        <v>347</v>
      </c>
      <c r="C473" t="s">
        <v>44</v>
      </c>
      <c r="D473" t="s">
        <v>45</v>
      </c>
      <c r="E473" t="s">
        <v>2050</v>
      </c>
      <c r="F473">
        <v>0</v>
      </c>
      <c r="H473">
        <v>0</v>
      </c>
      <c r="J473" t="s">
        <v>2049</v>
      </c>
      <c r="K473">
        <v>38</v>
      </c>
      <c r="L473" t="s">
        <v>52</v>
      </c>
      <c r="M473" t="s">
        <v>259</v>
      </c>
      <c r="N473" t="s">
        <v>43</v>
      </c>
      <c r="O473" t="s">
        <v>602</v>
      </c>
      <c r="P473" t="s">
        <v>1701</v>
      </c>
      <c r="V473" t="s">
        <v>173</v>
      </c>
      <c r="W473" t="s">
        <v>194</v>
      </c>
      <c r="X473" t="s">
        <v>182</v>
      </c>
      <c r="Y473" t="s">
        <v>2051</v>
      </c>
    </row>
    <row r="474" spans="1:25" x14ac:dyDescent="0.2">
      <c r="A474" t="s">
        <v>2170</v>
      </c>
      <c r="B474" s="1">
        <f>VALUE(RIGHT(A474,LEN(A474)-3))</f>
        <v>370</v>
      </c>
      <c r="C474" t="s">
        <v>44</v>
      </c>
      <c r="D474" t="s">
        <v>45</v>
      </c>
      <c r="E474" t="s">
        <v>2173</v>
      </c>
      <c r="F474">
        <v>0</v>
      </c>
      <c r="H474">
        <v>0</v>
      </c>
      <c r="J474" t="s">
        <v>2171</v>
      </c>
      <c r="K474">
        <v>37</v>
      </c>
      <c r="L474" t="s">
        <v>722</v>
      </c>
      <c r="M474" t="s">
        <v>259</v>
      </c>
      <c r="N474" t="s">
        <v>43</v>
      </c>
      <c r="O474" t="s">
        <v>602</v>
      </c>
      <c r="P474" t="s">
        <v>2172</v>
      </c>
      <c r="Q474">
        <v>1</v>
      </c>
      <c r="R474">
        <v>60</v>
      </c>
      <c r="T474">
        <v>400</v>
      </c>
      <c r="V474" t="s">
        <v>242</v>
      </c>
      <c r="W474" t="s">
        <v>2174</v>
      </c>
      <c r="X474" t="s">
        <v>2175</v>
      </c>
      <c r="Y474" t="s">
        <v>2176</v>
      </c>
    </row>
    <row r="475" spans="1:25" x14ac:dyDescent="0.2">
      <c r="A475" t="s">
        <v>2224</v>
      </c>
      <c r="B475" s="1">
        <f>VALUE(RIGHT(A475,LEN(A475)-3))</f>
        <v>379</v>
      </c>
      <c r="C475" t="s">
        <v>44</v>
      </c>
      <c r="D475" t="s">
        <v>45</v>
      </c>
      <c r="E475" t="s">
        <v>2226</v>
      </c>
      <c r="F475">
        <v>0</v>
      </c>
      <c r="H475">
        <v>0</v>
      </c>
      <c r="J475" t="s">
        <v>2225</v>
      </c>
      <c r="K475">
        <v>56</v>
      </c>
      <c r="L475" t="s">
        <v>178</v>
      </c>
      <c r="M475" t="s">
        <v>300</v>
      </c>
      <c r="N475" t="s">
        <v>43</v>
      </c>
      <c r="O475" t="s">
        <v>4154</v>
      </c>
      <c r="P475" t="s">
        <v>1934</v>
      </c>
      <c r="Q475">
        <v>15</v>
      </c>
      <c r="R475">
        <v>1800</v>
      </c>
      <c r="S475">
        <v>500</v>
      </c>
      <c r="T475">
        <v>500</v>
      </c>
      <c r="V475" t="s">
        <v>103</v>
      </c>
      <c r="W475" t="s">
        <v>2227</v>
      </c>
      <c r="X475" t="s">
        <v>61</v>
      </c>
      <c r="Y475" t="s">
        <v>2228</v>
      </c>
    </row>
    <row r="476" spans="1:25" x14ac:dyDescent="0.2">
      <c r="A476" t="s">
        <v>2414</v>
      </c>
      <c r="B476" s="1">
        <f>VALUE(RIGHT(A476,LEN(A476)-3))</f>
        <v>409</v>
      </c>
      <c r="C476" t="s">
        <v>44</v>
      </c>
      <c r="D476" t="s">
        <v>45</v>
      </c>
      <c r="E476" t="s">
        <v>2416</v>
      </c>
      <c r="F476">
        <v>0</v>
      </c>
      <c r="H476">
        <v>0</v>
      </c>
      <c r="J476" t="s">
        <v>2415</v>
      </c>
      <c r="K476">
        <v>47</v>
      </c>
      <c r="L476" t="s">
        <v>27</v>
      </c>
      <c r="M476" t="s">
        <v>2298</v>
      </c>
      <c r="N476" t="s">
        <v>43</v>
      </c>
      <c r="O476" t="s">
        <v>4154</v>
      </c>
      <c r="P476" t="s">
        <v>2086</v>
      </c>
      <c r="Q476">
        <v>11</v>
      </c>
      <c r="R476">
        <v>300</v>
      </c>
      <c r="T476">
        <v>1000</v>
      </c>
      <c r="V476" t="s">
        <v>242</v>
      </c>
      <c r="W476" t="s">
        <v>2417</v>
      </c>
      <c r="X476" t="s">
        <v>613</v>
      </c>
      <c r="Y476" t="s">
        <v>2418</v>
      </c>
    </row>
    <row r="477" spans="1:25" x14ac:dyDescent="0.2">
      <c r="A477" t="s">
        <v>2452</v>
      </c>
      <c r="B477" s="1">
        <f>VALUE(RIGHT(A477,LEN(A477)-3))</f>
        <v>416</v>
      </c>
      <c r="C477" t="s">
        <v>44</v>
      </c>
      <c r="D477" t="s">
        <v>45</v>
      </c>
      <c r="E477" t="s">
        <v>2455</v>
      </c>
      <c r="F477">
        <v>0</v>
      </c>
      <c r="H477">
        <v>0</v>
      </c>
      <c r="J477" t="s">
        <v>2453</v>
      </c>
      <c r="K477">
        <v>37</v>
      </c>
      <c r="L477" t="s">
        <v>178</v>
      </c>
      <c r="M477" t="s">
        <v>385</v>
      </c>
      <c r="N477" t="s">
        <v>43</v>
      </c>
      <c r="O477" t="s">
        <v>4154</v>
      </c>
      <c r="P477" t="s">
        <v>2454</v>
      </c>
      <c r="Q477">
        <v>8</v>
      </c>
      <c r="R477">
        <v>500</v>
      </c>
      <c r="T477">
        <v>700</v>
      </c>
      <c r="V477" t="s">
        <v>242</v>
      </c>
      <c r="W477" t="s">
        <v>2456</v>
      </c>
      <c r="X477" t="s">
        <v>182</v>
      </c>
      <c r="Y477" t="s">
        <v>2457</v>
      </c>
    </row>
    <row r="478" spans="1:25" x14ac:dyDescent="0.2">
      <c r="A478" t="s">
        <v>2847</v>
      </c>
      <c r="B478" s="1">
        <f>VALUE(RIGHT(A478,LEN(A478)-3))</f>
        <v>488</v>
      </c>
      <c r="C478" t="s">
        <v>44</v>
      </c>
      <c r="D478" t="s">
        <v>45</v>
      </c>
      <c r="E478" t="s">
        <v>2849</v>
      </c>
      <c r="F478">
        <v>0</v>
      </c>
      <c r="H478">
        <v>0</v>
      </c>
      <c r="J478" t="s">
        <v>2848</v>
      </c>
      <c r="K478">
        <v>64</v>
      </c>
      <c r="L478" t="s">
        <v>178</v>
      </c>
      <c r="M478" t="s">
        <v>300</v>
      </c>
      <c r="N478" t="s">
        <v>43</v>
      </c>
      <c r="O478" t="s">
        <v>4154</v>
      </c>
      <c r="P478" t="s">
        <v>1934</v>
      </c>
      <c r="Q478">
        <v>20</v>
      </c>
      <c r="V478" t="s">
        <v>103</v>
      </c>
      <c r="W478" t="s">
        <v>104</v>
      </c>
      <c r="X478" t="s">
        <v>61</v>
      </c>
      <c r="Y478" t="s">
        <v>2850</v>
      </c>
    </row>
    <row r="479" spans="1:25" x14ac:dyDescent="0.2">
      <c r="A479" t="s">
        <v>2870</v>
      </c>
      <c r="B479" s="1">
        <f>VALUE(RIGHT(A479,LEN(A479)-3))</f>
        <v>493</v>
      </c>
      <c r="C479" t="s">
        <v>44</v>
      </c>
      <c r="D479" t="s">
        <v>45</v>
      </c>
      <c r="E479" t="s">
        <v>2871</v>
      </c>
      <c r="F479">
        <v>0</v>
      </c>
      <c r="H479">
        <v>0</v>
      </c>
      <c r="J479" t="s">
        <v>2866</v>
      </c>
      <c r="K479">
        <v>33</v>
      </c>
      <c r="L479" t="s">
        <v>52</v>
      </c>
      <c r="M479" t="s">
        <v>151</v>
      </c>
      <c r="N479" t="s">
        <v>43</v>
      </c>
      <c r="O479" t="s">
        <v>602</v>
      </c>
      <c r="P479" t="s">
        <v>2097</v>
      </c>
      <c r="Q479">
        <v>6</v>
      </c>
      <c r="R479">
        <v>700</v>
      </c>
      <c r="V479" t="s">
        <v>242</v>
      </c>
      <c r="W479" t="s">
        <v>194</v>
      </c>
      <c r="X479" t="s">
        <v>194</v>
      </c>
      <c r="Y479" t="s">
        <v>2872</v>
      </c>
    </row>
    <row r="480" spans="1:25" x14ac:dyDescent="0.2">
      <c r="A480" t="s">
        <v>2953</v>
      </c>
      <c r="B480" s="1">
        <f>VALUE(RIGHT(A480,LEN(A480)-3))</f>
        <v>508</v>
      </c>
      <c r="C480" t="s">
        <v>44</v>
      </c>
      <c r="D480" t="s">
        <v>45</v>
      </c>
      <c r="E480" t="s">
        <v>2955</v>
      </c>
      <c r="F480">
        <v>0</v>
      </c>
      <c r="H480">
        <v>0</v>
      </c>
      <c r="J480" t="s">
        <v>2954</v>
      </c>
      <c r="K480">
        <v>53</v>
      </c>
      <c r="L480" t="s">
        <v>178</v>
      </c>
      <c r="M480" t="s">
        <v>1050</v>
      </c>
      <c r="N480" t="s">
        <v>43</v>
      </c>
      <c r="O480" t="s">
        <v>602</v>
      </c>
      <c r="P480" t="s">
        <v>2444</v>
      </c>
      <c r="Q480">
        <v>8</v>
      </c>
      <c r="R480">
        <v>50</v>
      </c>
      <c r="S480">
        <v>1200</v>
      </c>
      <c r="T480">
        <v>200</v>
      </c>
      <c r="U480">
        <v>600</v>
      </c>
      <c r="V480" t="s">
        <v>36</v>
      </c>
      <c r="W480" t="s">
        <v>308</v>
      </c>
      <c r="X480" t="s">
        <v>48</v>
      </c>
      <c r="Y480" t="s">
        <v>2956</v>
      </c>
    </row>
    <row r="481" spans="1:25" x14ac:dyDescent="0.2">
      <c r="A481" t="s">
        <v>2458</v>
      </c>
      <c r="B481" s="1">
        <f>VALUE(RIGHT(A481,LEN(A481)-3))</f>
        <v>417</v>
      </c>
      <c r="C481" t="s">
        <v>44</v>
      </c>
      <c r="D481" t="s">
        <v>45</v>
      </c>
      <c r="E481" t="s">
        <v>2460</v>
      </c>
      <c r="F481">
        <v>0</v>
      </c>
      <c r="H481">
        <v>0</v>
      </c>
      <c r="J481" t="s">
        <v>2459</v>
      </c>
      <c r="L481" t="s">
        <v>27</v>
      </c>
      <c r="M481" t="s">
        <v>2389</v>
      </c>
      <c r="N481" t="s">
        <v>43</v>
      </c>
      <c r="O481" t="s">
        <v>2305</v>
      </c>
      <c r="V481" t="s">
        <v>103</v>
      </c>
      <c r="W481" t="s">
        <v>194</v>
      </c>
      <c r="X481" t="s">
        <v>194</v>
      </c>
      <c r="Y481" t="s">
        <v>2461</v>
      </c>
    </row>
    <row r="482" spans="1:25" x14ac:dyDescent="0.2">
      <c r="A482" t="s">
        <v>2507</v>
      </c>
      <c r="B482" s="1">
        <f>VALUE(RIGHT(A482,LEN(A482)-3))</f>
        <v>426</v>
      </c>
      <c r="C482" t="s">
        <v>44</v>
      </c>
      <c r="D482" t="s">
        <v>45</v>
      </c>
      <c r="E482" t="s">
        <v>2509</v>
      </c>
      <c r="F482">
        <v>0</v>
      </c>
      <c r="H482">
        <v>0</v>
      </c>
      <c r="J482" t="s">
        <v>2503</v>
      </c>
      <c r="K482">
        <v>48</v>
      </c>
      <c r="L482" t="s">
        <v>27</v>
      </c>
      <c r="M482" t="s">
        <v>2508</v>
      </c>
      <c r="N482" t="s">
        <v>54</v>
      </c>
      <c r="O482" t="s">
        <v>2305</v>
      </c>
      <c r="Q482">
        <v>3</v>
      </c>
      <c r="V482" t="s">
        <v>200</v>
      </c>
      <c r="W482" t="s">
        <v>194</v>
      </c>
      <c r="X482" t="s">
        <v>194</v>
      </c>
    </row>
    <row r="483" spans="1:25" x14ac:dyDescent="0.2">
      <c r="A483" t="s">
        <v>517</v>
      </c>
      <c r="B483" s="1">
        <f>VALUE(RIGHT(A483,LEN(A483)-3))</f>
        <v>72</v>
      </c>
      <c r="C483" t="s">
        <v>44</v>
      </c>
      <c r="D483" t="s">
        <v>45</v>
      </c>
      <c r="E483" t="s">
        <v>521</v>
      </c>
      <c r="F483">
        <v>0</v>
      </c>
      <c r="H483">
        <v>0</v>
      </c>
      <c r="J483" t="s">
        <v>518</v>
      </c>
      <c r="L483" t="s">
        <v>99</v>
      </c>
      <c r="M483" t="s">
        <v>519</v>
      </c>
      <c r="N483" t="s">
        <v>43</v>
      </c>
      <c r="O483" t="s">
        <v>503</v>
      </c>
      <c r="P483" t="s">
        <v>520</v>
      </c>
      <c r="V483" t="s">
        <v>200</v>
      </c>
      <c r="W483" t="s">
        <v>201</v>
      </c>
      <c r="X483" t="s">
        <v>48</v>
      </c>
      <c r="Y483" t="s">
        <v>522</v>
      </c>
    </row>
    <row r="484" spans="1:25" x14ac:dyDescent="0.2">
      <c r="A484" t="s">
        <v>582</v>
      </c>
      <c r="B484" s="1">
        <f>VALUE(RIGHT(A484,LEN(A484)-3))</f>
        <v>83</v>
      </c>
      <c r="C484" t="s">
        <v>44</v>
      </c>
      <c r="D484" t="s">
        <v>45</v>
      </c>
      <c r="E484" t="s">
        <v>585</v>
      </c>
      <c r="F484">
        <v>0</v>
      </c>
      <c r="H484">
        <v>0</v>
      </c>
      <c r="J484" t="s">
        <v>583</v>
      </c>
      <c r="K484">
        <v>32</v>
      </c>
      <c r="L484" t="s">
        <v>27</v>
      </c>
      <c r="M484" t="s">
        <v>584</v>
      </c>
      <c r="N484" t="s">
        <v>43</v>
      </c>
      <c r="O484" t="s">
        <v>503</v>
      </c>
      <c r="P484" t="s">
        <v>520</v>
      </c>
      <c r="V484" t="s">
        <v>242</v>
      </c>
      <c r="W484" t="s">
        <v>586</v>
      </c>
      <c r="X484" t="s">
        <v>61</v>
      </c>
      <c r="Y484" t="s">
        <v>587</v>
      </c>
    </row>
    <row r="485" spans="1:25" x14ac:dyDescent="0.2">
      <c r="A485" t="s">
        <v>594</v>
      </c>
      <c r="B485" s="1">
        <f>VALUE(RIGHT(A485,LEN(A485)-3))</f>
        <v>85</v>
      </c>
      <c r="C485" t="s">
        <v>44</v>
      </c>
      <c r="D485" t="s">
        <v>45</v>
      </c>
      <c r="E485" t="s">
        <v>597</v>
      </c>
      <c r="F485">
        <v>0</v>
      </c>
      <c r="H485">
        <v>0</v>
      </c>
      <c r="J485" t="s">
        <v>595</v>
      </c>
      <c r="L485" t="s">
        <v>120</v>
      </c>
      <c r="M485" t="s">
        <v>596</v>
      </c>
      <c r="N485" t="s">
        <v>54</v>
      </c>
      <c r="O485" t="s">
        <v>503</v>
      </c>
      <c r="P485" t="s">
        <v>520</v>
      </c>
      <c r="R485">
        <v>1200</v>
      </c>
      <c r="V485" t="s">
        <v>36</v>
      </c>
      <c r="W485" t="s">
        <v>188</v>
      </c>
      <c r="X485" t="s">
        <v>598</v>
      </c>
      <c r="Y485" t="s">
        <v>599</v>
      </c>
    </row>
    <row r="486" spans="1:25" x14ac:dyDescent="0.2">
      <c r="A486" t="s">
        <v>836</v>
      </c>
      <c r="B486" s="1">
        <f>VALUE(RIGHT(A486,LEN(A486)-3))</f>
        <v>126</v>
      </c>
      <c r="C486" t="s">
        <v>44</v>
      </c>
      <c r="D486" t="s">
        <v>45</v>
      </c>
      <c r="E486" t="s">
        <v>838</v>
      </c>
      <c r="F486">
        <v>0</v>
      </c>
      <c r="H486">
        <v>0</v>
      </c>
      <c r="J486" t="s">
        <v>837</v>
      </c>
      <c r="L486" t="s">
        <v>338</v>
      </c>
      <c r="M486" t="s">
        <v>100</v>
      </c>
      <c r="N486" t="s">
        <v>43</v>
      </c>
      <c r="O486" t="s">
        <v>503</v>
      </c>
      <c r="P486" t="s">
        <v>520</v>
      </c>
      <c r="V486" t="s">
        <v>242</v>
      </c>
      <c r="W486" t="s">
        <v>194</v>
      </c>
      <c r="X486" t="s">
        <v>194</v>
      </c>
      <c r="Y486" t="s">
        <v>839</v>
      </c>
    </row>
    <row r="487" spans="1:25" x14ac:dyDescent="0.2">
      <c r="A487" t="s">
        <v>869</v>
      </c>
      <c r="B487" s="1">
        <f>VALUE(RIGHT(A487,LEN(A487)-3))</f>
        <v>132</v>
      </c>
      <c r="C487" t="s">
        <v>44</v>
      </c>
      <c r="D487" t="s">
        <v>45</v>
      </c>
      <c r="E487" t="s">
        <v>871</v>
      </c>
      <c r="F487">
        <v>0</v>
      </c>
      <c r="H487">
        <v>0</v>
      </c>
      <c r="J487" t="s">
        <v>864</v>
      </c>
      <c r="L487" t="s">
        <v>338</v>
      </c>
      <c r="M487" t="s">
        <v>259</v>
      </c>
      <c r="N487" t="s">
        <v>43</v>
      </c>
      <c r="O487" t="s">
        <v>503</v>
      </c>
      <c r="P487" t="s">
        <v>870</v>
      </c>
      <c r="V487" t="s">
        <v>242</v>
      </c>
      <c r="W487" t="s">
        <v>194</v>
      </c>
      <c r="X487" t="s">
        <v>194</v>
      </c>
      <c r="Y487" t="s">
        <v>872</v>
      </c>
    </row>
    <row r="488" spans="1:25" x14ac:dyDescent="0.2">
      <c r="A488" t="s">
        <v>879</v>
      </c>
      <c r="B488" s="1">
        <f>VALUE(RIGHT(A488,LEN(A488)-3))</f>
        <v>134</v>
      </c>
      <c r="C488" t="s">
        <v>44</v>
      </c>
      <c r="D488" t="s">
        <v>45</v>
      </c>
      <c r="E488" t="s">
        <v>881</v>
      </c>
      <c r="F488">
        <v>0</v>
      </c>
      <c r="H488">
        <v>0</v>
      </c>
      <c r="J488" t="s">
        <v>880</v>
      </c>
      <c r="L488" t="s">
        <v>338</v>
      </c>
      <c r="M488" t="s">
        <v>100</v>
      </c>
      <c r="N488" t="s">
        <v>43</v>
      </c>
      <c r="O488" t="s">
        <v>503</v>
      </c>
      <c r="P488" t="s">
        <v>520</v>
      </c>
      <c r="V488" t="s">
        <v>242</v>
      </c>
      <c r="W488" t="s">
        <v>882</v>
      </c>
      <c r="X488" t="s">
        <v>883</v>
      </c>
      <c r="Y488" t="s">
        <v>884</v>
      </c>
    </row>
    <row r="489" spans="1:25" x14ac:dyDescent="0.2">
      <c r="A489" t="s">
        <v>943</v>
      </c>
      <c r="B489" s="1">
        <f>VALUE(RIGHT(A489,LEN(A489)-3))</f>
        <v>144</v>
      </c>
      <c r="C489" t="s">
        <v>44</v>
      </c>
      <c r="D489" t="s">
        <v>45</v>
      </c>
      <c r="E489" t="s">
        <v>945</v>
      </c>
      <c r="F489">
        <v>0</v>
      </c>
      <c r="H489">
        <v>0</v>
      </c>
      <c r="J489" t="s">
        <v>944</v>
      </c>
      <c r="L489" t="s">
        <v>52</v>
      </c>
      <c r="M489" t="s">
        <v>259</v>
      </c>
      <c r="N489" t="s">
        <v>43</v>
      </c>
      <c r="O489" t="s">
        <v>503</v>
      </c>
      <c r="P489" t="s">
        <v>520</v>
      </c>
      <c r="V489" t="s">
        <v>103</v>
      </c>
      <c r="W489" t="s">
        <v>104</v>
      </c>
      <c r="X489" t="s">
        <v>194</v>
      </c>
    </row>
    <row r="490" spans="1:25" x14ac:dyDescent="0.2">
      <c r="A490" t="s">
        <v>959</v>
      </c>
      <c r="B490" s="1">
        <f>VALUE(RIGHT(A490,LEN(A490)-3))</f>
        <v>147</v>
      </c>
      <c r="C490" t="s">
        <v>44</v>
      </c>
      <c r="D490" t="s">
        <v>45</v>
      </c>
      <c r="E490" t="s">
        <v>962</v>
      </c>
      <c r="F490">
        <v>0</v>
      </c>
      <c r="H490">
        <v>0</v>
      </c>
      <c r="J490" t="s">
        <v>960</v>
      </c>
      <c r="L490" t="s">
        <v>150</v>
      </c>
      <c r="M490" t="s">
        <v>961</v>
      </c>
      <c r="N490" t="s">
        <v>43</v>
      </c>
      <c r="O490" t="s">
        <v>503</v>
      </c>
      <c r="P490" t="s">
        <v>520</v>
      </c>
      <c r="V490" t="s">
        <v>242</v>
      </c>
      <c r="W490" t="s">
        <v>963</v>
      </c>
      <c r="X490" t="s">
        <v>61</v>
      </c>
      <c r="Y490" t="s">
        <v>964</v>
      </c>
    </row>
    <row r="491" spans="1:25" x14ac:dyDescent="0.2">
      <c r="A491" t="s">
        <v>1072</v>
      </c>
      <c r="B491" s="1">
        <f>VALUE(RIGHT(A491,LEN(A491)-3))</f>
        <v>167</v>
      </c>
      <c r="C491" t="s">
        <v>44</v>
      </c>
      <c r="D491" t="s">
        <v>45</v>
      </c>
      <c r="E491" t="s">
        <v>1074</v>
      </c>
      <c r="F491">
        <v>0</v>
      </c>
      <c r="H491">
        <v>0</v>
      </c>
      <c r="J491" t="s">
        <v>1073</v>
      </c>
      <c r="L491" t="s">
        <v>178</v>
      </c>
      <c r="M491" t="s">
        <v>490</v>
      </c>
      <c r="N491" t="s">
        <v>43</v>
      </c>
      <c r="O491" t="s">
        <v>503</v>
      </c>
      <c r="P491" t="s">
        <v>520</v>
      </c>
      <c r="V491" t="s">
        <v>242</v>
      </c>
      <c r="W491" t="s">
        <v>681</v>
      </c>
      <c r="X491" t="s">
        <v>61</v>
      </c>
      <c r="Y491" t="s">
        <v>1075</v>
      </c>
    </row>
    <row r="492" spans="1:25" x14ac:dyDescent="0.2">
      <c r="A492" t="s">
        <v>1108</v>
      </c>
      <c r="B492" s="1">
        <f>VALUE(RIGHT(A492,LEN(A492)-3))</f>
        <v>173</v>
      </c>
      <c r="C492" t="s">
        <v>44</v>
      </c>
      <c r="D492" t="s">
        <v>45</v>
      </c>
      <c r="E492" t="s">
        <v>1112</v>
      </c>
      <c r="F492">
        <v>0</v>
      </c>
      <c r="H492">
        <v>0</v>
      </c>
      <c r="J492" t="s">
        <v>1109</v>
      </c>
      <c r="L492" t="s">
        <v>178</v>
      </c>
      <c r="M492" t="s">
        <v>1110</v>
      </c>
      <c r="N492" t="s">
        <v>43</v>
      </c>
      <c r="O492" t="s">
        <v>503</v>
      </c>
      <c r="P492" t="s">
        <v>1111</v>
      </c>
      <c r="V492" t="s">
        <v>889</v>
      </c>
      <c r="W492" t="s">
        <v>786</v>
      </c>
      <c r="X492" t="s">
        <v>61</v>
      </c>
      <c r="Y492" t="s">
        <v>1113</v>
      </c>
    </row>
    <row r="493" spans="1:25" x14ac:dyDescent="0.2">
      <c r="A493" t="s">
        <v>1125</v>
      </c>
      <c r="B493" s="1">
        <f>VALUE(RIGHT(A493,LEN(A493)-3))</f>
        <v>176</v>
      </c>
      <c r="C493" t="s">
        <v>44</v>
      </c>
      <c r="D493" t="s">
        <v>45</v>
      </c>
      <c r="E493" t="s">
        <v>1127</v>
      </c>
      <c r="F493">
        <v>0</v>
      </c>
      <c r="H493">
        <v>0</v>
      </c>
      <c r="J493" t="s">
        <v>1126</v>
      </c>
      <c r="L493" t="s">
        <v>217</v>
      </c>
      <c r="M493" t="s">
        <v>552</v>
      </c>
      <c r="N493" t="s">
        <v>43</v>
      </c>
      <c r="O493" t="s">
        <v>503</v>
      </c>
      <c r="P493" t="s">
        <v>1051</v>
      </c>
      <c r="V493" t="s">
        <v>242</v>
      </c>
      <c r="W493" t="s">
        <v>47</v>
      </c>
      <c r="X493" t="s">
        <v>61</v>
      </c>
      <c r="Y493" t="s">
        <v>1128</v>
      </c>
    </row>
    <row r="494" spans="1:25" x14ac:dyDescent="0.2">
      <c r="A494" t="s">
        <v>1167</v>
      </c>
      <c r="B494" s="1">
        <f>VALUE(RIGHT(A494,LEN(A494)-3))</f>
        <v>184</v>
      </c>
      <c r="C494" t="s">
        <v>44</v>
      </c>
      <c r="D494" t="s">
        <v>45</v>
      </c>
      <c r="E494" t="s">
        <v>1170</v>
      </c>
      <c r="F494">
        <v>0</v>
      </c>
      <c r="H494">
        <v>0</v>
      </c>
      <c r="J494" t="s">
        <v>1168</v>
      </c>
      <c r="L494" t="s">
        <v>258</v>
      </c>
      <c r="M494" t="s">
        <v>259</v>
      </c>
      <c r="N494" t="s">
        <v>43</v>
      </c>
      <c r="O494" t="s">
        <v>503</v>
      </c>
      <c r="P494" t="s">
        <v>1169</v>
      </c>
      <c r="V494" t="s">
        <v>242</v>
      </c>
      <c r="W494" t="s">
        <v>1171</v>
      </c>
      <c r="X494" t="s">
        <v>235</v>
      </c>
      <c r="Y494" t="s">
        <v>1172</v>
      </c>
    </row>
    <row r="495" spans="1:25" x14ac:dyDescent="0.2">
      <c r="A495" t="s">
        <v>1197</v>
      </c>
      <c r="B495" s="1">
        <f>VALUE(RIGHT(A495,LEN(A495)-3))</f>
        <v>189</v>
      </c>
      <c r="C495" t="s">
        <v>44</v>
      </c>
      <c r="D495" t="s">
        <v>45</v>
      </c>
      <c r="E495" t="s">
        <v>1200</v>
      </c>
      <c r="F495">
        <v>0</v>
      </c>
      <c r="H495">
        <v>0</v>
      </c>
      <c r="J495" t="s">
        <v>1198</v>
      </c>
      <c r="L495" t="s">
        <v>338</v>
      </c>
      <c r="M495" t="s">
        <v>1199</v>
      </c>
      <c r="N495" t="s">
        <v>43</v>
      </c>
      <c r="O495" t="s">
        <v>503</v>
      </c>
      <c r="P495" t="s">
        <v>1187</v>
      </c>
      <c r="V495" t="s">
        <v>242</v>
      </c>
      <c r="W495" t="s">
        <v>1201</v>
      </c>
      <c r="X495" t="s">
        <v>48</v>
      </c>
      <c r="Y495" t="s">
        <v>1202</v>
      </c>
    </row>
    <row r="496" spans="1:25" x14ac:dyDescent="0.2">
      <c r="A496" t="s">
        <v>1269</v>
      </c>
      <c r="B496" s="1">
        <f>VALUE(RIGHT(A496,LEN(A496)-3))</f>
        <v>202</v>
      </c>
      <c r="C496" t="s">
        <v>44</v>
      </c>
      <c r="D496" t="s">
        <v>45</v>
      </c>
      <c r="E496" t="s">
        <v>1272</v>
      </c>
      <c r="F496">
        <v>0</v>
      </c>
      <c r="H496">
        <v>0</v>
      </c>
      <c r="J496" t="s">
        <v>1270</v>
      </c>
      <c r="L496" t="s">
        <v>551</v>
      </c>
      <c r="M496" t="s">
        <v>1271</v>
      </c>
      <c r="N496" t="s">
        <v>43</v>
      </c>
      <c r="O496" t="s">
        <v>503</v>
      </c>
      <c r="P496" t="s">
        <v>520</v>
      </c>
      <c r="V496" t="s">
        <v>242</v>
      </c>
      <c r="W496" t="s">
        <v>1273</v>
      </c>
      <c r="X496" t="s">
        <v>1274</v>
      </c>
      <c r="Y496" t="s">
        <v>1275</v>
      </c>
    </row>
    <row r="497" spans="1:25" x14ac:dyDescent="0.2">
      <c r="A497" t="s">
        <v>1327</v>
      </c>
      <c r="B497" s="1">
        <f>VALUE(RIGHT(A497,LEN(A497)-3))</f>
        <v>212</v>
      </c>
      <c r="C497" t="s">
        <v>44</v>
      </c>
      <c r="D497" t="s">
        <v>45</v>
      </c>
      <c r="E497" t="s">
        <v>1329</v>
      </c>
      <c r="F497">
        <v>0</v>
      </c>
      <c r="H497">
        <v>0</v>
      </c>
      <c r="J497" t="s">
        <v>1328</v>
      </c>
      <c r="L497" t="s">
        <v>1223</v>
      </c>
      <c r="M497" t="s">
        <v>1137</v>
      </c>
      <c r="N497" t="s">
        <v>43</v>
      </c>
      <c r="O497" t="s">
        <v>503</v>
      </c>
      <c r="P497" t="s">
        <v>520</v>
      </c>
      <c r="V497" t="s">
        <v>242</v>
      </c>
      <c r="W497" t="s">
        <v>47</v>
      </c>
      <c r="X497" t="s">
        <v>48</v>
      </c>
      <c r="Y497" t="s">
        <v>1330</v>
      </c>
    </row>
    <row r="498" spans="1:25" x14ac:dyDescent="0.2">
      <c r="A498" t="s">
        <v>1336</v>
      </c>
      <c r="B498" s="1">
        <f>VALUE(RIGHT(A498,LEN(A498)-3))</f>
        <v>214</v>
      </c>
      <c r="C498" t="s">
        <v>44</v>
      </c>
      <c r="D498" t="s">
        <v>45</v>
      </c>
      <c r="E498" t="s">
        <v>1339</v>
      </c>
      <c r="F498">
        <v>0</v>
      </c>
      <c r="H498">
        <v>0</v>
      </c>
      <c r="J498" t="s">
        <v>1337</v>
      </c>
      <c r="L498" t="s">
        <v>127</v>
      </c>
      <c r="M498" t="s">
        <v>151</v>
      </c>
      <c r="N498" t="s">
        <v>43</v>
      </c>
      <c r="O498" t="s">
        <v>503</v>
      </c>
      <c r="P498" t="s">
        <v>1338</v>
      </c>
      <c r="V498" t="s">
        <v>242</v>
      </c>
      <c r="W498" t="s">
        <v>47</v>
      </c>
      <c r="X498" t="s">
        <v>61</v>
      </c>
      <c r="Y498" t="s">
        <v>1340</v>
      </c>
    </row>
    <row r="499" spans="1:25" x14ac:dyDescent="0.2">
      <c r="A499" t="s">
        <v>1389</v>
      </c>
      <c r="B499" s="1">
        <f>VALUE(RIGHT(A499,LEN(A499)-3))</f>
        <v>224</v>
      </c>
      <c r="C499" t="s">
        <v>44</v>
      </c>
      <c r="D499" t="s">
        <v>45</v>
      </c>
      <c r="E499" t="s">
        <v>1392</v>
      </c>
      <c r="F499">
        <v>0</v>
      </c>
      <c r="H499">
        <v>0</v>
      </c>
      <c r="J499" t="s">
        <v>1390</v>
      </c>
      <c r="L499" t="s">
        <v>127</v>
      </c>
      <c r="M499" t="s">
        <v>264</v>
      </c>
      <c r="N499" t="s">
        <v>43</v>
      </c>
      <c r="O499" t="s">
        <v>503</v>
      </c>
      <c r="P499" t="s">
        <v>1391</v>
      </c>
      <c r="V499" t="s">
        <v>242</v>
      </c>
      <c r="W499" t="s">
        <v>1393</v>
      </c>
      <c r="X499" t="s">
        <v>61</v>
      </c>
      <c r="Y499" t="s">
        <v>1394</v>
      </c>
    </row>
    <row r="500" spans="1:25" x14ac:dyDescent="0.2">
      <c r="A500" t="s">
        <v>1409</v>
      </c>
      <c r="B500" s="1">
        <f>VALUE(RIGHT(A500,LEN(A500)-3))</f>
        <v>227</v>
      </c>
      <c r="C500" t="s">
        <v>44</v>
      </c>
      <c r="D500" t="s">
        <v>45</v>
      </c>
      <c r="E500" t="s">
        <v>1411</v>
      </c>
      <c r="F500">
        <v>0</v>
      </c>
      <c r="H500">
        <v>0</v>
      </c>
      <c r="J500" t="s">
        <v>1410</v>
      </c>
      <c r="K500">
        <v>38</v>
      </c>
      <c r="L500" t="s">
        <v>27</v>
      </c>
      <c r="M500" t="s">
        <v>530</v>
      </c>
      <c r="N500" t="s">
        <v>43</v>
      </c>
      <c r="O500" t="s">
        <v>503</v>
      </c>
      <c r="P500" t="s">
        <v>1391</v>
      </c>
      <c r="V500" t="s">
        <v>242</v>
      </c>
      <c r="W500" t="s">
        <v>194</v>
      </c>
      <c r="X500" t="s">
        <v>194</v>
      </c>
      <c r="Y500" t="s">
        <v>1412</v>
      </c>
    </row>
    <row r="501" spans="1:25" x14ac:dyDescent="0.2">
      <c r="A501" t="s">
        <v>1531</v>
      </c>
      <c r="B501" s="1">
        <f>VALUE(RIGHT(A501,LEN(A501)-3))</f>
        <v>250</v>
      </c>
      <c r="C501" t="s">
        <v>44</v>
      </c>
      <c r="D501" t="s">
        <v>45</v>
      </c>
      <c r="E501" t="s">
        <v>1534</v>
      </c>
      <c r="F501">
        <v>0</v>
      </c>
      <c r="H501">
        <v>0</v>
      </c>
      <c r="J501" t="s">
        <v>1532</v>
      </c>
      <c r="L501" t="s">
        <v>27</v>
      </c>
      <c r="M501" t="s">
        <v>1533</v>
      </c>
      <c r="N501" t="s">
        <v>29</v>
      </c>
      <c r="O501" t="s">
        <v>503</v>
      </c>
      <c r="P501" t="s">
        <v>520</v>
      </c>
      <c r="V501" t="s">
        <v>173</v>
      </c>
      <c r="W501" t="s">
        <v>174</v>
      </c>
      <c r="X501" t="s">
        <v>1274</v>
      </c>
    </row>
    <row r="502" spans="1:25" x14ac:dyDescent="0.2">
      <c r="A502" t="s">
        <v>1567</v>
      </c>
      <c r="B502" s="1">
        <f>VALUE(RIGHT(A502,LEN(A502)-3))</f>
        <v>258</v>
      </c>
      <c r="C502" t="s">
        <v>44</v>
      </c>
      <c r="D502" t="s">
        <v>45</v>
      </c>
      <c r="E502" t="s">
        <v>1570</v>
      </c>
      <c r="F502">
        <v>0</v>
      </c>
      <c r="H502">
        <v>0</v>
      </c>
      <c r="J502" t="s">
        <v>1568</v>
      </c>
      <c r="L502" t="s">
        <v>357</v>
      </c>
      <c r="M502" t="s">
        <v>1569</v>
      </c>
      <c r="N502" t="s">
        <v>43</v>
      </c>
      <c r="O502" t="s">
        <v>503</v>
      </c>
      <c r="P502" t="s">
        <v>520</v>
      </c>
      <c r="V502" t="s">
        <v>242</v>
      </c>
      <c r="W502" t="s">
        <v>786</v>
      </c>
      <c r="X502" t="s">
        <v>48</v>
      </c>
      <c r="Y502" t="s">
        <v>1571</v>
      </c>
    </row>
    <row r="503" spans="1:25" x14ac:dyDescent="0.2">
      <c r="A503" t="s">
        <v>1584</v>
      </c>
      <c r="B503" s="1">
        <f>VALUE(RIGHT(A503,LEN(A503)-3))</f>
        <v>261</v>
      </c>
      <c r="C503" t="s">
        <v>44</v>
      </c>
      <c r="D503" t="s">
        <v>45</v>
      </c>
      <c r="E503" t="s">
        <v>1587</v>
      </c>
      <c r="F503">
        <v>0</v>
      </c>
      <c r="H503">
        <v>0</v>
      </c>
      <c r="J503" t="s">
        <v>1585</v>
      </c>
      <c r="K503">
        <v>32</v>
      </c>
      <c r="L503" t="s">
        <v>1586</v>
      </c>
      <c r="M503" t="s">
        <v>519</v>
      </c>
      <c r="N503" t="s">
        <v>43</v>
      </c>
      <c r="O503" t="s">
        <v>503</v>
      </c>
      <c r="P503" t="s">
        <v>520</v>
      </c>
      <c r="V503" t="s">
        <v>103</v>
      </c>
      <c r="W503" t="s">
        <v>1588</v>
      </c>
      <c r="X503" t="s">
        <v>635</v>
      </c>
      <c r="Y503" t="s">
        <v>1589</v>
      </c>
    </row>
    <row r="504" spans="1:25" x14ac:dyDescent="0.2">
      <c r="A504" t="s">
        <v>1590</v>
      </c>
      <c r="B504" s="1">
        <f>VALUE(RIGHT(A504,LEN(A504)-3))</f>
        <v>262</v>
      </c>
      <c r="C504" t="s">
        <v>44</v>
      </c>
      <c r="D504" t="s">
        <v>45</v>
      </c>
      <c r="E504" t="s">
        <v>1592</v>
      </c>
      <c r="F504">
        <v>0</v>
      </c>
      <c r="H504">
        <v>0</v>
      </c>
      <c r="J504" t="s">
        <v>1591</v>
      </c>
      <c r="K504">
        <v>49</v>
      </c>
      <c r="L504" t="s">
        <v>258</v>
      </c>
      <c r="M504" t="s">
        <v>1514</v>
      </c>
      <c r="N504" t="s">
        <v>43</v>
      </c>
      <c r="O504" t="s">
        <v>503</v>
      </c>
      <c r="P504" t="s">
        <v>520</v>
      </c>
      <c r="V504" t="s">
        <v>242</v>
      </c>
      <c r="W504" t="s">
        <v>786</v>
      </c>
      <c r="X504" t="s">
        <v>194</v>
      </c>
      <c r="Y504" t="s">
        <v>1593</v>
      </c>
    </row>
    <row r="505" spans="1:25" x14ac:dyDescent="0.2">
      <c r="A505" t="s">
        <v>1651</v>
      </c>
      <c r="B505" s="1">
        <f>VALUE(RIGHT(A505,LEN(A505)-3))</f>
        <v>274</v>
      </c>
      <c r="C505" t="s">
        <v>44</v>
      </c>
      <c r="D505" t="s">
        <v>45</v>
      </c>
      <c r="E505" t="s">
        <v>1654</v>
      </c>
      <c r="F505">
        <v>0</v>
      </c>
      <c r="H505">
        <v>0</v>
      </c>
      <c r="J505" t="s">
        <v>1652</v>
      </c>
      <c r="K505">
        <v>38</v>
      </c>
      <c r="L505" t="s">
        <v>178</v>
      </c>
      <c r="M505" t="s">
        <v>1653</v>
      </c>
      <c r="N505" t="s">
        <v>43</v>
      </c>
      <c r="O505" t="s">
        <v>503</v>
      </c>
      <c r="P505" t="s">
        <v>520</v>
      </c>
      <c r="V505" t="s">
        <v>242</v>
      </c>
      <c r="W505" t="s">
        <v>1393</v>
      </c>
      <c r="X505" t="s">
        <v>61</v>
      </c>
      <c r="Y505" t="s">
        <v>1655</v>
      </c>
    </row>
    <row r="506" spans="1:25" x14ac:dyDescent="0.2">
      <c r="A506" t="s">
        <v>1668</v>
      </c>
      <c r="B506" s="1">
        <f>VALUE(RIGHT(A506,LEN(A506)-3))</f>
        <v>277</v>
      </c>
      <c r="C506" t="s">
        <v>44</v>
      </c>
      <c r="D506" t="s">
        <v>45</v>
      </c>
      <c r="E506" t="s">
        <v>1670</v>
      </c>
      <c r="F506">
        <v>0</v>
      </c>
      <c r="H506">
        <v>0</v>
      </c>
      <c r="J506" t="s">
        <v>1669</v>
      </c>
      <c r="K506">
        <v>29</v>
      </c>
      <c r="L506" t="s">
        <v>27</v>
      </c>
      <c r="M506" t="s">
        <v>264</v>
      </c>
      <c r="N506" t="s">
        <v>43</v>
      </c>
      <c r="O506" t="s">
        <v>503</v>
      </c>
      <c r="P506" t="s">
        <v>520</v>
      </c>
      <c r="V506" t="s">
        <v>242</v>
      </c>
      <c r="W506" t="s">
        <v>47</v>
      </c>
      <c r="X506" t="s">
        <v>61</v>
      </c>
      <c r="Y506" t="s">
        <v>1671</v>
      </c>
    </row>
    <row r="507" spans="1:25" x14ac:dyDescent="0.2">
      <c r="A507" t="s">
        <v>1694</v>
      </c>
      <c r="B507" s="1">
        <f>VALUE(RIGHT(A507,LEN(A507)-3))</f>
        <v>282</v>
      </c>
      <c r="C507" t="s">
        <v>44</v>
      </c>
      <c r="D507" t="s">
        <v>45</v>
      </c>
      <c r="E507" t="s">
        <v>1697</v>
      </c>
      <c r="F507">
        <v>0</v>
      </c>
      <c r="H507">
        <v>0</v>
      </c>
      <c r="J507" t="s">
        <v>1695</v>
      </c>
      <c r="K507">
        <v>55</v>
      </c>
      <c r="L507" t="s">
        <v>258</v>
      </c>
      <c r="M507" t="s">
        <v>1514</v>
      </c>
      <c r="N507" t="s">
        <v>43</v>
      </c>
      <c r="O507" t="s">
        <v>503</v>
      </c>
      <c r="P507" t="s">
        <v>1696</v>
      </c>
      <c r="V507" t="s">
        <v>36</v>
      </c>
      <c r="W507" t="s">
        <v>188</v>
      </c>
      <c r="X507" t="s">
        <v>61</v>
      </c>
      <c r="Y507" t="s">
        <v>1698</v>
      </c>
    </row>
    <row r="508" spans="1:25" x14ac:dyDescent="0.2">
      <c r="A508" t="s">
        <v>1717</v>
      </c>
      <c r="B508" s="1">
        <f>VALUE(RIGHT(A508,LEN(A508)-3))</f>
        <v>286</v>
      </c>
      <c r="C508" t="s">
        <v>44</v>
      </c>
      <c r="D508" t="s">
        <v>45</v>
      </c>
      <c r="E508" t="s">
        <v>1719</v>
      </c>
      <c r="F508">
        <v>0</v>
      </c>
      <c r="H508">
        <v>0</v>
      </c>
      <c r="J508" t="s">
        <v>1718</v>
      </c>
      <c r="K508">
        <v>33</v>
      </c>
      <c r="L508" t="s">
        <v>150</v>
      </c>
      <c r="M508" t="s">
        <v>1199</v>
      </c>
      <c r="N508" t="s">
        <v>43</v>
      </c>
      <c r="O508" t="s">
        <v>503</v>
      </c>
      <c r="P508" t="s">
        <v>520</v>
      </c>
      <c r="V508" t="s">
        <v>242</v>
      </c>
      <c r="W508" t="s">
        <v>47</v>
      </c>
      <c r="X508" t="s">
        <v>1686</v>
      </c>
      <c r="Y508" t="s">
        <v>1720</v>
      </c>
    </row>
    <row r="509" spans="1:25" x14ac:dyDescent="0.2">
      <c r="A509" t="s">
        <v>1808</v>
      </c>
      <c r="B509" s="1">
        <f>VALUE(RIGHT(A509,LEN(A509)-3))</f>
        <v>303</v>
      </c>
      <c r="C509" t="s">
        <v>44</v>
      </c>
      <c r="D509" t="s">
        <v>45</v>
      </c>
      <c r="E509" t="s">
        <v>1812</v>
      </c>
      <c r="F509">
        <v>0</v>
      </c>
      <c r="H509">
        <v>0</v>
      </c>
      <c r="J509" t="s">
        <v>1809</v>
      </c>
      <c r="K509">
        <v>27</v>
      </c>
      <c r="L509" t="s">
        <v>1810</v>
      </c>
      <c r="M509" t="s">
        <v>1811</v>
      </c>
      <c r="N509" t="s">
        <v>43</v>
      </c>
      <c r="O509" t="s">
        <v>503</v>
      </c>
      <c r="P509" t="s">
        <v>520</v>
      </c>
      <c r="V509" t="s">
        <v>242</v>
      </c>
      <c r="W509" t="s">
        <v>47</v>
      </c>
      <c r="X509" t="s">
        <v>61</v>
      </c>
      <c r="Y509" t="s">
        <v>1813</v>
      </c>
    </row>
    <row r="510" spans="1:25" x14ac:dyDescent="0.2">
      <c r="A510" t="s">
        <v>1851</v>
      </c>
      <c r="B510" s="1">
        <f>VALUE(RIGHT(A510,LEN(A510)-3))</f>
        <v>311</v>
      </c>
      <c r="C510" t="s">
        <v>44</v>
      </c>
      <c r="D510" t="s">
        <v>45</v>
      </c>
      <c r="E510" t="s">
        <v>1853</v>
      </c>
      <c r="F510">
        <v>0</v>
      </c>
      <c r="H510">
        <v>0</v>
      </c>
      <c r="J510" t="s">
        <v>1852</v>
      </c>
      <c r="K510">
        <v>32</v>
      </c>
      <c r="L510" t="s">
        <v>357</v>
      </c>
      <c r="M510" t="s">
        <v>1199</v>
      </c>
      <c r="N510" t="s">
        <v>43</v>
      </c>
      <c r="O510" t="s">
        <v>503</v>
      </c>
      <c r="P510" t="s">
        <v>1832</v>
      </c>
      <c r="V510" t="s">
        <v>367</v>
      </c>
      <c r="W510" t="s">
        <v>368</v>
      </c>
      <c r="X510" t="s">
        <v>48</v>
      </c>
      <c r="Y510" t="s">
        <v>1854</v>
      </c>
    </row>
    <row r="511" spans="1:25" x14ac:dyDescent="0.2">
      <c r="A511" t="s">
        <v>1868</v>
      </c>
      <c r="B511" s="1">
        <f>VALUE(RIGHT(A511,LEN(A511)-3))</f>
        <v>314</v>
      </c>
      <c r="C511" t="s">
        <v>44</v>
      </c>
      <c r="D511" t="s">
        <v>45</v>
      </c>
      <c r="E511" t="s">
        <v>1870</v>
      </c>
      <c r="F511">
        <v>0</v>
      </c>
      <c r="H511">
        <v>0</v>
      </c>
      <c r="J511" t="s">
        <v>1869</v>
      </c>
      <c r="K511">
        <v>29</v>
      </c>
      <c r="L511" t="s">
        <v>127</v>
      </c>
      <c r="M511" t="s">
        <v>1373</v>
      </c>
      <c r="N511" t="s">
        <v>43</v>
      </c>
      <c r="O511" t="s">
        <v>503</v>
      </c>
      <c r="P511" t="s">
        <v>520</v>
      </c>
      <c r="V511" t="s">
        <v>103</v>
      </c>
      <c r="W511" t="s">
        <v>47</v>
      </c>
      <c r="X511" t="s">
        <v>182</v>
      </c>
      <c r="Y511" t="s">
        <v>1871</v>
      </c>
    </row>
    <row r="512" spans="1:25" x14ac:dyDescent="0.2">
      <c r="A512" t="s">
        <v>1872</v>
      </c>
      <c r="B512" s="1">
        <f>VALUE(RIGHT(A512,LEN(A512)-3))</f>
        <v>315</v>
      </c>
      <c r="C512" t="s">
        <v>44</v>
      </c>
      <c r="D512" t="s">
        <v>45</v>
      </c>
      <c r="E512" t="s">
        <v>1874</v>
      </c>
      <c r="F512">
        <v>0</v>
      </c>
      <c r="H512">
        <v>0</v>
      </c>
      <c r="J512" t="s">
        <v>1873</v>
      </c>
      <c r="K512">
        <v>56</v>
      </c>
      <c r="L512" t="s">
        <v>217</v>
      </c>
      <c r="M512" t="s">
        <v>151</v>
      </c>
      <c r="N512" t="s">
        <v>43</v>
      </c>
      <c r="O512" t="s">
        <v>503</v>
      </c>
      <c r="P512" t="s">
        <v>1696</v>
      </c>
      <c r="R512">
        <v>2400</v>
      </c>
      <c r="S512">
        <v>1500</v>
      </c>
      <c r="V512" t="s">
        <v>103</v>
      </c>
      <c r="W512" t="s">
        <v>104</v>
      </c>
      <c r="X512" t="s">
        <v>182</v>
      </c>
      <c r="Y512" t="s">
        <v>1875</v>
      </c>
    </row>
    <row r="513" spans="1:25" x14ac:dyDescent="0.2">
      <c r="A513" t="s">
        <v>1938</v>
      </c>
      <c r="B513" s="1">
        <f>VALUE(RIGHT(A513,LEN(A513)-3))</f>
        <v>327</v>
      </c>
      <c r="C513" t="s">
        <v>44</v>
      </c>
      <c r="D513" t="s">
        <v>45</v>
      </c>
      <c r="E513" t="s">
        <v>1940</v>
      </c>
      <c r="F513">
        <v>0</v>
      </c>
      <c r="H513">
        <v>0</v>
      </c>
      <c r="J513" t="s">
        <v>1939</v>
      </c>
      <c r="K513">
        <v>37</v>
      </c>
      <c r="L513" t="s">
        <v>1223</v>
      </c>
      <c r="M513" t="s">
        <v>1271</v>
      </c>
      <c r="N513" t="s">
        <v>43</v>
      </c>
      <c r="O513" t="s">
        <v>503</v>
      </c>
      <c r="P513" t="s">
        <v>1913</v>
      </c>
      <c r="T513">
        <v>900</v>
      </c>
      <c r="V513" t="s">
        <v>242</v>
      </c>
      <c r="W513" t="s">
        <v>934</v>
      </c>
      <c r="X513" t="s">
        <v>182</v>
      </c>
      <c r="Y513" t="s">
        <v>1941</v>
      </c>
    </row>
    <row r="514" spans="1:25" x14ac:dyDescent="0.2">
      <c r="A514" t="s">
        <v>1948</v>
      </c>
      <c r="B514" s="1">
        <f>VALUE(RIGHT(A514,LEN(A514)-3))</f>
        <v>329</v>
      </c>
      <c r="C514" t="s">
        <v>44</v>
      </c>
      <c r="D514" t="s">
        <v>45</v>
      </c>
      <c r="E514" t="s">
        <v>1950</v>
      </c>
      <c r="F514">
        <v>0</v>
      </c>
      <c r="H514">
        <v>0</v>
      </c>
      <c r="J514" t="s">
        <v>1949</v>
      </c>
      <c r="L514" t="s">
        <v>357</v>
      </c>
      <c r="M514" t="s">
        <v>1514</v>
      </c>
      <c r="N514" t="s">
        <v>43</v>
      </c>
      <c r="O514" t="s">
        <v>503</v>
      </c>
      <c r="P514" t="s">
        <v>520</v>
      </c>
      <c r="V514" t="s">
        <v>103</v>
      </c>
      <c r="W514" t="s">
        <v>104</v>
      </c>
      <c r="X514" t="s">
        <v>182</v>
      </c>
      <c r="Y514" t="s">
        <v>1951</v>
      </c>
    </row>
    <row r="515" spans="1:25" x14ac:dyDescent="0.2">
      <c r="A515" t="s">
        <v>2065</v>
      </c>
      <c r="B515" s="1">
        <f>VALUE(RIGHT(A515,LEN(A515)-3))</f>
        <v>350</v>
      </c>
      <c r="C515" t="s">
        <v>44</v>
      </c>
      <c r="D515" t="s">
        <v>45</v>
      </c>
      <c r="E515" t="s">
        <v>2067</v>
      </c>
      <c r="F515">
        <v>0</v>
      </c>
      <c r="H515">
        <v>0</v>
      </c>
      <c r="J515" t="s">
        <v>2066</v>
      </c>
      <c r="K515">
        <v>33</v>
      </c>
      <c r="L515" t="s">
        <v>338</v>
      </c>
      <c r="M515" t="s">
        <v>496</v>
      </c>
      <c r="N515" t="s">
        <v>43</v>
      </c>
      <c r="O515" t="s">
        <v>503</v>
      </c>
      <c r="P515" t="s">
        <v>1890</v>
      </c>
      <c r="Q515">
        <v>4</v>
      </c>
      <c r="R515">
        <v>200</v>
      </c>
      <c r="S515">
        <v>170</v>
      </c>
      <c r="T515">
        <v>700</v>
      </c>
      <c r="V515" t="s">
        <v>367</v>
      </c>
      <c r="W515" t="s">
        <v>194</v>
      </c>
      <c r="X515" t="s">
        <v>61</v>
      </c>
      <c r="Y515" t="s">
        <v>2068</v>
      </c>
    </row>
    <row r="516" spans="1:25" x14ac:dyDescent="0.2">
      <c r="A516" t="s">
        <v>2080</v>
      </c>
      <c r="B516" s="1">
        <f>VALUE(RIGHT(A516,LEN(A516)-3))</f>
        <v>353</v>
      </c>
      <c r="C516" t="s">
        <v>44</v>
      </c>
      <c r="D516" t="s">
        <v>45</v>
      </c>
      <c r="E516" t="s">
        <v>2082</v>
      </c>
      <c r="F516">
        <v>0</v>
      </c>
      <c r="H516">
        <v>0</v>
      </c>
      <c r="J516" t="s">
        <v>2081</v>
      </c>
      <c r="K516">
        <v>52</v>
      </c>
      <c r="L516" t="s">
        <v>258</v>
      </c>
      <c r="M516" t="s">
        <v>1514</v>
      </c>
      <c r="N516" t="s">
        <v>43</v>
      </c>
      <c r="O516" t="s">
        <v>503</v>
      </c>
      <c r="P516" t="s">
        <v>2003</v>
      </c>
      <c r="Q516">
        <v>7</v>
      </c>
      <c r="R516">
        <v>500</v>
      </c>
      <c r="S516">
        <v>300</v>
      </c>
      <c r="T516">
        <v>600</v>
      </c>
      <c r="V516" t="s">
        <v>242</v>
      </c>
      <c r="W516" t="s">
        <v>47</v>
      </c>
      <c r="X516" t="s">
        <v>61</v>
      </c>
      <c r="Y516" t="s">
        <v>2083</v>
      </c>
    </row>
    <row r="517" spans="1:25" x14ac:dyDescent="0.2">
      <c r="A517" t="s">
        <v>2136</v>
      </c>
      <c r="B517" s="1">
        <f>VALUE(RIGHT(A517,LEN(A517)-3))</f>
        <v>363</v>
      </c>
      <c r="C517" t="s">
        <v>44</v>
      </c>
      <c r="D517" t="s">
        <v>45</v>
      </c>
      <c r="E517" t="s">
        <v>2137</v>
      </c>
      <c r="F517">
        <v>0</v>
      </c>
      <c r="H517">
        <v>0</v>
      </c>
      <c r="J517" t="s">
        <v>2131</v>
      </c>
      <c r="K517">
        <v>33</v>
      </c>
      <c r="L517" t="s">
        <v>27</v>
      </c>
      <c r="M517" t="s">
        <v>1271</v>
      </c>
      <c r="N517" t="s">
        <v>43</v>
      </c>
      <c r="O517" t="s">
        <v>503</v>
      </c>
      <c r="P517" t="s">
        <v>1210</v>
      </c>
      <c r="Q517">
        <v>8</v>
      </c>
      <c r="R517">
        <v>715</v>
      </c>
      <c r="T517">
        <v>500</v>
      </c>
      <c r="V517" t="s">
        <v>242</v>
      </c>
      <c r="W517" t="s">
        <v>368</v>
      </c>
      <c r="X517" t="s">
        <v>753</v>
      </c>
      <c r="Y517" t="s">
        <v>2138</v>
      </c>
    </row>
    <row r="518" spans="1:25" x14ac:dyDescent="0.2">
      <c r="A518" t="s">
        <v>2149</v>
      </c>
      <c r="B518" s="1">
        <f>VALUE(RIGHT(A518,LEN(A518)-3))</f>
        <v>366</v>
      </c>
      <c r="C518" t="s">
        <v>44</v>
      </c>
      <c r="D518" t="s">
        <v>45</v>
      </c>
      <c r="E518" t="s">
        <v>2151</v>
      </c>
      <c r="F518">
        <v>0</v>
      </c>
      <c r="H518">
        <v>0</v>
      </c>
      <c r="J518" t="s">
        <v>2150</v>
      </c>
      <c r="K518">
        <v>40</v>
      </c>
      <c r="L518" t="s">
        <v>127</v>
      </c>
      <c r="M518" t="s">
        <v>639</v>
      </c>
      <c r="N518" t="s">
        <v>43</v>
      </c>
      <c r="O518" t="s">
        <v>503</v>
      </c>
      <c r="P518" t="s">
        <v>520</v>
      </c>
      <c r="V518" t="s">
        <v>242</v>
      </c>
      <c r="W518" t="s">
        <v>2107</v>
      </c>
      <c r="X518" t="s">
        <v>1081</v>
      </c>
      <c r="Y518" t="s">
        <v>2152</v>
      </c>
    </row>
    <row r="519" spans="1:25" x14ac:dyDescent="0.2">
      <c r="A519" t="s">
        <v>2164</v>
      </c>
      <c r="B519" s="1">
        <f>VALUE(RIGHT(A519,LEN(A519)-3))</f>
        <v>369</v>
      </c>
      <c r="C519" t="s">
        <v>44</v>
      </c>
      <c r="D519" t="s">
        <v>45</v>
      </c>
      <c r="E519" t="s">
        <v>2167</v>
      </c>
      <c r="F519">
        <v>0</v>
      </c>
      <c r="H519">
        <v>0</v>
      </c>
      <c r="J519" t="s">
        <v>2165</v>
      </c>
      <c r="K519">
        <v>35</v>
      </c>
      <c r="L519" t="s">
        <v>1223</v>
      </c>
      <c r="M519" t="s">
        <v>2166</v>
      </c>
      <c r="N519" t="s">
        <v>43</v>
      </c>
      <c r="O519" t="s">
        <v>503</v>
      </c>
      <c r="P519" t="s">
        <v>2003</v>
      </c>
      <c r="Q519">
        <v>6</v>
      </c>
      <c r="S519">
        <v>400</v>
      </c>
      <c r="V519" t="s">
        <v>2168</v>
      </c>
      <c r="W519" t="s">
        <v>951</v>
      </c>
      <c r="X519" t="s">
        <v>61</v>
      </c>
      <c r="Y519" t="s">
        <v>2169</v>
      </c>
    </row>
    <row r="520" spans="1:25" x14ac:dyDescent="0.2">
      <c r="A520" t="s">
        <v>2425</v>
      </c>
      <c r="B520" s="1">
        <f>VALUE(RIGHT(A520,LEN(A520)-3))</f>
        <v>411</v>
      </c>
      <c r="C520" t="s">
        <v>44</v>
      </c>
      <c r="D520" t="s">
        <v>45</v>
      </c>
      <c r="E520" t="s">
        <v>2427</v>
      </c>
      <c r="F520">
        <v>0</v>
      </c>
      <c r="H520">
        <v>0</v>
      </c>
      <c r="J520" t="s">
        <v>2426</v>
      </c>
      <c r="K520">
        <v>46</v>
      </c>
      <c r="L520" t="s">
        <v>150</v>
      </c>
      <c r="M520" t="s">
        <v>151</v>
      </c>
      <c r="N520" t="s">
        <v>43</v>
      </c>
      <c r="O520" t="s">
        <v>503</v>
      </c>
      <c r="P520" t="s">
        <v>2338</v>
      </c>
      <c r="Q520">
        <v>6</v>
      </c>
      <c r="R520">
        <v>200</v>
      </c>
      <c r="T520">
        <v>2600</v>
      </c>
      <c r="V520" t="s">
        <v>242</v>
      </c>
      <c r="W520" t="s">
        <v>194</v>
      </c>
      <c r="X520" t="s">
        <v>194</v>
      </c>
      <c r="Y520" t="s">
        <v>2428</v>
      </c>
    </row>
    <row r="521" spans="1:25" x14ac:dyDescent="0.2">
      <c r="A521" t="s">
        <v>2549</v>
      </c>
      <c r="B521" s="1">
        <f>VALUE(RIGHT(A521,LEN(A521)-3))</f>
        <v>434</v>
      </c>
      <c r="C521" t="s">
        <v>44</v>
      </c>
      <c r="D521" t="s">
        <v>45</v>
      </c>
      <c r="E521" t="s">
        <v>2552</v>
      </c>
      <c r="F521">
        <v>0</v>
      </c>
      <c r="H521">
        <v>0</v>
      </c>
      <c r="J521" t="s">
        <v>2550</v>
      </c>
      <c r="K521">
        <v>31</v>
      </c>
      <c r="L521" t="s">
        <v>800</v>
      </c>
      <c r="M521" t="s">
        <v>1271</v>
      </c>
      <c r="N521" t="s">
        <v>43</v>
      </c>
      <c r="O521" t="s">
        <v>503</v>
      </c>
      <c r="P521" t="s">
        <v>2551</v>
      </c>
      <c r="Q521">
        <v>2</v>
      </c>
      <c r="R521">
        <v>100</v>
      </c>
      <c r="T521">
        <v>8500</v>
      </c>
      <c r="V521" t="s">
        <v>242</v>
      </c>
      <c r="W521" t="s">
        <v>1666</v>
      </c>
      <c r="X521" t="s">
        <v>2553</v>
      </c>
      <c r="Y521" t="s">
        <v>2554</v>
      </c>
    </row>
    <row r="522" spans="1:25" x14ac:dyDescent="0.2">
      <c r="A522" t="s">
        <v>2604</v>
      </c>
      <c r="B522" s="1">
        <f>VALUE(RIGHT(A522,LEN(A522)-3))</f>
        <v>444</v>
      </c>
      <c r="C522" t="s">
        <v>44</v>
      </c>
      <c r="D522" t="s">
        <v>45</v>
      </c>
      <c r="E522" t="s">
        <v>2607</v>
      </c>
      <c r="F522">
        <v>0</v>
      </c>
      <c r="H522">
        <v>0</v>
      </c>
      <c r="J522" t="s">
        <v>2605</v>
      </c>
      <c r="K522">
        <v>44</v>
      </c>
      <c r="L522" t="s">
        <v>1753</v>
      </c>
      <c r="M522" t="s">
        <v>259</v>
      </c>
      <c r="N522" t="s">
        <v>43</v>
      </c>
      <c r="O522" t="s">
        <v>503</v>
      </c>
      <c r="P522" t="s">
        <v>2606</v>
      </c>
      <c r="Q522">
        <v>11</v>
      </c>
      <c r="R522">
        <v>500</v>
      </c>
      <c r="V522" t="s">
        <v>242</v>
      </c>
      <c r="W522" t="s">
        <v>2608</v>
      </c>
      <c r="X522" t="s">
        <v>48</v>
      </c>
      <c r="Y522" t="s">
        <v>2609</v>
      </c>
    </row>
    <row r="523" spans="1:25" x14ac:dyDescent="0.2">
      <c r="A523" t="s">
        <v>2610</v>
      </c>
      <c r="B523" s="1">
        <f>VALUE(RIGHT(A523,LEN(A523)-3))</f>
        <v>445</v>
      </c>
      <c r="C523" t="s">
        <v>44</v>
      </c>
      <c r="D523" t="s">
        <v>45</v>
      </c>
      <c r="E523" t="s">
        <v>2613</v>
      </c>
      <c r="F523">
        <v>0</v>
      </c>
      <c r="H523">
        <v>0</v>
      </c>
      <c r="J523" t="s">
        <v>2611</v>
      </c>
      <c r="K523">
        <v>34</v>
      </c>
      <c r="L523" t="s">
        <v>357</v>
      </c>
      <c r="M523" t="s">
        <v>2483</v>
      </c>
      <c r="N523" t="s">
        <v>43</v>
      </c>
      <c r="O523" t="s">
        <v>503</v>
      </c>
      <c r="P523" t="s">
        <v>2612</v>
      </c>
      <c r="Q523">
        <v>4</v>
      </c>
      <c r="R523">
        <v>450</v>
      </c>
      <c r="S523">
        <v>50</v>
      </c>
      <c r="T523">
        <v>300</v>
      </c>
      <c r="V523" t="s">
        <v>242</v>
      </c>
      <c r="W523" t="s">
        <v>194</v>
      </c>
      <c r="X523" t="s">
        <v>194</v>
      </c>
      <c r="Y523" t="s">
        <v>2614</v>
      </c>
    </row>
    <row r="524" spans="1:25" x14ac:dyDescent="0.2">
      <c r="A524" t="s">
        <v>2666</v>
      </c>
      <c r="B524" s="1">
        <f>VALUE(RIGHT(A524,LEN(A524)-3))</f>
        <v>455</v>
      </c>
      <c r="C524" t="s">
        <v>44</v>
      </c>
      <c r="D524" t="s">
        <v>45</v>
      </c>
      <c r="E524" t="s">
        <v>2669</v>
      </c>
      <c r="F524">
        <v>0</v>
      </c>
      <c r="H524">
        <v>0</v>
      </c>
      <c r="J524" t="s">
        <v>2667</v>
      </c>
      <c r="K524">
        <v>32</v>
      </c>
      <c r="L524" t="s">
        <v>74</v>
      </c>
      <c r="M524" t="s">
        <v>2291</v>
      </c>
      <c r="N524" t="s">
        <v>43</v>
      </c>
      <c r="O524" t="s">
        <v>503</v>
      </c>
      <c r="P524" t="s">
        <v>2668</v>
      </c>
      <c r="Q524">
        <v>6</v>
      </c>
      <c r="R524">
        <v>250</v>
      </c>
      <c r="T524">
        <v>1200</v>
      </c>
      <c r="V524" t="s">
        <v>242</v>
      </c>
      <c r="W524" t="s">
        <v>2273</v>
      </c>
      <c r="X524" t="s">
        <v>48</v>
      </c>
    </row>
    <row r="525" spans="1:25" x14ac:dyDescent="0.2">
      <c r="A525" t="s">
        <v>2704</v>
      </c>
      <c r="B525" s="1">
        <f>VALUE(RIGHT(A525,LEN(A525)-3))</f>
        <v>462</v>
      </c>
      <c r="C525" t="s">
        <v>44</v>
      </c>
      <c r="D525" t="s">
        <v>45</v>
      </c>
      <c r="E525" t="s">
        <v>2707</v>
      </c>
      <c r="F525">
        <v>0</v>
      </c>
      <c r="H525">
        <v>0</v>
      </c>
      <c r="J525" t="s">
        <v>2705</v>
      </c>
      <c r="K525">
        <v>44</v>
      </c>
      <c r="L525" t="s">
        <v>178</v>
      </c>
      <c r="M525" t="s">
        <v>1514</v>
      </c>
      <c r="N525" t="s">
        <v>43</v>
      </c>
      <c r="O525" t="s">
        <v>503</v>
      </c>
      <c r="P525" t="s">
        <v>2706</v>
      </c>
      <c r="R525">
        <v>1500</v>
      </c>
      <c r="V525" t="s">
        <v>242</v>
      </c>
      <c r="W525" t="s">
        <v>194</v>
      </c>
      <c r="X525" t="s">
        <v>194</v>
      </c>
      <c r="Y525" t="s">
        <v>2708</v>
      </c>
    </row>
    <row r="526" spans="1:25" x14ac:dyDescent="0.2">
      <c r="A526" t="s">
        <v>2714</v>
      </c>
      <c r="B526" s="1">
        <f>VALUE(RIGHT(A526,LEN(A526)-3))</f>
        <v>464</v>
      </c>
      <c r="C526" t="s">
        <v>44</v>
      </c>
      <c r="D526" t="s">
        <v>45</v>
      </c>
      <c r="E526" t="s">
        <v>2717</v>
      </c>
      <c r="F526">
        <v>0</v>
      </c>
      <c r="H526">
        <v>0</v>
      </c>
      <c r="J526" t="s">
        <v>2715</v>
      </c>
      <c r="K526">
        <v>29</v>
      </c>
      <c r="L526" t="s">
        <v>150</v>
      </c>
      <c r="M526" t="s">
        <v>2716</v>
      </c>
      <c r="N526" t="s">
        <v>43</v>
      </c>
      <c r="O526" t="s">
        <v>503</v>
      </c>
      <c r="P526" t="s">
        <v>2059</v>
      </c>
      <c r="V526" t="s">
        <v>103</v>
      </c>
      <c r="W526" t="s">
        <v>194</v>
      </c>
      <c r="X526" t="s">
        <v>194</v>
      </c>
    </row>
    <row r="527" spans="1:25" x14ac:dyDescent="0.2">
      <c r="A527" t="s">
        <v>2807</v>
      </c>
      <c r="B527" s="1">
        <f>VALUE(RIGHT(A527,LEN(A527)-3))</f>
        <v>481</v>
      </c>
      <c r="C527" t="s">
        <v>44</v>
      </c>
      <c r="D527" t="s">
        <v>45</v>
      </c>
      <c r="E527" t="s">
        <v>2810</v>
      </c>
      <c r="F527">
        <v>0</v>
      </c>
      <c r="H527">
        <v>0</v>
      </c>
      <c r="J527" t="s">
        <v>2808</v>
      </c>
      <c r="K527">
        <v>30</v>
      </c>
      <c r="L527" t="s">
        <v>27</v>
      </c>
      <c r="M527" t="s">
        <v>2809</v>
      </c>
      <c r="N527" t="s">
        <v>43</v>
      </c>
      <c r="O527" t="s">
        <v>503</v>
      </c>
      <c r="P527" t="s">
        <v>2656</v>
      </c>
      <c r="Q527">
        <v>5</v>
      </c>
      <c r="V527" t="s">
        <v>103</v>
      </c>
      <c r="W527" t="s">
        <v>347</v>
      </c>
      <c r="X527" t="s">
        <v>194</v>
      </c>
      <c r="Y527" t="s">
        <v>2811</v>
      </c>
    </row>
    <row r="528" spans="1:25" x14ac:dyDescent="0.2">
      <c r="A528" t="s">
        <v>2860</v>
      </c>
      <c r="B528" s="1">
        <f>VALUE(RIGHT(A528,LEN(A528)-3))</f>
        <v>491</v>
      </c>
      <c r="C528" t="s">
        <v>44</v>
      </c>
      <c r="D528" t="s">
        <v>45</v>
      </c>
      <c r="E528" t="s">
        <v>2863</v>
      </c>
      <c r="F528">
        <v>0</v>
      </c>
      <c r="H528">
        <v>0</v>
      </c>
      <c r="J528" t="s">
        <v>2861</v>
      </c>
      <c r="K528">
        <v>35</v>
      </c>
      <c r="L528" t="s">
        <v>150</v>
      </c>
      <c r="M528" t="s">
        <v>2862</v>
      </c>
      <c r="N528" t="s">
        <v>43</v>
      </c>
      <c r="O528" t="s">
        <v>503</v>
      </c>
      <c r="P528" t="s">
        <v>2338</v>
      </c>
      <c r="Q528">
        <v>11</v>
      </c>
      <c r="V528" t="s">
        <v>242</v>
      </c>
      <c r="W528" t="s">
        <v>1393</v>
      </c>
      <c r="X528" t="s">
        <v>61</v>
      </c>
      <c r="Y528" t="s">
        <v>2864</v>
      </c>
    </row>
    <row r="529" spans="1:25" x14ac:dyDescent="0.2">
      <c r="A529" t="s">
        <v>2865</v>
      </c>
      <c r="B529" s="1">
        <f>VALUE(RIGHT(A529,LEN(A529)-3))</f>
        <v>492</v>
      </c>
      <c r="C529" t="s">
        <v>44</v>
      </c>
      <c r="D529" t="s">
        <v>45</v>
      </c>
      <c r="E529" t="s">
        <v>2868</v>
      </c>
      <c r="F529">
        <v>0</v>
      </c>
      <c r="H529">
        <v>0</v>
      </c>
      <c r="J529" t="s">
        <v>2866</v>
      </c>
      <c r="K529">
        <v>45</v>
      </c>
      <c r="L529" t="s">
        <v>27</v>
      </c>
      <c r="M529" t="s">
        <v>2867</v>
      </c>
      <c r="N529" t="s">
        <v>43</v>
      </c>
      <c r="O529" t="s">
        <v>503</v>
      </c>
      <c r="P529" t="s">
        <v>2706</v>
      </c>
      <c r="V529" t="s">
        <v>889</v>
      </c>
      <c r="W529" t="s">
        <v>194</v>
      </c>
      <c r="X529" t="s">
        <v>194</v>
      </c>
      <c r="Y529" t="s">
        <v>2869</v>
      </c>
    </row>
    <row r="530" spans="1:25" x14ac:dyDescent="0.2">
      <c r="A530" t="s">
        <v>2898</v>
      </c>
      <c r="B530" s="1">
        <f>VALUE(RIGHT(A530,LEN(A530)-3))</f>
        <v>498</v>
      </c>
      <c r="C530" t="s">
        <v>44</v>
      </c>
      <c r="D530" t="s">
        <v>45</v>
      </c>
      <c r="E530" t="s">
        <v>2900</v>
      </c>
      <c r="F530">
        <v>0</v>
      </c>
      <c r="H530">
        <v>0</v>
      </c>
      <c r="J530" t="s">
        <v>2899</v>
      </c>
      <c r="K530">
        <v>38</v>
      </c>
      <c r="L530" t="s">
        <v>150</v>
      </c>
      <c r="M530" t="s">
        <v>1954</v>
      </c>
      <c r="N530" t="s">
        <v>43</v>
      </c>
      <c r="O530" t="s">
        <v>503</v>
      </c>
      <c r="P530" t="s">
        <v>2338</v>
      </c>
      <c r="V530" t="s">
        <v>2423</v>
      </c>
      <c r="W530" t="s">
        <v>2901</v>
      </c>
      <c r="X530" t="s">
        <v>61</v>
      </c>
      <c r="Y530" t="s">
        <v>2902</v>
      </c>
    </row>
    <row r="531" spans="1:25" x14ac:dyDescent="0.2">
      <c r="A531" t="s">
        <v>2908</v>
      </c>
      <c r="B531" s="1">
        <f>VALUE(RIGHT(A531,LEN(A531)-3))</f>
        <v>500</v>
      </c>
      <c r="C531" t="s">
        <v>44</v>
      </c>
      <c r="D531" t="s">
        <v>45</v>
      </c>
      <c r="E531" t="s">
        <v>2910</v>
      </c>
      <c r="F531">
        <v>0</v>
      </c>
      <c r="H531">
        <v>0</v>
      </c>
      <c r="J531" t="s">
        <v>2909</v>
      </c>
      <c r="K531">
        <v>53</v>
      </c>
      <c r="L531" t="s">
        <v>27</v>
      </c>
      <c r="M531" t="s">
        <v>1271</v>
      </c>
      <c r="N531" t="s">
        <v>43</v>
      </c>
      <c r="O531" t="s">
        <v>503</v>
      </c>
      <c r="P531" t="s">
        <v>2645</v>
      </c>
      <c r="Q531">
        <v>10</v>
      </c>
      <c r="R531">
        <v>775</v>
      </c>
      <c r="T531">
        <v>1858</v>
      </c>
      <c r="V531" t="s">
        <v>103</v>
      </c>
      <c r="W531" t="s">
        <v>2911</v>
      </c>
      <c r="X531" t="s">
        <v>753</v>
      </c>
      <c r="Y531" t="s">
        <v>2912</v>
      </c>
    </row>
    <row r="532" spans="1:25" x14ac:dyDescent="0.2">
      <c r="A532" t="s">
        <v>2957</v>
      </c>
      <c r="B532" s="1">
        <f>VALUE(RIGHT(A532,LEN(A532)-3))</f>
        <v>509</v>
      </c>
      <c r="C532" t="s">
        <v>44</v>
      </c>
      <c r="D532" t="s">
        <v>45</v>
      </c>
      <c r="E532" t="s">
        <v>2960</v>
      </c>
      <c r="F532">
        <v>0</v>
      </c>
      <c r="H532">
        <v>0</v>
      </c>
      <c r="J532" t="s">
        <v>2958</v>
      </c>
      <c r="K532">
        <v>55</v>
      </c>
      <c r="L532" t="s">
        <v>357</v>
      </c>
      <c r="M532" t="s">
        <v>1790</v>
      </c>
      <c r="N532" t="s">
        <v>43</v>
      </c>
      <c r="O532" t="s">
        <v>503</v>
      </c>
      <c r="P532" t="s">
        <v>2959</v>
      </c>
      <c r="Q532">
        <v>17</v>
      </c>
      <c r="R532">
        <v>1600</v>
      </c>
      <c r="S532">
        <v>900</v>
      </c>
      <c r="T532">
        <v>5000</v>
      </c>
      <c r="V532" t="s">
        <v>367</v>
      </c>
      <c r="W532" t="s">
        <v>2961</v>
      </c>
      <c r="X532" t="s">
        <v>329</v>
      </c>
      <c r="Y532" t="s">
        <v>2962</v>
      </c>
    </row>
    <row r="533" spans="1:25" x14ac:dyDescent="0.2">
      <c r="A533" t="s">
        <v>2985</v>
      </c>
      <c r="B533" s="1">
        <f>VALUE(RIGHT(A533,LEN(A533)-3))</f>
        <v>514</v>
      </c>
      <c r="C533" t="s">
        <v>44</v>
      </c>
      <c r="D533" t="s">
        <v>45</v>
      </c>
      <c r="E533" t="s">
        <v>2988</v>
      </c>
      <c r="F533">
        <v>0</v>
      </c>
      <c r="H533">
        <v>0</v>
      </c>
      <c r="J533" t="s">
        <v>2986</v>
      </c>
      <c r="K533">
        <v>32</v>
      </c>
      <c r="L533" t="s">
        <v>178</v>
      </c>
      <c r="M533" t="s">
        <v>2987</v>
      </c>
      <c r="N533" t="s">
        <v>43</v>
      </c>
      <c r="O533" t="s">
        <v>503</v>
      </c>
      <c r="P533" t="s">
        <v>2477</v>
      </c>
      <c r="Q533">
        <v>10</v>
      </c>
      <c r="R533">
        <v>800</v>
      </c>
      <c r="T533">
        <v>12</v>
      </c>
      <c r="V533" t="s">
        <v>889</v>
      </c>
      <c r="W533" t="s">
        <v>2989</v>
      </c>
      <c r="X533" t="s">
        <v>61</v>
      </c>
      <c r="Y533" t="s">
        <v>2990</v>
      </c>
    </row>
    <row r="534" spans="1:25" x14ac:dyDescent="0.2">
      <c r="A534" t="s">
        <v>2995</v>
      </c>
      <c r="B534" s="1">
        <f>VALUE(RIGHT(A534,LEN(A534)-3))</f>
        <v>516</v>
      </c>
      <c r="C534" t="s">
        <v>44</v>
      </c>
      <c r="D534" t="s">
        <v>45</v>
      </c>
      <c r="E534" t="s">
        <v>2999</v>
      </c>
      <c r="F534">
        <v>0</v>
      </c>
      <c r="H534">
        <v>0</v>
      </c>
      <c r="J534" t="s">
        <v>2996</v>
      </c>
      <c r="K534">
        <v>24</v>
      </c>
      <c r="L534" t="s">
        <v>52</v>
      </c>
      <c r="M534" t="s">
        <v>2997</v>
      </c>
      <c r="N534" t="s">
        <v>43</v>
      </c>
      <c r="O534" t="s">
        <v>503</v>
      </c>
      <c r="P534" t="s">
        <v>2998</v>
      </c>
      <c r="R534">
        <v>1000</v>
      </c>
      <c r="T534">
        <v>10000</v>
      </c>
      <c r="V534" t="s">
        <v>889</v>
      </c>
      <c r="W534" t="s">
        <v>194</v>
      </c>
      <c r="X534" t="s">
        <v>194</v>
      </c>
      <c r="Y534" t="s">
        <v>3000</v>
      </c>
    </row>
    <row r="535" spans="1:25" x14ac:dyDescent="0.2">
      <c r="A535" t="s">
        <v>3005</v>
      </c>
      <c r="B535" s="1">
        <f>VALUE(RIGHT(A535,LEN(A535)-3))</f>
        <v>518</v>
      </c>
      <c r="C535" t="s">
        <v>44</v>
      </c>
      <c r="D535" t="s">
        <v>45</v>
      </c>
      <c r="E535" t="s">
        <v>3007</v>
      </c>
      <c r="F535">
        <v>0</v>
      </c>
      <c r="H535">
        <v>0</v>
      </c>
      <c r="J535" t="s">
        <v>3006</v>
      </c>
      <c r="K535">
        <v>50</v>
      </c>
      <c r="L535" t="s">
        <v>150</v>
      </c>
      <c r="M535" t="s">
        <v>1514</v>
      </c>
      <c r="N535" t="s">
        <v>43</v>
      </c>
      <c r="O535" t="s">
        <v>503</v>
      </c>
      <c r="P535" t="s">
        <v>2672</v>
      </c>
      <c r="Q535">
        <v>20</v>
      </c>
      <c r="R535">
        <v>1000</v>
      </c>
      <c r="T535">
        <v>1000</v>
      </c>
      <c r="V535" t="s">
        <v>889</v>
      </c>
      <c r="W535" t="s">
        <v>194</v>
      </c>
      <c r="X535" t="s">
        <v>194</v>
      </c>
      <c r="Y535" t="s">
        <v>3008</v>
      </c>
    </row>
    <row r="536" spans="1:25" x14ac:dyDescent="0.2">
      <c r="A536" t="s">
        <v>3055</v>
      </c>
      <c r="B536" s="1">
        <f>VALUE(RIGHT(A536,LEN(A536)-3))</f>
        <v>527</v>
      </c>
      <c r="C536" t="s">
        <v>44</v>
      </c>
      <c r="D536" t="s">
        <v>45</v>
      </c>
      <c r="E536" t="s">
        <v>3057</v>
      </c>
      <c r="F536">
        <v>0</v>
      </c>
      <c r="H536">
        <v>0</v>
      </c>
      <c r="J536" t="s">
        <v>3056</v>
      </c>
      <c r="K536">
        <v>43</v>
      </c>
      <c r="L536" t="s">
        <v>150</v>
      </c>
      <c r="M536" t="s">
        <v>961</v>
      </c>
      <c r="N536" t="s">
        <v>43</v>
      </c>
      <c r="O536" t="s">
        <v>503</v>
      </c>
      <c r="P536" t="s">
        <v>1374</v>
      </c>
      <c r="V536" t="s">
        <v>242</v>
      </c>
      <c r="W536" t="s">
        <v>194</v>
      </c>
      <c r="X536" t="s">
        <v>194</v>
      </c>
      <c r="Y536" t="s">
        <v>3058</v>
      </c>
    </row>
    <row r="537" spans="1:25" x14ac:dyDescent="0.2">
      <c r="A537" t="s">
        <v>3098</v>
      </c>
      <c r="B537" s="1">
        <f>VALUE(RIGHT(A537,LEN(A537)-3))</f>
        <v>535</v>
      </c>
      <c r="C537" t="s">
        <v>44</v>
      </c>
      <c r="D537" t="s">
        <v>45</v>
      </c>
      <c r="E537" t="s">
        <v>3101</v>
      </c>
      <c r="F537">
        <v>0</v>
      </c>
      <c r="H537">
        <v>0</v>
      </c>
      <c r="J537" t="s">
        <v>3099</v>
      </c>
      <c r="K537">
        <v>34</v>
      </c>
      <c r="L537" t="s">
        <v>27</v>
      </c>
      <c r="M537" t="s">
        <v>3100</v>
      </c>
      <c r="N537" t="s">
        <v>43</v>
      </c>
      <c r="O537" t="s">
        <v>503</v>
      </c>
      <c r="P537" t="s">
        <v>520</v>
      </c>
      <c r="R537">
        <v>1300</v>
      </c>
      <c r="T537">
        <v>1200</v>
      </c>
      <c r="V537" t="s">
        <v>103</v>
      </c>
      <c r="W537" t="s">
        <v>194</v>
      </c>
      <c r="X537" t="s">
        <v>194</v>
      </c>
      <c r="Y537" t="s">
        <v>3102</v>
      </c>
    </row>
    <row r="538" spans="1:25" x14ac:dyDescent="0.2">
      <c r="A538" t="s">
        <v>1087</v>
      </c>
      <c r="B538" s="1">
        <f>VALUE(RIGHT(A538,LEN(A538)-3))</f>
        <v>170</v>
      </c>
      <c r="C538" t="s">
        <v>1091</v>
      </c>
      <c r="D538" t="s">
        <v>4127</v>
      </c>
      <c r="E538" t="s">
        <v>1092</v>
      </c>
      <c r="F538">
        <v>0</v>
      </c>
      <c r="H538">
        <v>0</v>
      </c>
      <c r="J538" t="s">
        <v>1088</v>
      </c>
      <c r="L538" t="s">
        <v>1089</v>
      </c>
      <c r="M538" t="s">
        <v>259</v>
      </c>
      <c r="N538" t="s">
        <v>43</v>
      </c>
      <c r="O538" t="s">
        <v>503</v>
      </c>
      <c r="P538" t="s">
        <v>1090</v>
      </c>
      <c r="V538" t="s">
        <v>103</v>
      </c>
      <c r="W538" t="s">
        <v>1093</v>
      </c>
      <c r="X538" t="s">
        <v>48</v>
      </c>
      <c r="Y538" t="s">
        <v>1094</v>
      </c>
    </row>
  </sheetData>
  <autoFilter ref="A1:Y538" xr:uid="{00000000-0009-0000-0000-000000000000}">
    <sortState xmlns:xlrd2="http://schemas.microsoft.com/office/spreadsheetml/2017/richdata2" ref="A2:Y538">
      <sortCondition ref="D1:D538"/>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2"/>
  <sheetViews>
    <sheetView topLeftCell="E1" workbookViewId="0">
      <pane ySplit="1" topLeftCell="A460" activePane="bottomLeft" state="frozen"/>
      <selection pane="bottomLeft" activeCell="J504" sqref="J504"/>
    </sheetView>
  </sheetViews>
  <sheetFormatPr baseColWidth="10" defaultColWidth="8.83203125" defaultRowHeight="15" x14ac:dyDescent="0.2"/>
  <cols>
    <col min="1" max="1" width="11" customWidth="1"/>
    <col min="3" max="3" width="11" customWidth="1"/>
    <col min="4" max="4" width="19" customWidth="1"/>
    <col min="5" max="5" width="58" customWidth="1"/>
    <col min="6" max="6" width="12" customWidth="1"/>
    <col min="7" max="7" width="13" customWidth="1"/>
    <col min="8" max="8" width="12" customWidth="1"/>
    <col min="9" max="9" width="13" customWidth="1"/>
    <col min="10" max="10" width="50" customWidth="1"/>
    <col min="11" max="11" width="60" customWidth="1"/>
  </cols>
  <sheetData>
    <row r="1" spans="1:11" x14ac:dyDescent="0.2">
      <c r="A1" t="s">
        <v>0</v>
      </c>
      <c r="B1" t="s">
        <v>4155</v>
      </c>
      <c r="C1" t="s">
        <v>3114</v>
      </c>
      <c r="D1" t="s">
        <v>13</v>
      </c>
      <c r="E1" t="s">
        <v>14</v>
      </c>
      <c r="F1" t="s">
        <v>6</v>
      </c>
      <c r="G1" t="s">
        <v>5</v>
      </c>
      <c r="H1" t="s">
        <v>1</v>
      </c>
      <c r="I1" t="s">
        <v>3115</v>
      </c>
      <c r="J1" t="s">
        <v>3116</v>
      </c>
      <c r="K1" t="s">
        <v>3117</v>
      </c>
    </row>
    <row r="2" spans="1:11" x14ac:dyDescent="0.2">
      <c r="A2" t="s">
        <v>280</v>
      </c>
      <c r="B2">
        <f>VALUE(RIGHT(A2,LEN(A2)-3))</f>
        <v>35</v>
      </c>
      <c r="C2">
        <v>1</v>
      </c>
      <c r="D2" t="s">
        <v>32</v>
      </c>
      <c r="E2" t="s">
        <v>282</v>
      </c>
      <c r="F2" t="s">
        <v>30</v>
      </c>
      <c r="G2" t="s">
        <v>83</v>
      </c>
      <c r="H2" t="s">
        <v>281</v>
      </c>
      <c r="I2" t="s">
        <v>57</v>
      </c>
      <c r="J2" t="s">
        <v>3149</v>
      </c>
      <c r="K2" t="s">
        <v>3150</v>
      </c>
    </row>
    <row r="3" spans="1:11" x14ac:dyDescent="0.2">
      <c r="A3" t="s">
        <v>2873</v>
      </c>
      <c r="B3">
        <f>VALUE(RIGHT(A3,LEN(A3)-3))</f>
        <v>494</v>
      </c>
      <c r="C3">
        <v>1</v>
      </c>
      <c r="D3" t="s">
        <v>32</v>
      </c>
      <c r="E3" t="s">
        <v>2876</v>
      </c>
      <c r="F3" t="s">
        <v>30</v>
      </c>
      <c r="G3" t="s">
        <v>83</v>
      </c>
      <c r="H3" t="s">
        <v>2874</v>
      </c>
      <c r="I3" t="s">
        <v>57</v>
      </c>
      <c r="J3" t="s">
        <v>3149</v>
      </c>
      <c r="K3" t="s">
        <v>3583</v>
      </c>
    </row>
    <row r="4" spans="1:11" x14ac:dyDescent="0.2">
      <c r="A4" t="s">
        <v>600</v>
      </c>
      <c r="B4">
        <f>VALUE(RIGHT(A4,LEN(A4)-3))</f>
        <v>86</v>
      </c>
      <c r="C4">
        <v>1</v>
      </c>
      <c r="D4" t="s">
        <v>32</v>
      </c>
      <c r="E4" t="s">
        <v>604</v>
      </c>
      <c r="F4" t="s">
        <v>602</v>
      </c>
      <c r="G4" t="s">
        <v>43</v>
      </c>
      <c r="H4" t="s">
        <v>601</v>
      </c>
      <c r="I4" t="s">
        <v>57</v>
      </c>
      <c r="J4" t="s">
        <v>4149</v>
      </c>
      <c r="K4" t="s">
        <v>3196</v>
      </c>
    </row>
    <row r="5" spans="1:11" x14ac:dyDescent="0.2">
      <c r="A5" t="s">
        <v>615</v>
      </c>
      <c r="B5">
        <f>VALUE(RIGHT(A5,LEN(A5)-3))</f>
        <v>88</v>
      </c>
      <c r="C5">
        <v>1</v>
      </c>
      <c r="D5" t="s">
        <v>32</v>
      </c>
      <c r="E5" t="s">
        <v>617</v>
      </c>
      <c r="F5" t="s">
        <v>30</v>
      </c>
      <c r="G5" t="s">
        <v>43</v>
      </c>
      <c r="H5" t="s">
        <v>616</v>
      </c>
      <c r="I5" t="s">
        <v>57</v>
      </c>
      <c r="J5" t="s">
        <v>4149</v>
      </c>
      <c r="K5" t="s">
        <v>3198</v>
      </c>
    </row>
    <row r="6" spans="1:11" x14ac:dyDescent="0.2">
      <c r="A6" t="s">
        <v>702</v>
      </c>
      <c r="B6">
        <f>VALUE(RIGHT(A6,LEN(A6)-3))</f>
        <v>103</v>
      </c>
      <c r="C6">
        <v>1</v>
      </c>
      <c r="D6" t="s">
        <v>32</v>
      </c>
      <c r="E6" t="s">
        <v>604</v>
      </c>
      <c r="F6" t="s">
        <v>30</v>
      </c>
      <c r="G6" t="s">
        <v>43</v>
      </c>
      <c r="H6" t="s">
        <v>703</v>
      </c>
      <c r="I6" t="s">
        <v>57</v>
      </c>
      <c r="J6" t="s">
        <v>4149</v>
      </c>
      <c r="K6" t="s">
        <v>3208</v>
      </c>
    </row>
    <row r="7" spans="1:11" x14ac:dyDescent="0.2">
      <c r="A7" t="s">
        <v>994</v>
      </c>
      <c r="B7">
        <f>VALUE(RIGHT(A7,LEN(A7)-3))</f>
        <v>153</v>
      </c>
      <c r="C7">
        <v>1</v>
      </c>
      <c r="D7" t="s">
        <v>32</v>
      </c>
      <c r="E7" t="s">
        <v>996</v>
      </c>
      <c r="F7" t="s">
        <v>30</v>
      </c>
      <c r="G7" t="s">
        <v>43</v>
      </c>
      <c r="H7" t="s">
        <v>995</v>
      </c>
      <c r="I7" t="s">
        <v>57</v>
      </c>
      <c r="J7" t="s">
        <v>4149</v>
      </c>
      <c r="K7" t="s">
        <v>3256</v>
      </c>
    </row>
    <row r="8" spans="1:11" x14ac:dyDescent="0.2">
      <c r="A8" t="s">
        <v>1114</v>
      </c>
      <c r="B8">
        <f>VALUE(RIGHT(A8,LEN(A8)-3))</f>
        <v>174</v>
      </c>
      <c r="C8">
        <v>1</v>
      </c>
      <c r="D8" t="s">
        <v>32</v>
      </c>
      <c r="E8" t="s">
        <v>559</v>
      </c>
      <c r="F8" t="s">
        <v>30</v>
      </c>
      <c r="G8" t="s">
        <v>83</v>
      </c>
      <c r="H8" t="s">
        <v>1115</v>
      </c>
      <c r="I8" t="s">
        <v>57</v>
      </c>
      <c r="J8" t="s">
        <v>4149</v>
      </c>
      <c r="K8" t="s">
        <v>3273</v>
      </c>
    </row>
    <row r="9" spans="1:11" x14ac:dyDescent="0.2">
      <c r="A9" t="s">
        <v>1294</v>
      </c>
      <c r="B9">
        <f>VALUE(RIGHT(A9,LEN(A9)-3))</f>
        <v>206</v>
      </c>
      <c r="C9">
        <v>1</v>
      </c>
      <c r="D9" t="s">
        <v>32</v>
      </c>
      <c r="E9" t="s">
        <v>559</v>
      </c>
      <c r="F9" t="s">
        <v>30</v>
      </c>
      <c r="G9" t="s">
        <v>43</v>
      </c>
      <c r="H9" t="s">
        <v>1295</v>
      </c>
      <c r="I9" t="s">
        <v>57</v>
      </c>
      <c r="J9" t="s">
        <v>4149</v>
      </c>
      <c r="K9" t="s">
        <v>3305</v>
      </c>
    </row>
    <row r="10" spans="1:11" x14ac:dyDescent="0.2">
      <c r="A10" t="s">
        <v>1413</v>
      </c>
      <c r="B10">
        <f>VALUE(RIGHT(A10,LEN(A10)-3))</f>
        <v>228</v>
      </c>
      <c r="C10">
        <v>1</v>
      </c>
      <c r="D10" t="s">
        <v>32</v>
      </c>
      <c r="E10" t="s">
        <v>1415</v>
      </c>
      <c r="F10" t="s">
        <v>30</v>
      </c>
      <c r="G10" t="s">
        <v>43</v>
      </c>
      <c r="H10" t="s">
        <v>1414</v>
      </c>
      <c r="I10" t="s">
        <v>57</v>
      </c>
      <c r="J10" t="s">
        <v>4149</v>
      </c>
      <c r="K10" t="s">
        <v>3328</v>
      </c>
    </row>
    <row r="11" spans="1:11" x14ac:dyDescent="0.2">
      <c r="A11" t="s">
        <v>1433</v>
      </c>
      <c r="B11">
        <f>VALUE(RIGHT(A11,LEN(A11)-3))</f>
        <v>232</v>
      </c>
      <c r="C11">
        <v>1</v>
      </c>
      <c r="D11" t="s">
        <v>32</v>
      </c>
      <c r="E11" t="s">
        <v>1435</v>
      </c>
      <c r="F11" t="s">
        <v>30</v>
      </c>
      <c r="G11" t="s">
        <v>29</v>
      </c>
      <c r="H11" t="s">
        <v>1434</v>
      </c>
      <c r="I11" t="s">
        <v>57</v>
      </c>
      <c r="J11" t="s">
        <v>4149</v>
      </c>
      <c r="K11" t="s">
        <v>3332</v>
      </c>
    </row>
    <row r="12" spans="1:11" x14ac:dyDescent="0.2">
      <c r="A12" t="s">
        <v>1605</v>
      </c>
      <c r="B12">
        <f>VALUE(RIGHT(A12,LEN(A12)-3))</f>
        <v>265</v>
      </c>
      <c r="C12">
        <v>1</v>
      </c>
      <c r="D12" t="s">
        <v>32</v>
      </c>
      <c r="E12" t="s">
        <v>1607</v>
      </c>
      <c r="F12" t="s">
        <v>30</v>
      </c>
      <c r="G12" t="s">
        <v>746</v>
      </c>
      <c r="H12" t="s">
        <v>1600</v>
      </c>
      <c r="I12" t="s">
        <v>57</v>
      </c>
      <c r="J12" t="s">
        <v>4149</v>
      </c>
      <c r="K12" t="s">
        <v>3367</v>
      </c>
    </row>
    <row r="13" spans="1:11" x14ac:dyDescent="0.2">
      <c r="A13" t="s">
        <v>1814</v>
      </c>
      <c r="B13">
        <f>VALUE(RIGHT(A13,LEN(A13)-3))</f>
        <v>304</v>
      </c>
      <c r="C13">
        <v>1</v>
      </c>
      <c r="D13" t="s">
        <v>32</v>
      </c>
      <c r="E13" t="s">
        <v>1816</v>
      </c>
      <c r="F13" t="s">
        <v>503</v>
      </c>
      <c r="G13" t="s">
        <v>43</v>
      </c>
      <c r="H13" t="s">
        <v>1815</v>
      </c>
      <c r="I13" t="s">
        <v>57</v>
      </c>
      <c r="J13" t="s">
        <v>4149</v>
      </c>
      <c r="K13" t="s">
        <v>3408</v>
      </c>
    </row>
    <row r="14" spans="1:11" x14ac:dyDescent="0.2">
      <c r="A14" t="s">
        <v>1986</v>
      </c>
      <c r="B14">
        <f>VALUE(RIGHT(A14,LEN(A14)-3))</f>
        <v>336</v>
      </c>
      <c r="C14">
        <v>2</v>
      </c>
      <c r="D14" t="s">
        <v>32</v>
      </c>
      <c r="E14" t="s">
        <v>1989</v>
      </c>
      <c r="F14" t="s">
        <v>30</v>
      </c>
      <c r="G14" t="s">
        <v>29</v>
      </c>
      <c r="H14" t="s">
        <v>1987</v>
      </c>
      <c r="I14" t="s">
        <v>57</v>
      </c>
      <c r="J14" t="s">
        <v>4149</v>
      </c>
      <c r="K14" t="s">
        <v>3436</v>
      </c>
    </row>
    <row r="15" spans="1:11" x14ac:dyDescent="0.2">
      <c r="A15" t="s">
        <v>2038</v>
      </c>
      <c r="B15">
        <f>VALUE(RIGHT(A15,LEN(A15)-3))</f>
        <v>345</v>
      </c>
      <c r="C15">
        <v>1</v>
      </c>
      <c r="D15" t="s">
        <v>32</v>
      </c>
      <c r="E15" t="s">
        <v>2039</v>
      </c>
      <c r="F15" t="s">
        <v>30</v>
      </c>
      <c r="G15" t="s">
        <v>43</v>
      </c>
      <c r="H15" t="s">
        <v>2030</v>
      </c>
      <c r="I15" t="s">
        <v>57</v>
      </c>
      <c r="J15" t="s">
        <v>4149</v>
      </c>
      <c r="K15" t="s">
        <v>3446</v>
      </c>
    </row>
    <row r="16" spans="1:11" x14ac:dyDescent="0.2">
      <c r="A16" t="s">
        <v>2042</v>
      </c>
      <c r="B16">
        <f>VALUE(RIGHT(A16,LEN(A16)-3))</f>
        <v>346</v>
      </c>
      <c r="C16">
        <v>1</v>
      </c>
      <c r="D16" t="s">
        <v>32</v>
      </c>
      <c r="E16" t="s">
        <v>2045</v>
      </c>
      <c r="F16" t="s">
        <v>30</v>
      </c>
      <c r="G16" t="s">
        <v>43</v>
      </c>
      <c r="H16" t="s">
        <v>2043</v>
      </c>
      <c r="I16" t="s">
        <v>57</v>
      </c>
      <c r="J16" t="s">
        <v>4149</v>
      </c>
      <c r="K16" t="s">
        <v>3447</v>
      </c>
    </row>
    <row r="17" spans="1:11" x14ac:dyDescent="0.2">
      <c r="A17" t="s">
        <v>2074</v>
      </c>
      <c r="B17">
        <f>VALUE(RIGHT(A17,LEN(A17)-3))</f>
        <v>352</v>
      </c>
      <c r="C17">
        <v>1</v>
      </c>
      <c r="D17" t="s">
        <v>32</v>
      </c>
      <c r="E17" t="s">
        <v>2076</v>
      </c>
      <c r="F17" t="s">
        <v>602</v>
      </c>
      <c r="G17" t="s">
        <v>43</v>
      </c>
      <c r="H17" t="s">
        <v>2075</v>
      </c>
      <c r="I17" t="s">
        <v>57</v>
      </c>
      <c r="J17" t="s">
        <v>4149</v>
      </c>
      <c r="K17" t="s">
        <v>3451</v>
      </c>
    </row>
    <row r="18" spans="1:11" x14ac:dyDescent="0.2">
      <c r="A18" t="s">
        <v>2481</v>
      </c>
      <c r="B18">
        <f>VALUE(RIGHT(A18,LEN(A18)-3))</f>
        <v>421</v>
      </c>
      <c r="C18">
        <v>1</v>
      </c>
      <c r="D18" t="s">
        <v>32</v>
      </c>
      <c r="E18" t="s">
        <v>2484</v>
      </c>
      <c r="F18" t="s">
        <v>30</v>
      </c>
      <c r="G18" t="s">
        <v>43</v>
      </c>
      <c r="H18" t="s">
        <v>2482</v>
      </c>
      <c r="I18" t="s">
        <v>57</v>
      </c>
      <c r="J18" t="s">
        <v>4149</v>
      </c>
      <c r="K18" t="s">
        <v>3520</v>
      </c>
    </row>
    <row r="19" spans="1:11" x14ac:dyDescent="0.2">
      <c r="A19" t="s">
        <v>2560</v>
      </c>
      <c r="B19">
        <f>VALUE(RIGHT(A19,LEN(A19)-3))</f>
        <v>436</v>
      </c>
      <c r="C19">
        <v>1</v>
      </c>
      <c r="D19" t="s">
        <v>32</v>
      </c>
      <c r="E19" t="s">
        <v>2562</v>
      </c>
      <c r="F19" t="s">
        <v>30</v>
      </c>
      <c r="G19" t="s">
        <v>43</v>
      </c>
      <c r="H19" t="s">
        <v>2561</v>
      </c>
      <c r="I19" t="s">
        <v>57</v>
      </c>
      <c r="J19" t="s">
        <v>4149</v>
      </c>
      <c r="K19" t="s">
        <v>3533</v>
      </c>
    </row>
    <row r="20" spans="1:11" x14ac:dyDescent="0.2">
      <c r="A20" t="s">
        <v>2600</v>
      </c>
      <c r="B20">
        <f>VALUE(RIGHT(A20,LEN(A20)-3))</f>
        <v>443</v>
      </c>
      <c r="C20">
        <v>1</v>
      </c>
      <c r="D20" t="s">
        <v>32</v>
      </c>
      <c r="E20" t="s">
        <v>559</v>
      </c>
      <c r="F20" t="s">
        <v>30</v>
      </c>
      <c r="G20" t="s">
        <v>83</v>
      </c>
      <c r="H20" t="s">
        <v>2601</v>
      </c>
      <c r="I20" t="s">
        <v>57</v>
      </c>
      <c r="J20" t="s">
        <v>4149</v>
      </c>
      <c r="K20" t="s">
        <v>3542</v>
      </c>
    </row>
    <row r="21" spans="1:11" x14ac:dyDescent="0.2">
      <c r="A21" t="s">
        <v>2689</v>
      </c>
      <c r="B21">
        <f>VALUE(RIGHT(A21,LEN(A21)-3))</f>
        <v>459</v>
      </c>
      <c r="C21">
        <v>1</v>
      </c>
      <c r="D21" t="s">
        <v>32</v>
      </c>
      <c r="E21" t="s">
        <v>2691</v>
      </c>
      <c r="F21" t="s">
        <v>602</v>
      </c>
      <c r="G21" t="s">
        <v>43</v>
      </c>
      <c r="H21" t="s">
        <v>2690</v>
      </c>
      <c r="I21" t="s">
        <v>57</v>
      </c>
      <c r="J21" t="s">
        <v>4149</v>
      </c>
      <c r="K21" t="s">
        <v>3556</v>
      </c>
    </row>
    <row r="22" spans="1:11" x14ac:dyDescent="0.2">
      <c r="A22" t="s">
        <v>2749</v>
      </c>
      <c r="B22">
        <f>VALUE(RIGHT(A22,LEN(A22)-3))</f>
        <v>471</v>
      </c>
      <c r="C22">
        <v>1</v>
      </c>
      <c r="D22" t="s">
        <v>32</v>
      </c>
      <c r="E22" t="s">
        <v>2751</v>
      </c>
      <c r="F22" t="s">
        <v>30</v>
      </c>
      <c r="G22" t="s">
        <v>43</v>
      </c>
      <c r="H22" t="s">
        <v>2750</v>
      </c>
      <c r="I22" t="s">
        <v>57</v>
      </c>
      <c r="J22" t="s">
        <v>4149</v>
      </c>
      <c r="K22" t="s">
        <v>3564</v>
      </c>
    </row>
    <row r="23" spans="1:11" x14ac:dyDescent="0.2">
      <c r="A23" t="s">
        <v>2913</v>
      </c>
      <c r="B23">
        <f>VALUE(RIGHT(A23,LEN(A23)-3))</f>
        <v>501</v>
      </c>
      <c r="C23">
        <v>1</v>
      </c>
      <c r="D23" t="s">
        <v>32</v>
      </c>
      <c r="E23" t="s">
        <v>2915</v>
      </c>
      <c r="F23" t="s">
        <v>503</v>
      </c>
      <c r="G23" t="s">
        <v>43</v>
      </c>
      <c r="H23" t="s">
        <v>2914</v>
      </c>
      <c r="I23" t="s">
        <v>57</v>
      </c>
      <c r="J23" t="s">
        <v>4149</v>
      </c>
      <c r="K23" t="s">
        <v>3588</v>
      </c>
    </row>
    <row r="24" spans="1:11" x14ac:dyDescent="0.2">
      <c r="A24" t="s">
        <v>2973</v>
      </c>
      <c r="B24">
        <f>VALUE(RIGHT(A24,LEN(A24)-3))</f>
        <v>512</v>
      </c>
      <c r="C24">
        <v>1</v>
      </c>
      <c r="D24" t="s">
        <v>32</v>
      </c>
      <c r="E24" t="s">
        <v>2976</v>
      </c>
      <c r="F24" t="s">
        <v>30</v>
      </c>
      <c r="G24" t="s">
        <v>746</v>
      </c>
      <c r="H24" t="s">
        <v>2974</v>
      </c>
      <c r="I24" t="s">
        <v>57</v>
      </c>
      <c r="J24" t="s">
        <v>4149</v>
      </c>
      <c r="K24" t="s">
        <v>3596</v>
      </c>
    </row>
    <row r="25" spans="1:11" x14ac:dyDescent="0.2">
      <c r="A25" t="s">
        <v>3076</v>
      </c>
      <c r="B25">
        <f>VALUE(RIGHT(A25,LEN(A25)-3))</f>
        <v>531</v>
      </c>
      <c r="C25">
        <v>1</v>
      </c>
      <c r="D25" t="s">
        <v>32</v>
      </c>
      <c r="E25" t="s">
        <v>2562</v>
      </c>
      <c r="F25" t="s">
        <v>30</v>
      </c>
      <c r="G25" t="s">
        <v>43</v>
      </c>
      <c r="H25" t="s">
        <v>3077</v>
      </c>
      <c r="I25" t="s">
        <v>57</v>
      </c>
      <c r="J25" t="s">
        <v>4149</v>
      </c>
      <c r="K25" t="s">
        <v>3613</v>
      </c>
    </row>
    <row r="26" spans="1:11" x14ac:dyDescent="0.2">
      <c r="A26" t="s">
        <v>89</v>
      </c>
      <c r="B26">
        <f>VALUE(RIGHT(A26,LEN(A26)-3))</f>
        <v>7</v>
      </c>
      <c r="C26">
        <v>1</v>
      </c>
      <c r="D26" t="s">
        <v>32</v>
      </c>
      <c r="E26" t="s">
        <v>92</v>
      </c>
      <c r="F26" t="s">
        <v>30</v>
      </c>
      <c r="G26" t="s">
        <v>43</v>
      </c>
      <c r="H26" t="s">
        <v>90</v>
      </c>
      <c r="I26" t="s">
        <v>57</v>
      </c>
      <c r="J26" t="s">
        <v>4151</v>
      </c>
      <c r="K26" t="s">
        <v>3123</v>
      </c>
    </row>
    <row r="27" spans="1:11" x14ac:dyDescent="0.2">
      <c r="A27" t="s">
        <v>229</v>
      </c>
      <c r="B27">
        <f>VALUE(RIGHT(A27,LEN(A27)-3))</f>
        <v>27</v>
      </c>
      <c r="C27">
        <v>1</v>
      </c>
      <c r="D27" t="s">
        <v>32</v>
      </c>
      <c r="E27" t="s">
        <v>231</v>
      </c>
      <c r="F27" t="s">
        <v>30</v>
      </c>
      <c r="G27" t="s">
        <v>43</v>
      </c>
      <c r="H27" t="s">
        <v>230</v>
      </c>
      <c r="I27" t="s">
        <v>57</v>
      </c>
      <c r="J27" t="s">
        <v>4151</v>
      </c>
      <c r="K27" t="s">
        <v>3142</v>
      </c>
    </row>
    <row r="28" spans="1:11" x14ac:dyDescent="0.2">
      <c r="A28" t="s">
        <v>316</v>
      </c>
      <c r="B28">
        <f>VALUE(RIGHT(A28,LEN(A28)-3))</f>
        <v>41</v>
      </c>
      <c r="C28">
        <v>1</v>
      </c>
      <c r="D28" t="s">
        <v>32</v>
      </c>
      <c r="E28" t="s">
        <v>319</v>
      </c>
      <c r="F28" t="s">
        <v>30</v>
      </c>
      <c r="G28" t="s">
        <v>43</v>
      </c>
      <c r="H28" t="s">
        <v>317</v>
      </c>
      <c r="I28" t="s">
        <v>57</v>
      </c>
      <c r="J28" t="s">
        <v>4151</v>
      </c>
      <c r="K28" t="s">
        <v>3154</v>
      </c>
    </row>
    <row r="29" spans="1:11" x14ac:dyDescent="0.2">
      <c r="A29" t="s">
        <v>577</v>
      </c>
      <c r="B29">
        <f>VALUE(RIGHT(A29,LEN(A29)-3))</f>
        <v>82</v>
      </c>
      <c r="C29">
        <v>1</v>
      </c>
      <c r="D29" t="s">
        <v>32</v>
      </c>
      <c r="E29" t="s">
        <v>579</v>
      </c>
      <c r="F29" t="s">
        <v>30</v>
      </c>
      <c r="G29" t="s">
        <v>43</v>
      </c>
      <c r="H29" t="s">
        <v>578</v>
      </c>
      <c r="I29" t="s">
        <v>57</v>
      </c>
      <c r="J29" t="s">
        <v>4151</v>
      </c>
      <c r="K29" t="s">
        <v>3194</v>
      </c>
    </row>
    <row r="30" spans="1:11" x14ac:dyDescent="0.2">
      <c r="A30" t="s">
        <v>788</v>
      </c>
      <c r="B30">
        <f>VALUE(RIGHT(A30,LEN(A30)-3))</f>
        <v>117</v>
      </c>
      <c r="C30">
        <v>2</v>
      </c>
      <c r="D30" t="s">
        <v>32</v>
      </c>
      <c r="E30" t="s">
        <v>790</v>
      </c>
      <c r="F30" t="s">
        <v>30</v>
      </c>
      <c r="G30" t="s">
        <v>43</v>
      </c>
      <c r="H30" t="s">
        <v>789</v>
      </c>
      <c r="I30" t="s">
        <v>57</v>
      </c>
      <c r="J30" t="s">
        <v>4151</v>
      </c>
      <c r="K30" t="s">
        <v>3224</v>
      </c>
    </row>
    <row r="31" spans="1:11" x14ac:dyDescent="0.2">
      <c r="A31" t="s">
        <v>924</v>
      </c>
      <c r="B31">
        <f>VALUE(RIGHT(A31,LEN(A31)-3))</f>
        <v>141</v>
      </c>
      <c r="C31">
        <v>1</v>
      </c>
      <c r="D31" t="s">
        <v>32</v>
      </c>
      <c r="E31" t="s">
        <v>927</v>
      </c>
      <c r="F31" t="s">
        <v>30</v>
      </c>
      <c r="G31" t="s">
        <v>43</v>
      </c>
      <c r="H31" t="s">
        <v>925</v>
      </c>
      <c r="I31" t="s">
        <v>57</v>
      </c>
      <c r="J31" t="s">
        <v>4151</v>
      </c>
      <c r="K31" t="s">
        <v>3244</v>
      </c>
    </row>
    <row r="32" spans="1:11" x14ac:dyDescent="0.2">
      <c r="A32" t="s">
        <v>1419</v>
      </c>
      <c r="B32">
        <f>VALUE(RIGHT(A32,LEN(A32)-3))</f>
        <v>229</v>
      </c>
      <c r="C32">
        <v>1</v>
      </c>
      <c r="D32" t="s">
        <v>32</v>
      </c>
      <c r="E32" t="s">
        <v>1421</v>
      </c>
      <c r="F32" t="s">
        <v>30</v>
      </c>
      <c r="G32" t="s">
        <v>43</v>
      </c>
      <c r="H32" t="s">
        <v>1420</v>
      </c>
      <c r="I32" t="s">
        <v>57</v>
      </c>
      <c r="J32" t="s">
        <v>4151</v>
      </c>
      <c r="K32" t="s">
        <v>3329</v>
      </c>
    </row>
    <row r="33" spans="1:11" x14ac:dyDescent="0.2">
      <c r="A33" t="s">
        <v>1439</v>
      </c>
      <c r="B33">
        <f>VALUE(RIGHT(A33,LEN(A33)-3))</f>
        <v>233</v>
      </c>
      <c r="C33">
        <v>1</v>
      </c>
      <c r="D33" t="s">
        <v>32</v>
      </c>
      <c r="E33" t="s">
        <v>1441</v>
      </c>
      <c r="F33" t="s">
        <v>30</v>
      </c>
      <c r="G33" t="s">
        <v>43</v>
      </c>
      <c r="H33" t="s">
        <v>1440</v>
      </c>
      <c r="I33" t="s">
        <v>57</v>
      </c>
      <c r="J33" t="s">
        <v>4151</v>
      </c>
      <c r="K33" t="s">
        <v>3333</v>
      </c>
    </row>
    <row r="34" spans="1:11" x14ac:dyDescent="0.2">
      <c r="A34" t="s">
        <v>1894</v>
      </c>
      <c r="B34">
        <f>VALUE(RIGHT(A34,LEN(A34)-3))</f>
        <v>319</v>
      </c>
      <c r="C34">
        <v>1</v>
      </c>
      <c r="D34" t="s">
        <v>32</v>
      </c>
      <c r="E34" t="s">
        <v>1896</v>
      </c>
      <c r="F34" t="s">
        <v>30</v>
      </c>
      <c r="G34" t="s">
        <v>43</v>
      </c>
      <c r="H34" t="s">
        <v>1895</v>
      </c>
      <c r="I34" t="s">
        <v>57</v>
      </c>
      <c r="J34" t="s">
        <v>4151</v>
      </c>
      <c r="K34" t="s">
        <v>3418</v>
      </c>
    </row>
    <row r="35" spans="1:11" x14ac:dyDescent="0.2">
      <c r="A35" t="s">
        <v>2153</v>
      </c>
      <c r="B35">
        <f>VALUE(RIGHT(A35,LEN(A35)-3))</f>
        <v>368</v>
      </c>
      <c r="C35">
        <v>1</v>
      </c>
      <c r="D35" t="s">
        <v>32</v>
      </c>
      <c r="E35" t="s">
        <v>2156</v>
      </c>
      <c r="F35" t="s">
        <v>503</v>
      </c>
      <c r="G35" t="s">
        <v>43</v>
      </c>
      <c r="H35" t="s">
        <v>2154</v>
      </c>
      <c r="I35" t="s">
        <v>57</v>
      </c>
      <c r="J35" t="s">
        <v>4151</v>
      </c>
      <c r="K35" t="s">
        <v>3463</v>
      </c>
    </row>
    <row r="36" spans="1:11" x14ac:dyDescent="0.2">
      <c r="A36" t="s">
        <v>2195</v>
      </c>
      <c r="B36">
        <f>VALUE(RIGHT(A36,LEN(A36)-3))</f>
        <v>374</v>
      </c>
      <c r="C36">
        <v>1</v>
      </c>
      <c r="D36" t="s">
        <v>32</v>
      </c>
      <c r="E36" t="s">
        <v>2197</v>
      </c>
      <c r="F36" t="s">
        <v>30</v>
      </c>
      <c r="G36" t="s">
        <v>43</v>
      </c>
      <c r="H36" t="s">
        <v>2196</v>
      </c>
      <c r="I36" t="s">
        <v>57</v>
      </c>
      <c r="J36" t="s">
        <v>4151</v>
      </c>
      <c r="K36" t="s">
        <v>3469</v>
      </c>
    </row>
    <row r="37" spans="1:11" x14ac:dyDescent="0.2">
      <c r="A37" t="s">
        <v>2229</v>
      </c>
      <c r="B37">
        <f>VALUE(RIGHT(A37,LEN(A37)-3))</f>
        <v>380</v>
      </c>
      <c r="C37">
        <v>1</v>
      </c>
      <c r="D37" t="s">
        <v>32</v>
      </c>
      <c r="E37" t="s">
        <v>2232</v>
      </c>
      <c r="F37" t="s">
        <v>30</v>
      </c>
      <c r="G37" t="s">
        <v>746</v>
      </c>
      <c r="H37" t="s">
        <v>2230</v>
      </c>
      <c r="I37" t="s">
        <v>57</v>
      </c>
      <c r="J37" t="s">
        <v>4151</v>
      </c>
      <c r="K37" t="s">
        <v>3475</v>
      </c>
    </row>
    <row r="38" spans="1:11" x14ac:dyDescent="0.2">
      <c r="A38" t="s">
        <v>2399</v>
      </c>
      <c r="B38">
        <f>VALUE(RIGHT(A38,LEN(A38)-3))</f>
        <v>407</v>
      </c>
      <c r="C38">
        <v>1</v>
      </c>
      <c r="D38" t="s">
        <v>32</v>
      </c>
      <c r="E38" t="s">
        <v>2403</v>
      </c>
      <c r="F38" t="s">
        <v>30</v>
      </c>
      <c r="G38" t="s">
        <v>43</v>
      </c>
      <c r="H38" t="s">
        <v>2400</v>
      </c>
      <c r="I38" t="s">
        <v>57</v>
      </c>
      <c r="J38" t="s">
        <v>4151</v>
      </c>
      <c r="K38" t="s">
        <v>3506</v>
      </c>
    </row>
    <row r="39" spans="1:11" x14ac:dyDescent="0.2">
      <c r="A39" t="s">
        <v>2429</v>
      </c>
      <c r="B39">
        <f>VALUE(RIGHT(A39,LEN(A39)-3))</f>
        <v>412</v>
      </c>
      <c r="C39">
        <v>2</v>
      </c>
      <c r="D39" t="s">
        <v>32</v>
      </c>
      <c r="E39" t="s">
        <v>2431</v>
      </c>
      <c r="F39" t="s">
        <v>30</v>
      </c>
      <c r="G39" t="s">
        <v>43</v>
      </c>
      <c r="H39" t="s">
        <v>2430</v>
      </c>
      <c r="I39" t="s">
        <v>57</v>
      </c>
      <c r="J39" t="s">
        <v>4151</v>
      </c>
      <c r="K39" t="s">
        <v>3512</v>
      </c>
    </row>
    <row r="40" spans="1:11" x14ac:dyDescent="0.2">
      <c r="A40" t="s">
        <v>2593</v>
      </c>
      <c r="B40">
        <f>VALUE(RIGHT(A40,LEN(A40)-3))</f>
        <v>442</v>
      </c>
      <c r="C40">
        <v>2</v>
      </c>
      <c r="D40" t="s">
        <v>32</v>
      </c>
      <c r="E40" t="s">
        <v>2596</v>
      </c>
      <c r="F40" t="s">
        <v>30</v>
      </c>
      <c r="G40" t="s">
        <v>43</v>
      </c>
      <c r="H40" t="s">
        <v>2594</v>
      </c>
      <c r="I40" t="s">
        <v>57</v>
      </c>
      <c r="J40" t="s">
        <v>4151</v>
      </c>
      <c r="K40" t="s">
        <v>3541</v>
      </c>
    </row>
    <row r="41" spans="1:11" x14ac:dyDescent="0.2">
      <c r="A41" t="s">
        <v>2626</v>
      </c>
      <c r="B41">
        <f>VALUE(RIGHT(A41,LEN(A41)-3))</f>
        <v>448</v>
      </c>
      <c r="C41">
        <v>1</v>
      </c>
      <c r="D41" t="s">
        <v>32</v>
      </c>
      <c r="E41" t="s">
        <v>2628</v>
      </c>
      <c r="F41" t="s">
        <v>2305</v>
      </c>
      <c r="G41" t="s">
        <v>43</v>
      </c>
      <c r="H41" t="s">
        <v>2627</v>
      </c>
      <c r="I41" t="s">
        <v>57</v>
      </c>
      <c r="J41" t="s">
        <v>4151</v>
      </c>
      <c r="K41" t="s">
        <v>3544</v>
      </c>
    </row>
    <row r="42" spans="1:11" x14ac:dyDescent="0.2">
      <c r="A42" t="s">
        <v>2699</v>
      </c>
      <c r="B42">
        <f>VALUE(RIGHT(A42,LEN(A42)-3))</f>
        <v>461</v>
      </c>
      <c r="C42">
        <v>1</v>
      </c>
      <c r="D42" t="s">
        <v>32</v>
      </c>
      <c r="E42" t="s">
        <v>2701</v>
      </c>
      <c r="F42" t="s">
        <v>30</v>
      </c>
      <c r="G42" t="s">
        <v>43</v>
      </c>
      <c r="H42" t="s">
        <v>2700</v>
      </c>
      <c r="I42" t="s">
        <v>57</v>
      </c>
      <c r="J42" t="s">
        <v>4151</v>
      </c>
      <c r="K42" t="s">
        <v>3557</v>
      </c>
    </row>
    <row r="43" spans="1:11" x14ac:dyDescent="0.2">
      <c r="A43" t="s">
        <v>2776</v>
      </c>
      <c r="B43">
        <f>VALUE(RIGHT(A43,LEN(A43)-3))</f>
        <v>476</v>
      </c>
      <c r="C43">
        <v>1</v>
      </c>
      <c r="D43" t="s">
        <v>32</v>
      </c>
      <c r="E43" t="s">
        <v>2778</v>
      </c>
      <c r="F43" t="s">
        <v>30</v>
      </c>
      <c r="G43" t="s">
        <v>43</v>
      </c>
      <c r="H43" t="s">
        <v>2777</v>
      </c>
      <c r="I43" t="s">
        <v>57</v>
      </c>
      <c r="J43" t="s">
        <v>4151</v>
      </c>
      <c r="K43" t="s">
        <v>3567</v>
      </c>
    </row>
    <row r="44" spans="1:11" x14ac:dyDescent="0.2">
      <c r="A44" t="s">
        <v>2941</v>
      </c>
      <c r="B44">
        <f>VALUE(RIGHT(A44,LEN(A44)-3))</f>
        <v>506</v>
      </c>
      <c r="C44">
        <v>1</v>
      </c>
      <c r="D44" t="s">
        <v>32</v>
      </c>
      <c r="E44" t="s">
        <v>2944</v>
      </c>
      <c r="F44" t="s">
        <v>30</v>
      </c>
      <c r="G44" t="s">
        <v>43</v>
      </c>
      <c r="H44" t="s">
        <v>2942</v>
      </c>
      <c r="I44" t="s">
        <v>57</v>
      </c>
      <c r="J44" t="s">
        <v>4151</v>
      </c>
      <c r="K44" t="s">
        <v>3592</v>
      </c>
    </row>
    <row r="45" spans="1:11" x14ac:dyDescent="0.2">
      <c r="A45" t="s">
        <v>2968</v>
      </c>
      <c r="B45">
        <f>VALUE(RIGHT(A45,LEN(A45)-3))</f>
        <v>511</v>
      </c>
      <c r="C45">
        <v>1</v>
      </c>
      <c r="D45" t="s">
        <v>32</v>
      </c>
      <c r="E45" t="s">
        <v>2969</v>
      </c>
      <c r="F45" t="s">
        <v>503</v>
      </c>
      <c r="G45" t="s">
        <v>43</v>
      </c>
      <c r="H45" t="s">
        <v>2964</v>
      </c>
      <c r="I45" t="s">
        <v>57</v>
      </c>
      <c r="J45" t="s">
        <v>4151</v>
      </c>
      <c r="K45" t="s">
        <v>3595</v>
      </c>
    </row>
    <row r="46" spans="1:11" x14ac:dyDescent="0.2">
      <c r="A46" t="s">
        <v>169</v>
      </c>
      <c r="B46">
        <f>VALUE(RIGHT(A46,LEN(A46)-3))</f>
        <v>18</v>
      </c>
      <c r="C46">
        <v>1</v>
      </c>
      <c r="D46" t="s">
        <v>32</v>
      </c>
      <c r="E46" t="s">
        <v>171</v>
      </c>
      <c r="F46" t="s">
        <v>30</v>
      </c>
      <c r="G46" t="s">
        <v>43</v>
      </c>
      <c r="H46" t="s">
        <v>170</v>
      </c>
      <c r="I46" t="s">
        <v>57</v>
      </c>
      <c r="J46" t="s">
        <v>4150</v>
      </c>
      <c r="K46" t="s">
        <v>3135</v>
      </c>
    </row>
    <row r="47" spans="1:11" x14ac:dyDescent="0.2">
      <c r="A47" t="s">
        <v>184</v>
      </c>
      <c r="B47">
        <f>VALUE(RIGHT(A47,LEN(A47)-3))</f>
        <v>20</v>
      </c>
      <c r="C47">
        <v>1</v>
      </c>
      <c r="D47" t="s">
        <v>32</v>
      </c>
      <c r="E47" t="s">
        <v>186</v>
      </c>
      <c r="F47" t="s">
        <v>30</v>
      </c>
      <c r="G47" t="s">
        <v>83</v>
      </c>
      <c r="H47" t="s">
        <v>185</v>
      </c>
      <c r="I47" t="s">
        <v>57</v>
      </c>
      <c r="J47" t="s">
        <v>4150</v>
      </c>
      <c r="K47" t="s">
        <v>3137</v>
      </c>
    </row>
    <row r="48" spans="1:11" x14ac:dyDescent="0.2">
      <c r="A48" t="s">
        <v>237</v>
      </c>
      <c r="B48">
        <f>VALUE(RIGHT(A48,LEN(A48)-3))</f>
        <v>28</v>
      </c>
      <c r="C48">
        <v>1</v>
      </c>
      <c r="D48" t="s">
        <v>32</v>
      </c>
      <c r="E48" t="s">
        <v>239</v>
      </c>
      <c r="F48" t="s">
        <v>30</v>
      </c>
      <c r="G48" t="s">
        <v>43</v>
      </c>
      <c r="H48" t="s">
        <v>238</v>
      </c>
      <c r="I48" t="s">
        <v>57</v>
      </c>
      <c r="J48" t="s">
        <v>4150</v>
      </c>
      <c r="K48" t="s">
        <v>3144</v>
      </c>
    </row>
    <row r="49" spans="1:11" x14ac:dyDescent="0.2">
      <c r="A49" t="s">
        <v>286</v>
      </c>
      <c r="B49">
        <f>VALUE(RIGHT(A49,LEN(A49)-3))</f>
        <v>36</v>
      </c>
      <c r="C49">
        <v>2</v>
      </c>
      <c r="D49" t="s">
        <v>32</v>
      </c>
      <c r="E49" t="s">
        <v>289</v>
      </c>
      <c r="F49" t="s">
        <v>30</v>
      </c>
      <c r="G49" t="s">
        <v>43</v>
      </c>
      <c r="H49" t="s">
        <v>287</v>
      </c>
      <c r="I49" t="s">
        <v>57</v>
      </c>
      <c r="J49" t="s">
        <v>4150</v>
      </c>
      <c r="K49" t="s">
        <v>3152</v>
      </c>
    </row>
    <row r="50" spans="1:11" x14ac:dyDescent="0.2">
      <c r="A50" t="s">
        <v>331</v>
      </c>
      <c r="B50">
        <f>VALUE(RIGHT(A50,LEN(A50)-3))</f>
        <v>43</v>
      </c>
      <c r="C50">
        <v>1</v>
      </c>
      <c r="D50" t="s">
        <v>32</v>
      </c>
      <c r="E50" t="s">
        <v>333</v>
      </c>
      <c r="F50" t="s">
        <v>30</v>
      </c>
      <c r="G50" t="s">
        <v>29</v>
      </c>
      <c r="H50" t="s">
        <v>332</v>
      </c>
      <c r="I50" t="s">
        <v>57</v>
      </c>
      <c r="J50" t="s">
        <v>4150</v>
      </c>
      <c r="K50" t="s">
        <v>3157</v>
      </c>
    </row>
    <row r="51" spans="1:11" x14ac:dyDescent="0.2">
      <c r="A51" t="s">
        <v>362</v>
      </c>
      <c r="B51">
        <f>VALUE(RIGHT(A51,LEN(A51)-3))</f>
        <v>48</v>
      </c>
      <c r="C51">
        <v>1</v>
      </c>
      <c r="D51" t="s">
        <v>32</v>
      </c>
      <c r="E51" t="s">
        <v>364</v>
      </c>
      <c r="F51" t="s">
        <v>30</v>
      </c>
      <c r="G51" t="s">
        <v>43</v>
      </c>
      <c r="H51" t="s">
        <v>363</v>
      </c>
      <c r="I51" t="s">
        <v>57</v>
      </c>
      <c r="J51" t="s">
        <v>4150</v>
      </c>
      <c r="K51" t="s">
        <v>3161</v>
      </c>
    </row>
    <row r="52" spans="1:11" x14ac:dyDescent="0.2">
      <c r="A52" t="s">
        <v>383</v>
      </c>
      <c r="B52">
        <f>VALUE(RIGHT(A52,LEN(A52)-3))</f>
        <v>51</v>
      </c>
      <c r="C52">
        <v>1</v>
      </c>
      <c r="D52" t="s">
        <v>32</v>
      </c>
      <c r="E52" t="s">
        <v>386</v>
      </c>
      <c r="F52" t="s">
        <v>30</v>
      </c>
      <c r="G52" t="s">
        <v>43</v>
      </c>
      <c r="H52" t="s">
        <v>384</v>
      </c>
      <c r="I52" t="s">
        <v>57</v>
      </c>
      <c r="J52" t="s">
        <v>4150</v>
      </c>
      <c r="K52" t="s">
        <v>3164</v>
      </c>
    </row>
    <row r="53" spans="1:11" x14ac:dyDescent="0.2">
      <c r="A53" t="s">
        <v>459</v>
      </c>
      <c r="B53">
        <f>VALUE(RIGHT(A53,LEN(A53)-3))</f>
        <v>63</v>
      </c>
      <c r="C53">
        <v>1</v>
      </c>
      <c r="D53" t="s">
        <v>32</v>
      </c>
      <c r="E53" t="s">
        <v>462</v>
      </c>
      <c r="F53" t="s">
        <v>30</v>
      </c>
      <c r="G53" t="s">
        <v>29</v>
      </c>
      <c r="H53" t="s">
        <v>460</v>
      </c>
      <c r="I53" t="s">
        <v>57</v>
      </c>
      <c r="J53" t="s">
        <v>4150</v>
      </c>
      <c r="K53" t="s">
        <v>3178</v>
      </c>
    </row>
    <row r="54" spans="1:11" x14ac:dyDescent="0.2">
      <c r="A54" t="s">
        <v>466</v>
      </c>
      <c r="B54">
        <f>VALUE(RIGHT(A54,LEN(A54)-3))</f>
        <v>64</v>
      </c>
      <c r="C54">
        <v>1</v>
      </c>
      <c r="D54" t="s">
        <v>32</v>
      </c>
      <c r="E54" t="s">
        <v>468</v>
      </c>
      <c r="F54" t="s">
        <v>30</v>
      </c>
      <c r="G54" t="s">
        <v>83</v>
      </c>
      <c r="H54" t="s">
        <v>467</v>
      </c>
      <c r="I54" t="s">
        <v>57</v>
      </c>
      <c r="J54" t="s">
        <v>4150</v>
      </c>
      <c r="K54" t="s">
        <v>3179</v>
      </c>
    </row>
    <row r="55" spans="1:11" x14ac:dyDescent="0.2">
      <c r="A55" t="s">
        <v>483</v>
      </c>
      <c r="B55">
        <f>VALUE(RIGHT(A55,LEN(A55)-3))</f>
        <v>67</v>
      </c>
      <c r="C55">
        <v>1</v>
      </c>
      <c r="D55" t="s">
        <v>32</v>
      </c>
      <c r="E55" t="s">
        <v>485</v>
      </c>
      <c r="F55" t="s">
        <v>30</v>
      </c>
      <c r="G55" t="s">
        <v>43</v>
      </c>
      <c r="H55" t="s">
        <v>484</v>
      </c>
      <c r="I55" t="s">
        <v>57</v>
      </c>
      <c r="J55" t="s">
        <v>4150</v>
      </c>
      <c r="K55" t="s">
        <v>3183</v>
      </c>
    </row>
    <row r="56" spans="1:11" x14ac:dyDescent="0.2">
      <c r="A56" t="s">
        <v>500</v>
      </c>
      <c r="B56">
        <f>VALUE(RIGHT(A56,LEN(A56)-3))</f>
        <v>70</v>
      </c>
      <c r="C56">
        <v>1</v>
      </c>
      <c r="D56" t="s">
        <v>32</v>
      </c>
      <c r="E56" t="s">
        <v>505</v>
      </c>
      <c r="F56" t="s">
        <v>503</v>
      </c>
      <c r="G56" t="s">
        <v>43</v>
      </c>
      <c r="H56" t="s">
        <v>501</v>
      </c>
      <c r="I56" t="s">
        <v>57</v>
      </c>
      <c r="J56" t="s">
        <v>4150</v>
      </c>
      <c r="K56" t="s">
        <v>3185</v>
      </c>
    </row>
    <row r="57" spans="1:11" x14ac:dyDescent="0.2">
      <c r="A57" t="s">
        <v>588</v>
      </c>
      <c r="B57">
        <f>VALUE(RIGHT(A57,LEN(A57)-3))</f>
        <v>84</v>
      </c>
      <c r="C57">
        <v>1</v>
      </c>
      <c r="D57" t="s">
        <v>32</v>
      </c>
      <c r="E57" t="s">
        <v>590</v>
      </c>
      <c r="F57" t="s">
        <v>503</v>
      </c>
      <c r="G57" t="s">
        <v>43</v>
      </c>
      <c r="H57" t="s">
        <v>589</v>
      </c>
      <c r="I57" t="s">
        <v>57</v>
      </c>
      <c r="J57" t="s">
        <v>4150</v>
      </c>
      <c r="K57" t="s">
        <v>3195</v>
      </c>
    </row>
    <row r="58" spans="1:11" x14ac:dyDescent="0.2">
      <c r="A58" t="s">
        <v>608</v>
      </c>
      <c r="B58">
        <f>VALUE(RIGHT(A58,LEN(A58)-3))</f>
        <v>87</v>
      </c>
      <c r="C58">
        <v>1</v>
      </c>
      <c r="D58" t="s">
        <v>32</v>
      </c>
      <c r="E58" t="s">
        <v>611</v>
      </c>
      <c r="F58" t="s">
        <v>30</v>
      </c>
      <c r="G58" t="s">
        <v>29</v>
      </c>
      <c r="H58" t="s">
        <v>609</v>
      </c>
      <c r="I58" t="s">
        <v>57</v>
      </c>
      <c r="J58" t="s">
        <v>4150</v>
      </c>
      <c r="K58" t="s">
        <v>3197</v>
      </c>
    </row>
    <row r="59" spans="1:11" x14ac:dyDescent="0.2">
      <c r="A59" t="s">
        <v>643</v>
      </c>
      <c r="B59">
        <f>VALUE(RIGHT(A59,LEN(A59)-3))</f>
        <v>92</v>
      </c>
      <c r="C59">
        <v>1</v>
      </c>
      <c r="D59" t="s">
        <v>32</v>
      </c>
      <c r="E59" t="s">
        <v>645</v>
      </c>
      <c r="F59" t="s">
        <v>602</v>
      </c>
      <c r="G59" t="s">
        <v>43</v>
      </c>
      <c r="H59" t="s">
        <v>644</v>
      </c>
      <c r="I59" t="s">
        <v>57</v>
      </c>
      <c r="J59" t="s">
        <v>4150</v>
      </c>
      <c r="K59" t="s">
        <v>3202</v>
      </c>
    </row>
    <row r="60" spans="1:11" x14ac:dyDescent="0.2">
      <c r="A60" t="s">
        <v>683</v>
      </c>
      <c r="B60">
        <f>VALUE(RIGHT(A60,LEN(A60)-3))</f>
        <v>100</v>
      </c>
      <c r="C60">
        <v>1</v>
      </c>
      <c r="D60" t="s">
        <v>32</v>
      </c>
      <c r="E60" t="s">
        <v>685</v>
      </c>
      <c r="F60" t="s">
        <v>30</v>
      </c>
      <c r="G60" t="s">
        <v>83</v>
      </c>
      <c r="H60" t="s">
        <v>684</v>
      </c>
      <c r="I60" t="s">
        <v>57</v>
      </c>
      <c r="J60" t="s">
        <v>4150</v>
      </c>
      <c r="K60" t="s">
        <v>3206</v>
      </c>
    </row>
    <row r="61" spans="1:11" x14ac:dyDescent="0.2">
      <c r="A61" t="s">
        <v>709</v>
      </c>
      <c r="B61">
        <f>VALUE(RIGHT(A61,LEN(A61)-3))</f>
        <v>104</v>
      </c>
      <c r="C61">
        <v>1</v>
      </c>
      <c r="D61" t="s">
        <v>32</v>
      </c>
      <c r="E61" t="s">
        <v>711</v>
      </c>
      <c r="F61" t="s">
        <v>30</v>
      </c>
      <c r="G61" t="s">
        <v>83</v>
      </c>
      <c r="H61" t="s">
        <v>710</v>
      </c>
      <c r="I61" t="s">
        <v>57</v>
      </c>
      <c r="J61" t="s">
        <v>4150</v>
      </c>
      <c r="K61" t="s">
        <v>3209</v>
      </c>
    </row>
    <row r="62" spans="1:11" x14ac:dyDescent="0.2">
      <c r="A62" t="s">
        <v>726</v>
      </c>
      <c r="B62">
        <f>VALUE(RIGHT(A62,LEN(A62)-3))</f>
        <v>107</v>
      </c>
      <c r="C62">
        <v>1</v>
      </c>
      <c r="D62" t="s">
        <v>32</v>
      </c>
      <c r="E62" t="s">
        <v>728</v>
      </c>
      <c r="F62" t="s">
        <v>30</v>
      </c>
      <c r="G62" t="s">
        <v>43</v>
      </c>
      <c r="H62" t="s">
        <v>727</v>
      </c>
      <c r="I62" t="s">
        <v>57</v>
      </c>
      <c r="J62" t="s">
        <v>4150</v>
      </c>
      <c r="K62" t="s">
        <v>3212</v>
      </c>
    </row>
    <row r="63" spans="1:11" x14ac:dyDescent="0.2">
      <c r="A63" t="s">
        <v>738</v>
      </c>
      <c r="B63">
        <f>VALUE(RIGHT(A63,LEN(A63)-3))</f>
        <v>109</v>
      </c>
      <c r="C63">
        <v>1</v>
      </c>
      <c r="D63" t="s">
        <v>32</v>
      </c>
      <c r="E63" t="s">
        <v>611</v>
      </c>
      <c r="F63" t="s">
        <v>30</v>
      </c>
      <c r="G63" t="s">
        <v>29</v>
      </c>
      <c r="H63" t="s">
        <v>739</v>
      </c>
      <c r="I63" t="s">
        <v>57</v>
      </c>
      <c r="J63" t="s">
        <v>4150</v>
      </c>
      <c r="K63" t="s">
        <v>3214</v>
      </c>
    </row>
    <row r="64" spans="1:11" x14ac:dyDescent="0.2">
      <c r="A64" t="s">
        <v>755</v>
      </c>
      <c r="B64">
        <f>VALUE(RIGHT(A64,LEN(A64)-3))</f>
        <v>112</v>
      </c>
      <c r="C64">
        <v>2</v>
      </c>
      <c r="D64" t="s">
        <v>32</v>
      </c>
      <c r="E64" t="s">
        <v>757</v>
      </c>
      <c r="F64" t="s">
        <v>30</v>
      </c>
      <c r="G64" t="s">
        <v>83</v>
      </c>
      <c r="H64" t="s">
        <v>756</v>
      </c>
      <c r="I64" t="s">
        <v>57</v>
      </c>
      <c r="J64" t="s">
        <v>4150</v>
      </c>
      <c r="K64" t="s">
        <v>3217</v>
      </c>
    </row>
    <row r="65" spans="1:11" x14ac:dyDescent="0.2">
      <c r="A65" t="s">
        <v>798</v>
      </c>
      <c r="B65">
        <f>VALUE(RIGHT(A65,LEN(A65)-3))</f>
        <v>119</v>
      </c>
      <c r="C65">
        <v>1</v>
      </c>
      <c r="D65" t="s">
        <v>32</v>
      </c>
      <c r="E65" t="s">
        <v>801</v>
      </c>
      <c r="F65" t="s">
        <v>30</v>
      </c>
      <c r="G65" t="s">
        <v>43</v>
      </c>
      <c r="H65" t="s">
        <v>799</v>
      </c>
      <c r="I65" t="s">
        <v>57</v>
      </c>
      <c r="J65" t="s">
        <v>4150</v>
      </c>
      <c r="K65" t="s">
        <v>3226</v>
      </c>
    </row>
    <row r="66" spans="1:11" x14ac:dyDescent="0.2">
      <c r="A66" t="s">
        <v>821</v>
      </c>
      <c r="B66">
        <f>VALUE(RIGHT(A66,LEN(A66)-3))</f>
        <v>123</v>
      </c>
      <c r="C66">
        <v>1</v>
      </c>
      <c r="D66" t="s">
        <v>32</v>
      </c>
      <c r="E66" t="s">
        <v>823</v>
      </c>
      <c r="F66" t="s">
        <v>503</v>
      </c>
      <c r="G66" t="s">
        <v>43</v>
      </c>
      <c r="H66" t="s">
        <v>816</v>
      </c>
      <c r="I66" t="s">
        <v>57</v>
      </c>
      <c r="J66" t="s">
        <v>4150</v>
      </c>
      <c r="K66" t="s">
        <v>3229</v>
      </c>
    </row>
    <row r="67" spans="1:11" x14ac:dyDescent="0.2">
      <c r="A67" t="s">
        <v>830</v>
      </c>
      <c r="B67">
        <f>VALUE(RIGHT(A67,LEN(A67)-3))</f>
        <v>125</v>
      </c>
      <c r="C67">
        <v>1</v>
      </c>
      <c r="D67" t="s">
        <v>32</v>
      </c>
      <c r="E67" t="s">
        <v>832</v>
      </c>
      <c r="F67" t="s">
        <v>503</v>
      </c>
      <c r="G67" t="s">
        <v>43</v>
      </c>
      <c r="H67" t="s">
        <v>831</v>
      </c>
      <c r="I67" t="s">
        <v>57</v>
      </c>
      <c r="J67" t="s">
        <v>4150</v>
      </c>
      <c r="K67" t="s">
        <v>3231</v>
      </c>
    </row>
    <row r="68" spans="1:11" x14ac:dyDescent="0.2">
      <c r="A68" t="s">
        <v>863</v>
      </c>
      <c r="B68">
        <f>VALUE(RIGHT(A68,LEN(A68)-3))</f>
        <v>131</v>
      </c>
      <c r="C68">
        <v>2</v>
      </c>
      <c r="D68" t="s">
        <v>32</v>
      </c>
      <c r="E68" t="s">
        <v>865</v>
      </c>
      <c r="F68" t="s">
        <v>30</v>
      </c>
      <c r="G68" t="s">
        <v>29</v>
      </c>
      <c r="H68" t="s">
        <v>864</v>
      </c>
      <c r="I68" t="s">
        <v>57</v>
      </c>
      <c r="J68" t="s">
        <v>4150</v>
      </c>
      <c r="K68" t="s">
        <v>3235</v>
      </c>
    </row>
    <row r="69" spans="1:11" x14ac:dyDescent="0.2">
      <c r="A69" t="s">
        <v>873</v>
      </c>
      <c r="B69">
        <f>VALUE(RIGHT(A69,LEN(A69)-3))</f>
        <v>133</v>
      </c>
      <c r="C69">
        <v>1</v>
      </c>
      <c r="D69" t="s">
        <v>32</v>
      </c>
      <c r="E69" t="s">
        <v>875</v>
      </c>
      <c r="F69" t="s">
        <v>503</v>
      </c>
      <c r="G69" t="s">
        <v>43</v>
      </c>
      <c r="H69" t="s">
        <v>874</v>
      </c>
      <c r="I69" t="s">
        <v>57</v>
      </c>
      <c r="J69" t="s">
        <v>4150</v>
      </c>
      <c r="K69" t="s">
        <v>3236</v>
      </c>
    </row>
    <row r="70" spans="1:11" x14ac:dyDescent="0.2">
      <c r="A70" t="s">
        <v>970</v>
      </c>
      <c r="B70">
        <f>VALUE(RIGHT(A70,LEN(A70)-3))</f>
        <v>149</v>
      </c>
      <c r="C70">
        <v>1</v>
      </c>
      <c r="D70" t="s">
        <v>32</v>
      </c>
      <c r="E70" t="s">
        <v>973</v>
      </c>
      <c r="F70" t="s">
        <v>30</v>
      </c>
      <c r="G70" t="s">
        <v>43</v>
      </c>
      <c r="H70" t="s">
        <v>971</v>
      </c>
      <c r="I70" t="s">
        <v>57</v>
      </c>
      <c r="J70" t="s">
        <v>4150</v>
      </c>
      <c r="K70" t="s">
        <v>3251</v>
      </c>
    </row>
    <row r="71" spans="1:11" x14ac:dyDescent="0.2">
      <c r="A71" t="s">
        <v>1014</v>
      </c>
      <c r="B71">
        <f>VALUE(RIGHT(A71,LEN(A71)-3))</f>
        <v>157</v>
      </c>
      <c r="C71">
        <v>1</v>
      </c>
      <c r="D71" t="s">
        <v>32</v>
      </c>
      <c r="E71" t="s">
        <v>1017</v>
      </c>
      <c r="F71" t="s">
        <v>503</v>
      </c>
      <c r="G71" t="s">
        <v>43</v>
      </c>
      <c r="H71" t="s">
        <v>1015</v>
      </c>
      <c r="I71" t="s">
        <v>57</v>
      </c>
      <c r="J71" t="s">
        <v>4150</v>
      </c>
      <c r="K71" t="s">
        <v>3260</v>
      </c>
    </row>
    <row r="72" spans="1:11" x14ac:dyDescent="0.2">
      <c r="A72" t="s">
        <v>1020</v>
      </c>
      <c r="B72">
        <f>VALUE(RIGHT(A72,LEN(A72)-3))</f>
        <v>158</v>
      </c>
      <c r="C72">
        <v>1</v>
      </c>
      <c r="D72" t="s">
        <v>32</v>
      </c>
      <c r="E72" t="s">
        <v>1023</v>
      </c>
      <c r="F72" t="s">
        <v>30</v>
      </c>
      <c r="G72" t="s">
        <v>54</v>
      </c>
      <c r="H72" t="s">
        <v>1021</v>
      </c>
      <c r="I72" t="s">
        <v>57</v>
      </c>
      <c r="J72" t="s">
        <v>4150</v>
      </c>
      <c r="K72" t="s">
        <v>3261</v>
      </c>
    </row>
    <row r="73" spans="1:11" x14ac:dyDescent="0.2">
      <c r="A73" t="s">
        <v>1041</v>
      </c>
      <c r="B73">
        <f>VALUE(RIGHT(A73,LEN(A73)-3))</f>
        <v>162</v>
      </c>
      <c r="C73">
        <v>1</v>
      </c>
      <c r="D73" t="s">
        <v>32</v>
      </c>
      <c r="E73" t="s">
        <v>1044</v>
      </c>
      <c r="F73" t="s">
        <v>30</v>
      </c>
      <c r="G73" t="s">
        <v>29</v>
      </c>
      <c r="H73" t="s">
        <v>1042</v>
      </c>
      <c r="I73" t="s">
        <v>57</v>
      </c>
      <c r="J73" t="s">
        <v>4150</v>
      </c>
      <c r="K73" t="s">
        <v>3264</v>
      </c>
    </row>
    <row r="74" spans="1:11" x14ac:dyDescent="0.2">
      <c r="A74" t="s">
        <v>1048</v>
      </c>
      <c r="B74">
        <f>VALUE(RIGHT(A74,LEN(A74)-3))</f>
        <v>163</v>
      </c>
      <c r="C74">
        <v>1</v>
      </c>
      <c r="D74" t="s">
        <v>32</v>
      </c>
      <c r="E74" t="s">
        <v>1052</v>
      </c>
      <c r="F74" t="s">
        <v>503</v>
      </c>
      <c r="G74" t="s">
        <v>43</v>
      </c>
      <c r="H74" t="s">
        <v>1049</v>
      </c>
      <c r="I74" t="s">
        <v>57</v>
      </c>
      <c r="J74" t="s">
        <v>4150</v>
      </c>
      <c r="K74" t="s">
        <v>3265</v>
      </c>
    </row>
    <row r="75" spans="1:11" x14ac:dyDescent="0.2">
      <c r="A75" t="s">
        <v>1101</v>
      </c>
      <c r="B75">
        <f>VALUE(RIGHT(A75,LEN(A75)-3))</f>
        <v>172</v>
      </c>
      <c r="C75">
        <v>1</v>
      </c>
      <c r="D75" t="s">
        <v>32</v>
      </c>
      <c r="E75" t="s">
        <v>1103</v>
      </c>
      <c r="F75" t="s">
        <v>503</v>
      </c>
      <c r="G75" t="s">
        <v>43</v>
      </c>
      <c r="H75" t="s">
        <v>1102</v>
      </c>
      <c r="I75" t="s">
        <v>57</v>
      </c>
      <c r="J75" t="s">
        <v>4150</v>
      </c>
      <c r="K75" t="s">
        <v>3272</v>
      </c>
    </row>
    <row r="76" spans="1:11" x14ac:dyDescent="0.2">
      <c r="A76" t="s">
        <v>1148</v>
      </c>
      <c r="B76">
        <f>VALUE(RIGHT(A76,LEN(A76)-3))</f>
        <v>180</v>
      </c>
      <c r="C76">
        <v>1</v>
      </c>
      <c r="D76" t="s">
        <v>32</v>
      </c>
      <c r="E76" t="s">
        <v>611</v>
      </c>
      <c r="F76" t="s">
        <v>30</v>
      </c>
      <c r="G76" t="s">
        <v>43</v>
      </c>
      <c r="H76" t="s">
        <v>1149</v>
      </c>
      <c r="I76" t="s">
        <v>57</v>
      </c>
      <c r="J76" t="s">
        <v>4150</v>
      </c>
      <c r="K76" t="s">
        <v>3278</v>
      </c>
    </row>
    <row r="77" spans="1:11" x14ac:dyDescent="0.2">
      <c r="A77" t="s">
        <v>1152</v>
      </c>
      <c r="B77">
        <f>VALUE(RIGHT(A77,LEN(A77)-3))</f>
        <v>181</v>
      </c>
      <c r="C77">
        <v>1</v>
      </c>
      <c r="D77" t="s">
        <v>32</v>
      </c>
      <c r="E77" t="s">
        <v>1155</v>
      </c>
      <c r="F77" t="s">
        <v>30</v>
      </c>
      <c r="G77" t="s">
        <v>29</v>
      </c>
      <c r="H77" t="s">
        <v>1153</v>
      </c>
      <c r="I77" t="s">
        <v>57</v>
      </c>
      <c r="J77" t="s">
        <v>4150</v>
      </c>
      <c r="K77" t="s">
        <v>3279</v>
      </c>
    </row>
    <row r="78" spans="1:11" x14ac:dyDescent="0.2">
      <c r="A78" t="s">
        <v>1221</v>
      </c>
      <c r="B78">
        <f>VALUE(RIGHT(A78,LEN(A78)-3))</f>
        <v>193</v>
      </c>
      <c r="C78">
        <v>1</v>
      </c>
      <c r="D78" t="s">
        <v>32</v>
      </c>
      <c r="E78" t="s">
        <v>1224</v>
      </c>
      <c r="F78" t="s">
        <v>503</v>
      </c>
      <c r="G78" t="s">
        <v>43</v>
      </c>
      <c r="H78" t="s">
        <v>1222</v>
      </c>
      <c r="I78" t="s">
        <v>57</v>
      </c>
      <c r="J78" t="s">
        <v>4150</v>
      </c>
      <c r="K78" t="s">
        <v>3291</v>
      </c>
    </row>
    <row r="79" spans="1:11" x14ac:dyDescent="0.2">
      <c r="A79" t="s">
        <v>1231</v>
      </c>
      <c r="B79">
        <f>VALUE(RIGHT(A79,LEN(A79)-3))</f>
        <v>195</v>
      </c>
      <c r="C79">
        <v>2</v>
      </c>
      <c r="D79" t="s">
        <v>32</v>
      </c>
      <c r="E79" t="s">
        <v>1233</v>
      </c>
      <c r="F79" t="s">
        <v>503</v>
      </c>
      <c r="G79" t="s">
        <v>43</v>
      </c>
      <c r="H79" t="s">
        <v>1232</v>
      </c>
      <c r="I79" t="s">
        <v>57</v>
      </c>
      <c r="J79" t="s">
        <v>4150</v>
      </c>
      <c r="K79" t="s">
        <v>3294</v>
      </c>
    </row>
    <row r="80" spans="1:11" x14ac:dyDescent="0.2">
      <c r="A80" t="s">
        <v>1246</v>
      </c>
      <c r="B80">
        <f>VALUE(RIGHT(A80,LEN(A80)-3))</f>
        <v>198</v>
      </c>
      <c r="C80">
        <v>1</v>
      </c>
      <c r="D80" t="s">
        <v>32</v>
      </c>
      <c r="E80" t="s">
        <v>1249</v>
      </c>
      <c r="F80" t="s">
        <v>503</v>
      </c>
      <c r="G80" t="s">
        <v>43</v>
      </c>
      <c r="H80" t="s">
        <v>1247</v>
      </c>
      <c r="I80" t="s">
        <v>57</v>
      </c>
      <c r="J80" t="s">
        <v>4150</v>
      </c>
      <c r="K80" t="s">
        <v>3297</v>
      </c>
    </row>
    <row r="81" spans="1:11" x14ac:dyDescent="0.2">
      <c r="A81" t="s">
        <v>1253</v>
      </c>
      <c r="B81">
        <f>VALUE(RIGHT(A81,LEN(A81)-3))</f>
        <v>199</v>
      </c>
      <c r="C81">
        <v>1</v>
      </c>
      <c r="D81" t="s">
        <v>32</v>
      </c>
      <c r="E81" t="s">
        <v>611</v>
      </c>
      <c r="F81" t="s">
        <v>30</v>
      </c>
      <c r="G81" t="s">
        <v>29</v>
      </c>
      <c r="H81" t="s">
        <v>1254</v>
      </c>
      <c r="I81" t="s">
        <v>57</v>
      </c>
      <c r="J81" t="s">
        <v>4150</v>
      </c>
      <c r="K81" t="s">
        <v>3298</v>
      </c>
    </row>
    <row r="82" spans="1:11" x14ac:dyDescent="0.2">
      <c r="A82" t="s">
        <v>1276</v>
      </c>
      <c r="B82">
        <f>VALUE(RIGHT(A82,LEN(A82)-3))</f>
        <v>203</v>
      </c>
      <c r="C82">
        <v>2</v>
      </c>
      <c r="D82" t="s">
        <v>32</v>
      </c>
      <c r="E82" t="s">
        <v>1279</v>
      </c>
      <c r="F82" t="s">
        <v>503</v>
      </c>
      <c r="G82" t="s">
        <v>43</v>
      </c>
      <c r="H82" t="s">
        <v>1277</v>
      </c>
      <c r="I82" t="s">
        <v>57</v>
      </c>
      <c r="J82" t="s">
        <v>4150</v>
      </c>
      <c r="K82" t="s">
        <v>3302</v>
      </c>
    </row>
    <row r="83" spans="1:11" x14ac:dyDescent="0.2">
      <c r="A83" t="s">
        <v>1384</v>
      </c>
      <c r="B83">
        <f>VALUE(RIGHT(A83,LEN(A83)-3))</f>
        <v>223</v>
      </c>
      <c r="C83">
        <v>1</v>
      </c>
      <c r="D83" t="s">
        <v>32</v>
      </c>
      <c r="E83" t="s">
        <v>1386</v>
      </c>
      <c r="F83" t="s">
        <v>30</v>
      </c>
      <c r="G83" t="s">
        <v>43</v>
      </c>
      <c r="H83" t="s">
        <v>1385</v>
      </c>
      <c r="I83" t="s">
        <v>57</v>
      </c>
      <c r="J83" t="s">
        <v>4150</v>
      </c>
      <c r="K83" t="s">
        <v>3324</v>
      </c>
    </row>
    <row r="84" spans="1:11" x14ac:dyDescent="0.2">
      <c r="A84" t="s">
        <v>1395</v>
      </c>
      <c r="B84">
        <f>VALUE(RIGHT(A84,LEN(A84)-3))</f>
        <v>225</v>
      </c>
      <c r="C84">
        <v>1</v>
      </c>
      <c r="D84" t="s">
        <v>32</v>
      </c>
      <c r="E84" t="s">
        <v>1398</v>
      </c>
      <c r="F84" t="s">
        <v>30</v>
      </c>
      <c r="G84" t="s">
        <v>29</v>
      </c>
      <c r="H84" t="s">
        <v>1396</v>
      </c>
      <c r="I84" t="s">
        <v>57</v>
      </c>
      <c r="J84" t="s">
        <v>4150</v>
      </c>
      <c r="K84" t="s">
        <v>3325</v>
      </c>
    </row>
    <row r="85" spans="1:11" x14ac:dyDescent="0.2">
      <c r="A85" t="s">
        <v>1402</v>
      </c>
      <c r="B85">
        <f>VALUE(RIGHT(A85,LEN(A85)-3))</f>
        <v>226</v>
      </c>
      <c r="C85">
        <v>1</v>
      </c>
      <c r="D85" t="s">
        <v>32</v>
      </c>
      <c r="E85" t="s">
        <v>1405</v>
      </c>
      <c r="F85" t="s">
        <v>503</v>
      </c>
      <c r="G85" t="s">
        <v>43</v>
      </c>
      <c r="H85" t="s">
        <v>1403</v>
      </c>
      <c r="I85" t="s">
        <v>57</v>
      </c>
      <c r="J85" t="s">
        <v>4150</v>
      </c>
      <c r="K85" t="s">
        <v>3326</v>
      </c>
    </row>
    <row r="86" spans="1:11" x14ac:dyDescent="0.2">
      <c r="A86" t="s">
        <v>1525</v>
      </c>
      <c r="B86">
        <f>VALUE(RIGHT(A86,LEN(A86)-3))</f>
        <v>249</v>
      </c>
      <c r="C86">
        <v>1</v>
      </c>
      <c r="D86" t="s">
        <v>32</v>
      </c>
      <c r="E86" t="s">
        <v>1527</v>
      </c>
      <c r="F86" t="s">
        <v>602</v>
      </c>
      <c r="G86" t="s">
        <v>43</v>
      </c>
      <c r="H86" t="s">
        <v>1526</v>
      </c>
      <c r="I86" t="s">
        <v>57</v>
      </c>
      <c r="J86" t="s">
        <v>4150</v>
      </c>
      <c r="K86" t="s">
        <v>3349</v>
      </c>
    </row>
    <row r="87" spans="1:11" x14ac:dyDescent="0.2">
      <c r="A87" t="s">
        <v>1546</v>
      </c>
      <c r="B87">
        <f>VALUE(RIGHT(A87,LEN(A87)-3))</f>
        <v>253</v>
      </c>
      <c r="C87">
        <v>1</v>
      </c>
      <c r="D87" t="s">
        <v>32</v>
      </c>
      <c r="E87" t="s">
        <v>611</v>
      </c>
      <c r="F87" t="s">
        <v>602</v>
      </c>
      <c r="G87" t="s">
        <v>43</v>
      </c>
      <c r="H87" t="s">
        <v>1547</v>
      </c>
      <c r="I87" t="s">
        <v>57</v>
      </c>
      <c r="J87" t="s">
        <v>4150</v>
      </c>
      <c r="K87" t="s">
        <v>3353</v>
      </c>
    </row>
    <row r="88" spans="1:11" x14ac:dyDescent="0.2">
      <c r="A88" t="s">
        <v>1550</v>
      </c>
      <c r="B88">
        <f>VALUE(RIGHT(A88,LEN(A88)-3))</f>
        <v>254</v>
      </c>
      <c r="C88">
        <v>1</v>
      </c>
      <c r="D88" t="s">
        <v>32</v>
      </c>
      <c r="E88" t="s">
        <v>1552</v>
      </c>
      <c r="F88" t="s">
        <v>30</v>
      </c>
      <c r="G88" t="s">
        <v>83</v>
      </c>
      <c r="H88" t="s">
        <v>1551</v>
      </c>
      <c r="I88" t="s">
        <v>57</v>
      </c>
      <c r="J88" t="s">
        <v>4150</v>
      </c>
      <c r="K88" t="s">
        <v>3354</v>
      </c>
    </row>
    <row r="89" spans="1:11" x14ac:dyDescent="0.2">
      <c r="A89" t="s">
        <v>1555</v>
      </c>
      <c r="B89">
        <f>VALUE(RIGHT(A89,LEN(A89)-3))</f>
        <v>255</v>
      </c>
      <c r="C89">
        <v>1</v>
      </c>
      <c r="D89" t="s">
        <v>32</v>
      </c>
      <c r="E89" t="s">
        <v>312</v>
      </c>
      <c r="F89" t="s">
        <v>602</v>
      </c>
      <c r="G89" t="s">
        <v>43</v>
      </c>
      <c r="H89" t="s">
        <v>1556</v>
      </c>
      <c r="I89" t="s">
        <v>57</v>
      </c>
      <c r="J89" t="s">
        <v>4150</v>
      </c>
      <c r="K89" t="s">
        <v>3355</v>
      </c>
    </row>
    <row r="90" spans="1:11" x14ac:dyDescent="0.2">
      <c r="A90" t="s">
        <v>1572</v>
      </c>
      <c r="B90">
        <f>VALUE(RIGHT(A90,LEN(A90)-3))</f>
        <v>259</v>
      </c>
      <c r="C90">
        <v>1</v>
      </c>
      <c r="D90" t="s">
        <v>32</v>
      </c>
      <c r="E90" t="s">
        <v>1574</v>
      </c>
      <c r="F90" t="s">
        <v>503</v>
      </c>
      <c r="G90" t="s">
        <v>43</v>
      </c>
      <c r="H90" t="s">
        <v>1573</v>
      </c>
      <c r="I90" t="s">
        <v>57</v>
      </c>
      <c r="J90" t="s">
        <v>4150</v>
      </c>
      <c r="K90" t="s">
        <v>3361</v>
      </c>
    </row>
    <row r="91" spans="1:11" x14ac:dyDescent="0.2">
      <c r="A91" t="s">
        <v>1599</v>
      </c>
      <c r="B91">
        <f>VALUE(RIGHT(A91,LEN(A91)-3))</f>
        <v>264</v>
      </c>
      <c r="C91">
        <v>1</v>
      </c>
      <c r="D91" t="s">
        <v>32</v>
      </c>
      <c r="E91" t="s">
        <v>1602</v>
      </c>
      <c r="F91" t="s">
        <v>503</v>
      </c>
      <c r="G91" t="s">
        <v>43</v>
      </c>
      <c r="H91" t="s">
        <v>1600</v>
      </c>
      <c r="I91" t="s">
        <v>57</v>
      </c>
      <c r="J91" t="s">
        <v>4150</v>
      </c>
      <c r="K91" t="s">
        <v>3366</v>
      </c>
    </row>
    <row r="92" spans="1:11" x14ac:dyDescent="0.2">
      <c r="A92" t="s">
        <v>1677</v>
      </c>
      <c r="B92">
        <f>VALUE(RIGHT(A92,LEN(A92)-3))</f>
        <v>279</v>
      </c>
      <c r="C92">
        <v>1</v>
      </c>
      <c r="D92" t="s">
        <v>32</v>
      </c>
      <c r="E92" t="s">
        <v>1679</v>
      </c>
      <c r="F92" t="s">
        <v>503</v>
      </c>
      <c r="G92" t="s">
        <v>43</v>
      </c>
      <c r="H92" t="s">
        <v>1678</v>
      </c>
      <c r="I92" t="s">
        <v>57</v>
      </c>
      <c r="J92" t="s">
        <v>4150</v>
      </c>
      <c r="K92" t="s">
        <v>3380</v>
      </c>
    </row>
    <row r="93" spans="1:11" x14ac:dyDescent="0.2">
      <c r="A93" t="s">
        <v>1699</v>
      </c>
      <c r="B93">
        <f>VALUE(RIGHT(A93,LEN(A93)-3))</f>
        <v>283</v>
      </c>
      <c r="C93">
        <v>1</v>
      </c>
      <c r="D93" t="s">
        <v>32</v>
      </c>
      <c r="E93" t="s">
        <v>1702</v>
      </c>
      <c r="F93" t="s">
        <v>602</v>
      </c>
      <c r="G93" t="s">
        <v>43</v>
      </c>
      <c r="H93" t="s">
        <v>1700</v>
      </c>
      <c r="I93" t="s">
        <v>57</v>
      </c>
      <c r="J93" t="s">
        <v>4150</v>
      </c>
      <c r="K93" t="s">
        <v>3383</v>
      </c>
    </row>
    <row r="94" spans="1:11" x14ac:dyDescent="0.2">
      <c r="A94" t="s">
        <v>1789</v>
      </c>
      <c r="B94">
        <f>VALUE(RIGHT(A94,LEN(A94)-3))</f>
        <v>299</v>
      </c>
      <c r="C94">
        <v>2</v>
      </c>
      <c r="D94" t="s">
        <v>32</v>
      </c>
      <c r="E94" t="s">
        <v>1791</v>
      </c>
      <c r="F94" t="s">
        <v>602</v>
      </c>
      <c r="G94" t="s">
        <v>43</v>
      </c>
      <c r="H94" t="s">
        <v>1785</v>
      </c>
      <c r="I94" t="s">
        <v>57</v>
      </c>
      <c r="J94" t="s">
        <v>4150</v>
      </c>
      <c r="K94" t="s">
        <v>3404</v>
      </c>
    </row>
    <row r="95" spans="1:11" x14ac:dyDescent="0.2">
      <c r="A95" t="s">
        <v>1876</v>
      </c>
      <c r="B95">
        <f>VALUE(RIGHT(A95,LEN(A95)-3))</f>
        <v>316</v>
      </c>
      <c r="C95">
        <v>1</v>
      </c>
      <c r="D95" t="s">
        <v>32</v>
      </c>
      <c r="E95" t="s">
        <v>1879</v>
      </c>
      <c r="F95" t="s">
        <v>503</v>
      </c>
      <c r="G95" t="s">
        <v>43</v>
      </c>
      <c r="H95" t="s">
        <v>1877</v>
      </c>
      <c r="I95" t="s">
        <v>57</v>
      </c>
      <c r="J95" t="s">
        <v>4150</v>
      </c>
      <c r="K95" t="s">
        <v>3416</v>
      </c>
    </row>
    <row r="96" spans="1:11" x14ac:dyDescent="0.2">
      <c r="A96" t="s">
        <v>1906</v>
      </c>
      <c r="B96">
        <f>VALUE(RIGHT(A96,LEN(A96)-3))</f>
        <v>321</v>
      </c>
      <c r="C96">
        <v>1</v>
      </c>
      <c r="D96" t="s">
        <v>32</v>
      </c>
      <c r="E96" t="s">
        <v>1908</v>
      </c>
      <c r="F96" t="s">
        <v>503</v>
      </c>
      <c r="G96" t="s">
        <v>43</v>
      </c>
      <c r="H96" t="s">
        <v>1907</v>
      </c>
      <c r="I96" t="s">
        <v>57</v>
      </c>
      <c r="J96" t="s">
        <v>4150</v>
      </c>
      <c r="K96" t="s">
        <v>3421</v>
      </c>
    </row>
    <row r="97" spans="1:11" x14ac:dyDescent="0.2">
      <c r="A97" t="s">
        <v>1921</v>
      </c>
      <c r="B97">
        <f>VALUE(RIGHT(A97,LEN(A97)-3))</f>
        <v>324</v>
      </c>
      <c r="C97">
        <v>1</v>
      </c>
      <c r="D97" t="s">
        <v>32</v>
      </c>
      <c r="E97" t="s">
        <v>1923</v>
      </c>
      <c r="F97" t="s">
        <v>602</v>
      </c>
      <c r="G97" t="s">
        <v>43</v>
      </c>
      <c r="H97" t="s">
        <v>1922</v>
      </c>
      <c r="I97" t="s">
        <v>57</v>
      </c>
      <c r="J97" t="s">
        <v>4150</v>
      </c>
      <c r="K97" t="s">
        <v>3424</v>
      </c>
    </row>
    <row r="98" spans="1:11" x14ac:dyDescent="0.2">
      <c r="A98" t="s">
        <v>1965</v>
      </c>
      <c r="B98">
        <f>VALUE(RIGHT(A98,LEN(A98)-3))</f>
        <v>332</v>
      </c>
      <c r="C98">
        <v>1</v>
      </c>
      <c r="D98" t="s">
        <v>32</v>
      </c>
      <c r="E98" t="s">
        <v>1968</v>
      </c>
      <c r="F98" t="s">
        <v>503</v>
      </c>
      <c r="G98" t="s">
        <v>43</v>
      </c>
      <c r="H98" t="s">
        <v>1966</v>
      </c>
      <c r="I98" t="s">
        <v>57</v>
      </c>
      <c r="J98" t="s">
        <v>4150</v>
      </c>
      <c r="K98" t="s">
        <v>3431</v>
      </c>
    </row>
    <row r="99" spans="1:11" x14ac:dyDescent="0.2">
      <c r="A99" t="s">
        <v>1971</v>
      </c>
      <c r="B99">
        <f>VALUE(RIGHT(A99,LEN(A99)-3))</f>
        <v>333</v>
      </c>
      <c r="C99">
        <v>1</v>
      </c>
      <c r="D99" t="s">
        <v>32</v>
      </c>
      <c r="E99" t="s">
        <v>1052</v>
      </c>
      <c r="F99" t="s">
        <v>503</v>
      </c>
      <c r="G99" t="s">
        <v>43</v>
      </c>
      <c r="H99" t="s">
        <v>1972</v>
      </c>
      <c r="I99" t="s">
        <v>57</v>
      </c>
      <c r="J99" t="s">
        <v>4150</v>
      </c>
      <c r="K99" t="s">
        <v>3432</v>
      </c>
    </row>
    <row r="100" spans="1:11" x14ac:dyDescent="0.2">
      <c r="A100" t="s">
        <v>1993</v>
      </c>
      <c r="B100">
        <f>VALUE(RIGHT(A100,LEN(A100)-3))</f>
        <v>337</v>
      </c>
      <c r="C100">
        <v>1</v>
      </c>
      <c r="D100" t="s">
        <v>32</v>
      </c>
      <c r="E100" t="s">
        <v>1996</v>
      </c>
      <c r="F100" t="s">
        <v>602</v>
      </c>
      <c r="G100" t="s">
        <v>43</v>
      </c>
      <c r="H100" t="s">
        <v>1994</v>
      </c>
      <c r="I100" t="s">
        <v>57</v>
      </c>
      <c r="J100" t="s">
        <v>4150</v>
      </c>
      <c r="K100" t="s">
        <v>3437</v>
      </c>
    </row>
    <row r="101" spans="1:11" x14ac:dyDescent="0.2">
      <c r="A101" t="s">
        <v>2013</v>
      </c>
      <c r="B101">
        <f>VALUE(RIGHT(A101,LEN(A101)-3))</f>
        <v>340</v>
      </c>
      <c r="C101">
        <v>1</v>
      </c>
      <c r="D101" t="s">
        <v>32</v>
      </c>
      <c r="E101" t="s">
        <v>2015</v>
      </c>
      <c r="F101" t="s">
        <v>602</v>
      </c>
      <c r="G101" t="s">
        <v>43</v>
      </c>
      <c r="H101" t="s">
        <v>2014</v>
      </c>
      <c r="I101" t="s">
        <v>57</v>
      </c>
      <c r="J101" t="s">
        <v>4150</v>
      </c>
      <c r="K101" t="s">
        <v>3440</v>
      </c>
    </row>
    <row r="102" spans="1:11" x14ac:dyDescent="0.2">
      <c r="A102" t="s">
        <v>2120</v>
      </c>
      <c r="B102">
        <f>VALUE(RIGHT(A102,LEN(A102)-3))</f>
        <v>360</v>
      </c>
      <c r="C102">
        <v>1</v>
      </c>
      <c r="D102" t="s">
        <v>32</v>
      </c>
      <c r="E102" t="s">
        <v>2122</v>
      </c>
      <c r="F102" t="s">
        <v>30</v>
      </c>
      <c r="G102" t="s">
        <v>43</v>
      </c>
      <c r="H102" t="s">
        <v>2121</v>
      </c>
      <c r="I102" t="s">
        <v>57</v>
      </c>
      <c r="J102" t="s">
        <v>4150</v>
      </c>
      <c r="K102" t="s">
        <v>3457</v>
      </c>
    </row>
    <row r="103" spans="1:11" x14ac:dyDescent="0.2">
      <c r="A103" t="s">
        <v>2139</v>
      </c>
      <c r="B103">
        <f>VALUE(RIGHT(A103,LEN(A103)-3))</f>
        <v>364</v>
      </c>
      <c r="C103">
        <v>2</v>
      </c>
      <c r="D103" t="s">
        <v>32</v>
      </c>
      <c r="E103" t="s">
        <v>2142</v>
      </c>
      <c r="F103" t="s">
        <v>602</v>
      </c>
      <c r="G103" t="s">
        <v>43</v>
      </c>
      <c r="H103" t="s">
        <v>2140</v>
      </c>
      <c r="I103" t="s">
        <v>57</v>
      </c>
      <c r="J103" t="s">
        <v>4150</v>
      </c>
      <c r="K103" t="s">
        <v>3461</v>
      </c>
    </row>
    <row r="104" spans="1:11" x14ac:dyDescent="0.2">
      <c r="A104" t="s">
        <v>2145</v>
      </c>
      <c r="B104">
        <f>VALUE(RIGHT(A104,LEN(A104)-3))</f>
        <v>365</v>
      </c>
      <c r="C104">
        <v>1</v>
      </c>
      <c r="D104" t="s">
        <v>32</v>
      </c>
      <c r="E104" t="s">
        <v>1052</v>
      </c>
      <c r="F104" t="s">
        <v>503</v>
      </c>
      <c r="G104" t="s">
        <v>43</v>
      </c>
      <c r="H104" t="s">
        <v>2146</v>
      </c>
      <c r="I104" t="s">
        <v>57</v>
      </c>
      <c r="J104" t="s">
        <v>4150</v>
      </c>
      <c r="K104" t="s">
        <v>3462</v>
      </c>
    </row>
    <row r="105" spans="1:11" x14ac:dyDescent="0.2">
      <c r="A105" t="s">
        <v>2184</v>
      </c>
      <c r="B105">
        <f>VALUE(RIGHT(A105,LEN(A105)-3))</f>
        <v>372</v>
      </c>
      <c r="C105">
        <v>1</v>
      </c>
      <c r="D105" t="s">
        <v>32</v>
      </c>
      <c r="E105" t="s">
        <v>2187</v>
      </c>
      <c r="F105" t="s">
        <v>602</v>
      </c>
      <c r="G105" t="s">
        <v>43</v>
      </c>
      <c r="H105" t="s">
        <v>2185</v>
      </c>
      <c r="I105" t="s">
        <v>57</v>
      </c>
      <c r="J105" t="s">
        <v>4150</v>
      </c>
      <c r="K105" t="s">
        <v>3467</v>
      </c>
    </row>
    <row r="106" spans="1:11" x14ac:dyDescent="0.2">
      <c r="A106" t="s">
        <v>2213</v>
      </c>
      <c r="B106">
        <f>VALUE(RIGHT(A106,LEN(A106)-3))</f>
        <v>377</v>
      </c>
      <c r="C106">
        <v>1</v>
      </c>
      <c r="D106" t="s">
        <v>32</v>
      </c>
      <c r="E106" t="s">
        <v>2215</v>
      </c>
      <c r="F106" t="s">
        <v>30</v>
      </c>
      <c r="G106" t="s">
        <v>83</v>
      </c>
      <c r="H106" t="s">
        <v>2214</v>
      </c>
      <c r="I106" t="s">
        <v>57</v>
      </c>
      <c r="J106" t="s">
        <v>4150</v>
      </c>
      <c r="K106" t="s">
        <v>3472</v>
      </c>
    </row>
    <row r="107" spans="1:11" x14ac:dyDescent="0.2">
      <c r="A107" t="s">
        <v>2281</v>
      </c>
      <c r="B107">
        <f>VALUE(RIGHT(A107,LEN(A107)-3))</f>
        <v>388</v>
      </c>
      <c r="C107">
        <v>1</v>
      </c>
      <c r="D107" t="s">
        <v>32</v>
      </c>
      <c r="E107" t="s">
        <v>2283</v>
      </c>
      <c r="F107" t="s">
        <v>602</v>
      </c>
      <c r="G107" t="s">
        <v>43</v>
      </c>
      <c r="H107" t="s">
        <v>2282</v>
      </c>
      <c r="I107" t="s">
        <v>57</v>
      </c>
      <c r="J107" t="s">
        <v>4150</v>
      </c>
      <c r="K107" t="s">
        <v>3485</v>
      </c>
    </row>
    <row r="108" spans="1:11" x14ac:dyDescent="0.2">
      <c r="A108" t="s">
        <v>2356</v>
      </c>
      <c r="B108">
        <f>VALUE(RIGHT(A108,LEN(A108)-3))</f>
        <v>400</v>
      </c>
      <c r="C108">
        <v>1</v>
      </c>
      <c r="D108" t="s">
        <v>32</v>
      </c>
      <c r="E108" t="s">
        <v>2359</v>
      </c>
      <c r="F108" t="s">
        <v>30</v>
      </c>
      <c r="G108" t="s">
        <v>29</v>
      </c>
      <c r="H108" t="s">
        <v>2357</v>
      </c>
      <c r="I108" t="s">
        <v>57</v>
      </c>
      <c r="J108" t="s">
        <v>4150</v>
      </c>
      <c r="K108" t="s">
        <v>3498</v>
      </c>
    </row>
    <row r="109" spans="1:11" x14ac:dyDescent="0.2">
      <c r="A109" t="s">
        <v>2419</v>
      </c>
      <c r="B109">
        <f>VALUE(RIGHT(A109,LEN(A109)-3))</f>
        <v>410</v>
      </c>
      <c r="C109">
        <v>2</v>
      </c>
      <c r="D109" t="s">
        <v>32</v>
      </c>
      <c r="E109" t="s">
        <v>2421</v>
      </c>
      <c r="F109" t="s">
        <v>503</v>
      </c>
      <c r="G109" t="s">
        <v>43</v>
      </c>
      <c r="H109" t="s">
        <v>2420</v>
      </c>
      <c r="I109" t="s">
        <v>57</v>
      </c>
      <c r="J109" t="s">
        <v>4150</v>
      </c>
      <c r="K109" t="s">
        <v>3510</v>
      </c>
    </row>
    <row r="110" spans="1:11" x14ac:dyDescent="0.2">
      <c r="A110" t="s">
        <v>2442</v>
      </c>
      <c r="B110">
        <f>VALUE(RIGHT(A110,LEN(A110)-3))</f>
        <v>414</v>
      </c>
      <c r="C110">
        <v>1</v>
      </c>
      <c r="D110" t="s">
        <v>32</v>
      </c>
      <c r="E110" t="s">
        <v>611</v>
      </c>
      <c r="F110" t="s">
        <v>602</v>
      </c>
      <c r="G110" t="s">
        <v>43</v>
      </c>
      <c r="H110" t="s">
        <v>2443</v>
      </c>
      <c r="I110" t="s">
        <v>57</v>
      </c>
      <c r="J110" t="s">
        <v>4150</v>
      </c>
      <c r="K110" t="s">
        <v>3514</v>
      </c>
    </row>
    <row r="111" spans="1:11" x14ac:dyDescent="0.2">
      <c r="A111" t="s">
        <v>2502</v>
      </c>
      <c r="B111">
        <f>VALUE(RIGHT(A111,LEN(A111)-3))</f>
        <v>425</v>
      </c>
      <c r="C111">
        <v>1</v>
      </c>
      <c r="D111" t="s">
        <v>32</v>
      </c>
      <c r="E111" t="s">
        <v>2504</v>
      </c>
      <c r="F111" t="s">
        <v>2305</v>
      </c>
      <c r="G111" t="s">
        <v>43</v>
      </c>
      <c r="H111" t="s">
        <v>2503</v>
      </c>
      <c r="I111" t="s">
        <v>57</v>
      </c>
      <c r="J111" t="s">
        <v>4150</v>
      </c>
      <c r="K111" t="s">
        <v>3525</v>
      </c>
    </row>
    <row r="112" spans="1:11" x14ac:dyDescent="0.2">
      <c r="A112" t="s">
        <v>2637</v>
      </c>
      <c r="B112">
        <f>VALUE(RIGHT(A112,LEN(A112)-3))</f>
        <v>450</v>
      </c>
      <c r="C112">
        <v>1</v>
      </c>
      <c r="D112" t="s">
        <v>32</v>
      </c>
      <c r="E112" t="s">
        <v>2640</v>
      </c>
      <c r="F112" t="s">
        <v>30</v>
      </c>
      <c r="G112" t="s">
        <v>746</v>
      </c>
      <c r="H112" t="s">
        <v>2638</v>
      </c>
      <c r="I112" t="s">
        <v>57</v>
      </c>
      <c r="J112" t="s">
        <v>4150</v>
      </c>
      <c r="K112" t="s">
        <v>3546</v>
      </c>
    </row>
    <row r="113" spans="1:11" x14ac:dyDescent="0.2">
      <c r="A113" t="s">
        <v>2654</v>
      </c>
      <c r="B113">
        <f>VALUE(RIGHT(A113,LEN(A113)-3))</f>
        <v>453</v>
      </c>
      <c r="C113">
        <v>2</v>
      </c>
      <c r="D113" t="s">
        <v>32</v>
      </c>
      <c r="E113" t="s">
        <v>2657</v>
      </c>
      <c r="F113" t="s">
        <v>503</v>
      </c>
      <c r="G113" t="s">
        <v>43</v>
      </c>
      <c r="H113" t="s">
        <v>2655</v>
      </c>
      <c r="I113" t="s">
        <v>57</v>
      </c>
      <c r="J113" t="s">
        <v>4150</v>
      </c>
      <c r="K113" t="s">
        <v>3551</v>
      </c>
    </row>
    <row r="114" spans="1:11" x14ac:dyDescent="0.2">
      <c r="A114" t="s">
        <v>2718</v>
      </c>
      <c r="B114">
        <f>VALUE(RIGHT(A114,LEN(A114)-3))</f>
        <v>465</v>
      </c>
      <c r="C114">
        <v>1</v>
      </c>
      <c r="D114" t="s">
        <v>32</v>
      </c>
      <c r="E114" t="s">
        <v>2721</v>
      </c>
      <c r="F114" t="s">
        <v>602</v>
      </c>
      <c r="G114" t="s">
        <v>43</v>
      </c>
      <c r="H114" t="s">
        <v>2719</v>
      </c>
      <c r="I114" t="s">
        <v>57</v>
      </c>
      <c r="J114" t="s">
        <v>4150</v>
      </c>
      <c r="K114" t="s">
        <v>3559</v>
      </c>
    </row>
    <row r="115" spans="1:11" x14ac:dyDescent="0.2">
      <c r="A115" t="s">
        <v>2735</v>
      </c>
      <c r="B115">
        <f>VALUE(RIGHT(A115,LEN(A115)-3))</f>
        <v>468</v>
      </c>
      <c r="C115">
        <v>2</v>
      </c>
      <c r="D115" t="s">
        <v>32</v>
      </c>
      <c r="E115" t="s">
        <v>2737</v>
      </c>
      <c r="F115" t="s">
        <v>503</v>
      </c>
      <c r="G115" t="s">
        <v>43</v>
      </c>
      <c r="H115" t="s">
        <v>2736</v>
      </c>
      <c r="I115" t="s">
        <v>57</v>
      </c>
      <c r="J115" t="s">
        <v>4150</v>
      </c>
      <c r="K115" t="s">
        <v>3562</v>
      </c>
    </row>
    <row r="116" spans="1:11" x14ac:dyDescent="0.2">
      <c r="A116" t="s">
        <v>2767</v>
      </c>
      <c r="B116">
        <f>VALUE(RIGHT(A116,LEN(A116)-3))</f>
        <v>474</v>
      </c>
      <c r="C116">
        <v>1</v>
      </c>
      <c r="D116" t="s">
        <v>32</v>
      </c>
      <c r="E116" t="s">
        <v>1996</v>
      </c>
      <c r="F116" t="s">
        <v>503</v>
      </c>
      <c r="G116" t="s">
        <v>43</v>
      </c>
      <c r="H116" t="s">
        <v>2768</v>
      </c>
      <c r="I116" t="s">
        <v>57</v>
      </c>
      <c r="J116" t="s">
        <v>4150</v>
      </c>
      <c r="K116" t="s">
        <v>3566</v>
      </c>
    </row>
    <row r="117" spans="1:11" x14ac:dyDescent="0.2">
      <c r="A117" t="s">
        <v>2781</v>
      </c>
      <c r="B117">
        <f>VALUE(RIGHT(A117,LEN(A117)-3))</f>
        <v>477</v>
      </c>
      <c r="C117">
        <v>1</v>
      </c>
      <c r="D117" t="s">
        <v>32</v>
      </c>
      <c r="E117" t="s">
        <v>2783</v>
      </c>
      <c r="F117" t="s">
        <v>503</v>
      </c>
      <c r="G117" t="s">
        <v>43</v>
      </c>
      <c r="H117" t="s">
        <v>2782</v>
      </c>
      <c r="I117" t="s">
        <v>57</v>
      </c>
      <c r="J117" t="s">
        <v>4150</v>
      </c>
      <c r="K117" t="s">
        <v>3568</v>
      </c>
    </row>
    <row r="118" spans="1:11" x14ac:dyDescent="0.2">
      <c r="A118" t="s">
        <v>2855</v>
      </c>
      <c r="B118">
        <f>VALUE(RIGHT(A118,LEN(A118)-3))</f>
        <v>490</v>
      </c>
      <c r="C118">
        <v>2</v>
      </c>
      <c r="D118" t="s">
        <v>32</v>
      </c>
      <c r="E118" t="s">
        <v>2857</v>
      </c>
      <c r="F118" t="s">
        <v>503</v>
      </c>
      <c r="G118" t="s">
        <v>43</v>
      </c>
      <c r="H118" t="s">
        <v>2848</v>
      </c>
      <c r="I118" t="s">
        <v>57</v>
      </c>
      <c r="J118" t="s">
        <v>4150</v>
      </c>
      <c r="K118" t="s">
        <v>3582</v>
      </c>
    </row>
    <row r="119" spans="1:11" x14ac:dyDescent="0.2">
      <c r="A119" t="s">
        <v>2886</v>
      </c>
      <c r="B119">
        <f>VALUE(RIGHT(A119,LEN(A119)-3))</f>
        <v>496</v>
      </c>
      <c r="C119">
        <v>1</v>
      </c>
      <c r="D119" t="s">
        <v>32</v>
      </c>
      <c r="E119" t="s">
        <v>2888</v>
      </c>
      <c r="F119" t="s">
        <v>503</v>
      </c>
      <c r="G119" t="s">
        <v>43</v>
      </c>
      <c r="H119" t="s">
        <v>2887</v>
      </c>
      <c r="I119" t="s">
        <v>57</v>
      </c>
      <c r="J119" t="s">
        <v>4150</v>
      </c>
      <c r="K119" t="s">
        <v>3585</v>
      </c>
    </row>
    <row r="120" spans="1:11" x14ac:dyDescent="0.2">
      <c r="A120" t="s">
        <v>2919</v>
      </c>
      <c r="B120">
        <f>VALUE(RIGHT(A120,LEN(A120)-3))</f>
        <v>502</v>
      </c>
      <c r="C120">
        <v>1</v>
      </c>
      <c r="D120" t="s">
        <v>32</v>
      </c>
      <c r="E120" t="s">
        <v>1527</v>
      </c>
      <c r="F120" t="s">
        <v>503</v>
      </c>
      <c r="G120" t="s">
        <v>43</v>
      </c>
      <c r="H120" t="s">
        <v>2920</v>
      </c>
      <c r="I120" t="s">
        <v>57</v>
      </c>
      <c r="J120" t="s">
        <v>4150</v>
      </c>
      <c r="K120" t="s">
        <v>3589</v>
      </c>
    </row>
    <row r="121" spans="1:11" x14ac:dyDescent="0.2">
      <c r="A121" t="s">
        <v>2963</v>
      </c>
      <c r="B121">
        <f>VALUE(RIGHT(A121,LEN(A121)-3))</f>
        <v>510</v>
      </c>
      <c r="C121">
        <v>1</v>
      </c>
      <c r="D121" t="s">
        <v>32</v>
      </c>
      <c r="E121" t="s">
        <v>2965</v>
      </c>
      <c r="F121" t="s">
        <v>503</v>
      </c>
      <c r="G121" t="s">
        <v>43</v>
      </c>
      <c r="H121" t="s">
        <v>2964</v>
      </c>
      <c r="I121" t="s">
        <v>57</v>
      </c>
      <c r="J121" t="s">
        <v>4150</v>
      </c>
      <c r="K121" t="s">
        <v>3594</v>
      </c>
    </row>
    <row r="122" spans="1:11" x14ac:dyDescent="0.2">
      <c r="A122" t="s">
        <v>2980</v>
      </c>
      <c r="B122">
        <f>VALUE(RIGHT(A122,LEN(A122)-3))</f>
        <v>513</v>
      </c>
      <c r="C122">
        <v>2</v>
      </c>
      <c r="D122" t="s">
        <v>32</v>
      </c>
      <c r="E122" t="s">
        <v>2982</v>
      </c>
      <c r="F122" t="s">
        <v>30</v>
      </c>
      <c r="G122" t="s">
        <v>29</v>
      </c>
      <c r="H122" t="s">
        <v>2981</v>
      </c>
      <c r="I122" t="s">
        <v>57</v>
      </c>
      <c r="J122" t="s">
        <v>4150</v>
      </c>
      <c r="K122" t="s">
        <v>3598</v>
      </c>
    </row>
    <row r="123" spans="1:11" x14ac:dyDescent="0.2">
      <c r="A123" t="s">
        <v>3009</v>
      </c>
      <c r="B123">
        <f>VALUE(RIGHT(A123,LEN(A123)-3))</f>
        <v>519</v>
      </c>
      <c r="C123">
        <v>1</v>
      </c>
      <c r="D123" t="s">
        <v>32</v>
      </c>
      <c r="E123" t="s">
        <v>1052</v>
      </c>
      <c r="F123" t="s">
        <v>503</v>
      </c>
      <c r="G123" t="s">
        <v>43</v>
      </c>
      <c r="H123" t="s">
        <v>3006</v>
      </c>
      <c r="I123" t="s">
        <v>57</v>
      </c>
      <c r="J123" t="s">
        <v>4150</v>
      </c>
      <c r="K123" t="s">
        <v>3601</v>
      </c>
    </row>
    <row r="124" spans="1:11" x14ac:dyDescent="0.2">
      <c r="A124" t="s">
        <v>3013</v>
      </c>
      <c r="B124">
        <f>VALUE(RIGHT(A124,LEN(A124)-3))</f>
        <v>520</v>
      </c>
      <c r="C124">
        <v>1</v>
      </c>
      <c r="D124" t="s">
        <v>32</v>
      </c>
      <c r="E124" t="s">
        <v>3015</v>
      </c>
      <c r="F124" t="s">
        <v>30</v>
      </c>
      <c r="G124" t="s">
        <v>746</v>
      </c>
      <c r="H124" t="s">
        <v>3014</v>
      </c>
      <c r="I124" t="s">
        <v>57</v>
      </c>
      <c r="J124" t="s">
        <v>4150</v>
      </c>
      <c r="K124" t="s">
        <v>3602</v>
      </c>
    </row>
    <row r="125" spans="1:11" x14ac:dyDescent="0.2">
      <c r="A125" t="s">
        <v>3059</v>
      </c>
      <c r="B125">
        <f>VALUE(RIGHT(A125,LEN(A125)-3))</f>
        <v>528</v>
      </c>
      <c r="C125">
        <v>1</v>
      </c>
      <c r="D125" t="s">
        <v>32</v>
      </c>
      <c r="E125" t="s">
        <v>3061</v>
      </c>
      <c r="F125" t="s">
        <v>503</v>
      </c>
      <c r="G125" t="s">
        <v>43</v>
      </c>
      <c r="H125" t="s">
        <v>3060</v>
      </c>
      <c r="I125" t="s">
        <v>57</v>
      </c>
      <c r="J125" t="s">
        <v>4150</v>
      </c>
      <c r="K125" t="s">
        <v>3609</v>
      </c>
    </row>
    <row r="126" spans="1:11" x14ac:dyDescent="0.2">
      <c r="A126" t="s">
        <v>3072</v>
      </c>
      <c r="B126">
        <f>VALUE(RIGHT(A126,LEN(A126)-3))</f>
        <v>530</v>
      </c>
      <c r="C126">
        <v>1</v>
      </c>
      <c r="D126" t="s">
        <v>32</v>
      </c>
      <c r="E126" t="s">
        <v>1879</v>
      </c>
      <c r="F126" t="s">
        <v>503</v>
      </c>
      <c r="G126" t="s">
        <v>43</v>
      </c>
      <c r="H126" t="s">
        <v>3073</v>
      </c>
      <c r="I126" t="s">
        <v>57</v>
      </c>
      <c r="J126" t="s">
        <v>4150</v>
      </c>
      <c r="K126" t="s">
        <v>3612</v>
      </c>
    </row>
    <row r="127" spans="1:11" x14ac:dyDescent="0.2">
      <c r="A127" t="s">
        <v>762</v>
      </c>
      <c r="B127">
        <f>VALUE(RIGHT(A127,LEN(A127)-3))</f>
        <v>113</v>
      </c>
      <c r="C127">
        <v>2</v>
      </c>
      <c r="D127" t="s">
        <v>32</v>
      </c>
      <c r="E127" t="s">
        <v>765</v>
      </c>
      <c r="F127" t="s">
        <v>503</v>
      </c>
      <c r="G127" t="s">
        <v>43</v>
      </c>
      <c r="H127" t="s">
        <v>763</v>
      </c>
      <c r="I127" t="s">
        <v>35</v>
      </c>
      <c r="J127" t="s">
        <v>4144</v>
      </c>
      <c r="K127" t="s">
        <v>3219</v>
      </c>
    </row>
    <row r="128" spans="1:11" x14ac:dyDescent="0.2">
      <c r="A128" t="s">
        <v>918</v>
      </c>
      <c r="B128">
        <f>VALUE(RIGHT(A128,LEN(A128)-3))</f>
        <v>140</v>
      </c>
      <c r="C128">
        <v>1</v>
      </c>
      <c r="D128" t="s">
        <v>32</v>
      </c>
      <c r="E128" t="s">
        <v>921</v>
      </c>
      <c r="F128" t="s">
        <v>30</v>
      </c>
      <c r="G128" t="s">
        <v>54</v>
      </c>
      <c r="H128" t="s">
        <v>919</v>
      </c>
      <c r="I128" t="s">
        <v>35</v>
      </c>
      <c r="J128" t="s">
        <v>4144</v>
      </c>
      <c r="K128" t="s">
        <v>3243</v>
      </c>
    </row>
    <row r="129" spans="1:11" x14ac:dyDescent="0.2">
      <c r="A129" t="s">
        <v>1060</v>
      </c>
      <c r="B129">
        <f>VALUE(RIGHT(A129,LEN(A129)-3))</f>
        <v>165</v>
      </c>
      <c r="C129">
        <v>2</v>
      </c>
      <c r="D129" t="s">
        <v>32</v>
      </c>
      <c r="E129" t="s">
        <v>1062</v>
      </c>
      <c r="F129" t="s">
        <v>503</v>
      </c>
      <c r="G129" t="s">
        <v>43</v>
      </c>
      <c r="H129" t="s">
        <v>1061</v>
      </c>
      <c r="I129" t="s">
        <v>35</v>
      </c>
      <c r="J129" t="s">
        <v>4144</v>
      </c>
      <c r="K129" t="s">
        <v>3268</v>
      </c>
    </row>
    <row r="130" spans="1:11" x14ac:dyDescent="0.2">
      <c r="A130" t="s">
        <v>1424</v>
      </c>
      <c r="B130">
        <f>VALUE(RIGHT(A130,LEN(A130)-3))</f>
        <v>230</v>
      </c>
      <c r="C130">
        <v>1</v>
      </c>
      <c r="D130" t="s">
        <v>32</v>
      </c>
      <c r="E130" t="s">
        <v>1211</v>
      </c>
      <c r="F130" t="s">
        <v>503</v>
      </c>
      <c r="G130" t="s">
        <v>43</v>
      </c>
      <c r="H130" t="s">
        <v>1425</v>
      </c>
      <c r="I130" t="s">
        <v>35</v>
      </c>
      <c r="J130" t="s">
        <v>4144</v>
      </c>
      <c r="K130" t="s">
        <v>3330</v>
      </c>
    </row>
    <row r="131" spans="1:11" x14ac:dyDescent="0.2">
      <c r="A131" t="s">
        <v>1449</v>
      </c>
      <c r="B131">
        <f>VALUE(RIGHT(A131,LEN(A131)-3))</f>
        <v>235</v>
      </c>
      <c r="C131">
        <v>1</v>
      </c>
      <c r="D131" t="s">
        <v>32</v>
      </c>
      <c r="E131" t="s">
        <v>1451</v>
      </c>
      <c r="F131" t="s">
        <v>503</v>
      </c>
      <c r="G131" t="s">
        <v>43</v>
      </c>
      <c r="H131" t="s">
        <v>1445</v>
      </c>
      <c r="I131" t="s">
        <v>35</v>
      </c>
      <c r="J131" t="s">
        <v>4144</v>
      </c>
      <c r="K131" t="s">
        <v>3335</v>
      </c>
    </row>
    <row r="132" spans="1:11" x14ac:dyDescent="0.2">
      <c r="A132" t="s">
        <v>1506</v>
      </c>
      <c r="B132">
        <f>VALUE(RIGHT(A132,LEN(A132)-3))</f>
        <v>246</v>
      </c>
      <c r="C132">
        <v>1</v>
      </c>
      <c r="D132" t="s">
        <v>32</v>
      </c>
      <c r="E132" t="s">
        <v>1509</v>
      </c>
      <c r="F132" t="s">
        <v>503</v>
      </c>
      <c r="G132" t="s">
        <v>43</v>
      </c>
      <c r="H132" t="s">
        <v>1507</v>
      </c>
      <c r="I132" t="s">
        <v>35</v>
      </c>
      <c r="J132" t="s">
        <v>4144</v>
      </c>
      <c r="K132" t="s">
        <v>3346</v>
      </c>
    </row>
    <row r="133" spans="1:11" x14ac:dyDescent="0.2">
      <c r="A133" t="s">
        <v>1738</v>
      </c>
      <c r="B133">
        <f>VALUE(RIGHT(A133,LEN(A133)-3))</f>
        <v>290</v>
      </c>
      <c r="C133">
        <v>2</v>
      </c>
      <c r="D133" t="s">
        <v>32</v>
      </c>
      <c r="E133" t="s">
        <v>1740</v>
      </c>
      <c r="F133" t="s">
        <v>503</v>
      </c>
      <c r="G133" t="s">
        <v>43</v>
      </c>
      <c r="H133" t="s">
        <v>1739</v>
      </c>
      <c r="I133" t="s">
        <v>35</v>
      </c>
      <c r="J133" t="s">
        <v>4144</v>
      </c>
      <c r="K133" t="s">
        <v>3392</v>
      </c>
    </row>
    <row r="134" spans="1:11" x14ac:dyDescent="0.2">
      <c r="A134" t="s">
        <v>1916</v>
      </c>
      <c r="B134">
        <f>VALUE(RIGHT(A134,LEN(A134)-3))</f>
        <v>323</v>
      </c>
      <c r="C134">
        <v>1</v>
      </c>
      <c r="D134" t="s">
        <v>32</v>
      </c>
      <c r="E134" t="s">
        <v>1918</v>
      </c>
      <c r="F134" t="s">
        <v>503</v>
      </c>
      <c r="G134" t="s">
        <v>43</v>
      </c>
      <c r="H134" t="s">
        <v>1917</v>
      </c>
      <c r="I134" t="s">
        <v>35</v>
      </c>
      <c r="J134" t="s">
        <v>4144</v>
      </c>
      <c r="K134" t="s">
        <v>3423</v>
      </c>
    </row>
    <row r="135" spans="1:11" x14ac:dyDescent="0.2">
      <c r="A135" t="s">
        <v>1942</v>
      </c>
      <c r="B135">
        <f>VALUE(RIGHT(A135,LEN(A135)-3))</f>
        <v>328</v>
      </c>
      <c r="C135">
        <v>1</v>
      </c>
      <c r="D135" t="s">
        <v>32</v>
      </c>
      <c r="E135" t="s">
        <v>1945</v>
      </c>
      <c r="F135" t="s">
        <v>503</v>
      </c>
      <c r="G135" t="s">
        <v>43</v>
      </c>
      <c r="H135" t="s">
        <v>1943</v>
      </c>
      <c r="I135" t="s">
        <v>35</v>
      </c>
      <c r="J135" t="s">
        <v>4144</v>
      </c>
      <c r="K135" t="s">
        <v>3427</v>
      </c>
    </row>
    <row r="136" spans="1:11" x14ac:dyDescent="0.2">
      <c r="A136" t="s">
        <v>2218</v>
      </c>
      <c r="B136">
        <f>VALUE(RIGHT(A136,LEN(A136)-3))</f>
        <v>378</v>
      </c>
      <c r="C136">
        <v>1</v>
      </c>
      <c r="D136" t="s">
        <v>32</v>
      </c>
      <c r="E136" t="s">
        <v>2220</v>
      </c>
      <c r="F136" t="s">
        <v>602</v>
      </c>
      <c r="G136" t="s">
        <v>43</v>
      </c>
      <c r="H136" t="s">
        <v>2219</v>
      </c>
      <c r="I136" t="s">
        <v>35</v>
      </c>
      <c r="J136" t="s">
        <v>4144</v>
      </c>
      <c r="K136" t="s">
        <v>3474</v>
      </c>
    </row>
    <row r="137" spans="1:11" x14ac:dyDescent="0.2">
      <c r="A137" t="s">
        <v>2229</v>
      </c>
      <c r="B137">
        <f>VALUE(RIGHT(A137,LEN(A137)-3))</f>
        <v>380</v>
      </c>
      <c r="C137">
        <v>2</v>
      </c>
      <c r="D137" t="s">
        <v>32</v>
      </c>
      <c r="E137" t="s">
        <v>2232</v>
      </c>
      <c r="F137" t="s">
        <v>30</v>
      </c>
      <c r="G137" t="s">
        <v>746</v>
      </c>
      <c r="H137" t="s">
        <v>2230</v>
      </c>
      <c r="I137" t="s">
        <v>35</v>
      </c>
      <c r="J137" t="s">
        <v>4144</v>
      </c>
      <c r="K137" t="s">
        <v>3476</v>
      </c>
    </row>
    <row r="138" spans="1:11" x14ac:dyDescent="0.2">
      <c r="A138" t="s">
        <v>2297</v>
      </c>
      <c r="B138">
        <f>VALUE(RIGHT(A138,LEN(A138)-3))</f>
        <v>390</v>
      </c>
      <c r="C138">
        <v>1</v>
      </c>
      <c r="D138" t="s">
        <v>32</v>
      </c>
      <c r="E138" t="s">
        <v>2300</v>
      </c>
      <c r="F138" t="s">
        <v>503</v>
      </c>
      <c r="G138" t="s">
        <v>43</v>
      </c>
      <c r="H138" t="s">
        <v>2290</v>
      </c>
      <c r="I138" t="s">
        <v>35</v>
      </c>
      <c r="J138" t="s">
        <v>4144</v>
      </c>
      <c r="K138" t="s">
        <v>3487</v>
      </c>
    </row>
    <row r="139" spans="1:11" x14ac:dyDescent="0.2">
      <c r="A139" t="s">
        <v>2419</v>
      </c>
      <c r="B139">
        <f>VALUE(RIGHT(A139,LEN(A139)-3))</f>
        <v>410</v>
      </c>
      <c r="C139">
        <v>1</v>
      </c>
      <c r="D139" t="s">
        <v>32</v>
      </c>
      <c r="E139" t="s">
        <v>2421</v>
      </c>
      <c r="F139" t="s">
        <v>503</v>
      </c>
      <c r="G139" t="s">
        <v>43</v>
      </c>
      <c r="H139" t="s">
        <v>2420</v>
      </c>
      <c r="I139" t="s">
        <v>35</v>
      </c>
      <c r="J139" t="s">
        <v>4144</v>
      </c>
      <c r="K139" t="s">
        <v>3509</v>
      </c>
    </row>
    <row r="140" spans="1:11" x14ac:dyDescent="0.2">
      <c r="A140" t="s">
        <v>2555</v>
      </c>
      <c r="B140">
        <f>VALUE(RIGHT(A140,LEN(A140)-3))</f>
        <v>435</v>
      </c>
      <c r="C140">
        <v>1</v>
      </c>
      <c r="D140" t="s">
        <v>32</v>
      </c>
      <c r="E140" t="s">
        <v>1078</v>
      </c>
      <c r="F140" t="s">
        <v>503</v>
      </c>
      <c r="G140" t="s">
        <v>43</v>
      </c>
      <c r="H140" t="s">
        <v>2556</v>
      </c>
      <c r="I140" t="s">
        <v>35</v>
      </c>
      <c r="J140" t="s">
        <v>4144</v>
      </c>
      <c r="K140" t="s">
        <v>3532</v>
      </c>
    </row>
    <row r="141" spans="1:11" x14ac:dyDescent="0.2">
      <c r="A141" t="s">
        <v>2654</v>
      </c>
      <c r="B141">
        <f>VALUE(RIGHT(A141,LEN(A141)-3))</f>
        <v>453</v>
      </c>
      <c r="C141">
        <v>1</v>
      </c>
      <c r="D141" t="s">
        <v>32</v>
      </c>
      <c r="E141" t="s">
        <v>2657</v>
      </c>
      <c r="F141" t="s">
        <v>503</v>
      </c>
      <c r="G141" t="s">
        <v>43</v>
      </c>
      <c r="H141" t="s">
        <v>2655</v>
      </c>
      <c r="I141" t="s">
        <v>35</v>
      </c>
      <c r="J141" t="s">
        <v>4144</v>
      </c>
      <c r="K141" t="s">
        <v>3550</v>
      </c>
    </row>
    <row r="142" spans="1:11" x14ac:dyDescent="0.2">
      <c r="A142" t="s">
        <v>2683</v>
      </c>
      <c r="B142">
        <f>VALUE(RIGHT(A142,LEN(A142)-3))</f>
        <v>458</v>
      </c>
      <c r="C142">
        <v>1</v>
      </c>
      <c r="D142" t="s">
        <v>32</v>
      </c>
      <c r="E142" t="s">
        <v>1078</v>
      </c>
      <c r="F142" t="s">
        <v>503</v>
      </c>
      <c r="G142" t="s">
        <v>43</v>
      </c>
      <c r="H142" t="s">
        <v>2684</v>
      </c>
      <c r="I142" t="s">
        <v>35</v>
      </c>
      <c r="J142" t="s">
        <v>4144</v>
      </c>
      <c r="K142" t="s">
        <v>3555</v>
      </c>
    </row>
    <row r="143" spans="1:11" x14ac:dyDescent="0.2">
      <c r="A143" t="s">
        <v>2927</v>
      </c>
      <c r="B143">
        <f>VALUE(RIGHT(A143,LEN(A143)-3))</f>
        <v>504</v>
      </c>
      <c r="C143">
        <v>1</v>
      </c>
      <c r="D143" t="s">
        <v>32</v>
      </c>
      <c r="E143" t="s">
        <v>2931</v>
      </c>
      <c r="F143" t="s">
        <v>503</v>
      </c>
      <c r="G143" t="s">
        <v>43</v>
      </c>
      <c r="H143" t="s">
        <v>2928</v>
      </c>
      <c r="I143" t="s">
        <v>35</v>
      </c>
      <c r="J143" t="s">
        <v>4144</v>
      </c>
      <c r="K143" t="s">
        <v>3590</v>
      </c>
    </row>
    <row r="144" spans="1:11" x14ac:dyDescent="0.2">
      <c r="A144" t="s">
        <v>3024</v>
      </c>
      <c r="B144">
        <f>VALUE(RIGHT(A144,LEN(A144)-3))</f>
        <v>522</v>
      </c>
      <c r="C144">
        <v>1</v>
      </c>
      <c r="D144" t="s">
        <v>32</v>
      </c>
      <c r="E144" t="s">
        <v>3026</v>
      </c>
      <c r="F144" t="s">
        <v>503</v>
      </c>
      <c r="G144" t="s">
        <v>43</v>
      </c>
      <c r="H144" t="s">
        <v>3025</v>
      </c>
      <c r="I144" t="s">
        <v>35</v>
      </c>
      <c r="J144" t="s">
        <v>4144</v>
      </c>
      <c r="K144" t="s">
        <v>3604</v>
      </c>
    </row>
    <row r="145" spans="1:11" x14ac:dyDescent="0.2">
      <c r="A145" t="s">
        <v>627</v>
      </c>
      <c r="B145">
        <f>VALUE(RIGHT(A145,LEN(A145)-3))</f>
        <v>90</v>
      </c>
      <c r="C145">
        <v>1</v>
      </c>
      <c r="D145" t="s">
        <v>32</v>
      </c>
      <c r="E145" t="s">
        <v>631</v>
      </c>
      <c r="F145" t="s">
        <v>503</v>
      </c>
      <c r="G145" t="s">
        <v>43</v>
      </c>
      <c r="H145" t="s">
        <v>628</v>
      </c>
      <c r="I145" t="s">
        <v>57</v>
      </c>
      <c r="J145" t="s">
        <v>4148</v>
      </c>
      <c r="K145" t="s">
        <v>3200</v>
      </c>
    </row>
    <row r="146" spans="1:11" x14ac:dyDescent="0.2">
      <c r="A146" t="s">
        <v>781</v>
      </c>
      <c r="B146">
        <f>VALUE(RIGHT(A146,LEN(A146)-3))</f>
        <v>116</v>
      </c>
      <c r="C146">
        <v>1</v>
      </c>
      <c r="D146" t="s">
        <v>32</v>
      </c>
      <c r="E146" t="s">
        <v>784</v>
      </c>
      <c r="F146" t="s">
        <v>503</v>
      </c>
      <c r="G146" t="s">
        <v>43</v>
      </c>
      <c r="H146" t="s">
        <v>782</v>
      </c>
      <c r="I146" t="s">
        <v>57</v>
      </c>
      <c r="J146" t="s">
        <v>4148</v>
      </c>
      <c r="K146" t="s">
        <v>3222</v>
      </c>
    </row>
    <row r="147" spans="1:11" x14ac:dyDescent="0.2">
      <c r="A147" t="s">
        <v>891</v>
      </c>
      <c r="B147">
        <f>VALUE(RIGHT(A147,LEN(A147)-3))</f>
        <v>136</v>
      </c>
      <c r="C147">
        <v>2</v>
      </c>
      <c r="D147" t="s">
        <v>32</v>
      </c>
      <c r="E147" t="s">
        <v>894</v>
      </c>
      <c r="F147" t="s">
        <v>503</v>
      </c>
      <c r="G147" t="s">
        <v>43</v>
      </c>
      <c r="H147" t="s">
        <v>892</v>
      </c>
      <c r="I147" t="s">
        <v>57</v>
      </c>
      <c r="J147" t="s">
        <v>4148</v>
      </c>
      <c r="K147" t="s">
        <v>3239</v>
      </c>
    </row>
    <row r="148" spans="1:11" x14ac:dyDescent="0.2">
      <c r="A148" t="s">
        <v>911</v>
      </c>
      <c r="B148">
        <f>VALUE(RIGHT(A148,LEN(A148)-3))</f>
        <v>139</v>
      </c>
      <c r="C148">
        <v>1</v>
      </c>
      <c r="D148" t="s">
        <v>32</v>
      </c>
      <c r="E148" t="s">
        <v>914</v>
      </c>
      <c r="F148" t="s">
        <v>503</v>
      </c>
      <c r="G148" t="s">
        <v>43</v>
      </c>
      <c r="H148" t="s">
        <v>912</v>
      </c>
      <c r="I148" t="s">
        <v>57</v>
      </c>
      <c r="J148" t="s">
        <v>4148</v>
      </c>
      <c r="K148" t="s">
        <v>3242</v>
      </c>
    </row>
    <row r="149" spans="1:11" x14ac:dyDescent="0.2">
      <c r="A149" t="s">
        <v>1060</v>
      </c>
      <c r="B149">
        <f>VALUE(RIGHT(A149,LEN(A149)-3))</f>
        <v>165</v>
      </c>
      <c r="C149">
        <v>1</v>
      </c>
      <c r="D149" t="s">
        <v>32</v>
      </c>
      <c r="E149" t="s">
        <v>1062</v>
      </c>
      <c r="F149" t="s">
        <v>503</v>
      </c>
      <c r="G149" t="s">
        <v>43</v>
      </c>
      <c r="H149" t="s">
        <v>1061</v>
      </c>
      <c r="I149" t="s">
        <v>57</v>
      </c>
      <c r="J149" t="s">
        <v>4148</v>
      </c>
      <c r="K149" t="s">
        <v>3267</v>
      </c>
    </row>
    <row r="150" spans="1:11" x14ac:dyDescent="0.2">
      <c r="A150" t="s">
        <v>1135</v>
      </c>
      <c r="B150">
        <f>VALUE(RIGHT(A150,LEN(A150)-3))</f>
        <v>178</v>
      </c>
      <c r="C150">
        <v>1</v>
      </c>
      <c r="D150" t="s">
        <v>32</v>
      </c>
      <c r="E150" t="s">
        <v>1138</v>
      </c>
      <c r="F150" t="s">
        <v>503</v>
      </c>
      <c r="G150" t="s">
        <v>43</v>
      </c>
      <c r="H150" t="s">
        <v>1136</v>
      </c>
      <c r="I150" t="s">
        <v>57</v>
      </c>
      <c r="J150" t="s">
        <v>4148</v>
      </c>
      <c r="K150" t="s">
        <v>3276</v>
      </c>
    </row>
    <row r="151" spans="1:11" x14ac:dyDescent="0.2">
      <c r="A151" t="s">
        <v>1185</v>
      </c>
      <c r="B151">
        <f>VALUE(RIGHT(A151,LEN(A151)-3))</f>
        <v>187</v>
      </c>
      <c r="C151">
        <v>1</v>
      </c>
      <c r="D151" t="s">
        <v>32</v>
      </c>
      <c r="E151" t="s">
        <v>1188</v>
      </c>
      <c r="F151" t="s">
        <v>503</v>
      </c>
      <c r="G151" t="s">
        <v>43</v>
      </c>
      <c r="H151" t="s">
        <v>1186</v>
      </c>
      <c r="I151" t="s">
        <v>57</v>
      </c>
      <c r="J151" t="s">
        <v>4148</v>
      </c>
      <c r="K151" t="s">
        <v>3285</v>
      </c>
    </row>
    <row r="152" spans="1:11" x14ac:dyDescent="0.2">
      <c r="A152" t="s">
        <v>1203</v>
      </c>
      <c r="B152">
        <f>VALUE(RIGHT(A152,LEN(A152)-3))</f>
        <v>190</v>
      </c>
      <c r="C152">
        <v>1</v>
      </c>
      <c r="D152" t="s">
        <v>32</v>
      </c>
      <c r="E152" t="s">
        <v>1138</v>
      </c>
      <c r="F152" t="s">
        <v>503</v>
      </c>
      <c r="G152" t="s">
        <v>43</v>
      </c>
      <c r="H152" t="s">
        <v>1204</v>
      </c>
      <c r="I152" t="s">
        <v>57</v>
      </c>
      <c r="J152" t="s">
        <v>4148</v>
      </c>
      <c r="K152" t="s">
        <v>3287</v>
      </c>
    </row>
    <row r="153" spans="1:11" x14ac:dyDescent="0.2">
      <c r="A153" t="s">
        <v>1227</v>
      </c>
      <c r="B153">
        <f>VALUE(RIGHT(A153,LEN(A153)-3))</f>
        <v>194</v>
      </c>
      <c r="C153">
        <v>1</v>
      </c>
      <c r="D153" t="s">
        <v>32</v>
      </c>
      <c r="E153" t="s">
        <v>1138</v>
      </c>
      <c r="F153" t="s">
        <v>503</v>
      </c>
      <c r="G153" t="s">
        <v>43</v>
      </c>
      <c r="H153" t="s">
        <v>1228</v>
      </c>
      <c r="I153" t="s">
        <v>57</v>
      </c>
      <c r="J153" t="s">
        <v>4148</v>
      </c>
      <c r="K153" t="s">
        <v>3292</v>
      </c>
    </row>
    <row r="154" spans="1:11" x14ac:dyDescent="0.2">
      <c r="A154" t="s">
        <v>1231</v>
      </c>
      <c r="B154">
        <f>VALUE(RIGHT(A154,LEN(A154)-3))</f>
        <v>195</v>
      </c>
      <c r="C154">
        <v>1</v>
      </c>
      <c r="D154" t="s">
        <v>32</v>
      </c>
      <c r="E154" t="s">
        <v>1233</v>
      </c>
      <c r="F154" t="s">
        <v>503</v>
      </c>
      <c r="G154" t="s">
        <v>43</v>
      </c>
      <c r="H154" t="s">
        <v>1232</v>
      </c>
      <c r="I154" t="s">
        <v>57</v>
      </c>
      <c r="J154" t="s">
        <v>4148</v>
      </c>
      <c r="K154" t="s">
        <v>3293</v>
      </c>
    </row>
    <row r="155" spans="1:11" x14ac:dyDescent="0.2">
      <c r="A155" t="s">
        <v>1242</v>
      </c>
      <c r="B155">
        <f>VALUE(RIGHT(A155,LEN(A155)-3))</f>
        <v>197</v>
      </c>
      <c r="C155">
        <v>1</v>
      </c>
      <c r="D155" t="s">
        <v>32</v>
      </c>
      <c r="E155" t="s">
        <v>679</v>
      </c>
      <c r="F155" t="s">
        <v>503</v>
      </c>
      <c r="G155" t="s">
        <v>43</v>
      </c>
      <c r="H155" t="s">
        <v>1243</v>
      </c>
      <c r="I155" t="s">
        <v>57</v>
      </c>
      <c r="J155" t="s">
        <v>4148</v>
      </c>
      <c r="K155" t="s">
        <v>3296</v>
      </c>
    </row>
    <row r="156" spans="1:11" x14ac:dyDescent="0.2">
      <c r="A156" t="s">
        <v>1289</v>
      </c>
      <c r="B156">
        <f>VALUE(RIGHT(A156,LEN(A156)-3))</f>
        <v>205</v>
      </c>
      <c r="C156">
        <v>1</v>
      </c>
      <c r="D156" t="s">
        <v>32</v>
      </c>
      <c r="E156" t="s">
        <v>1138</v>
      </c>
      <c r="F156" t="s">
        <v>503</v>
      </c>
      <c r="G156" t="s">
        <v>43</v>
      </c>
      <c r="H156" t="s">
        <v>1290</v>
      </c>
      <c r="I156" t="s">
        <v>57</v>
      </c>
      <c r="J156" t="s">
        <v>4148</v>
      </c>
      <c r="K156" t="s">
        <v>3304</v>
      </c>
    </row>
    <row r="157" spans="1:11" x14ac:dyDescent="0.2">
      <c r="A157" t="s">
        <v>1317</v>
      </c>
      <c r="B157">
        <f>VALUE(RIGHT(A157,LEN(A157)-3))</f>
        <v>210</v>
      </c>
      <c r="C157">
        <v>1</v>
      </c>
      <c r="D157" t="s">
        <v>32</v>
      </c>
      <c r="E157" t="s">
        <v>553</v>
      </c>
      <c r="F157" t="s">
        <v>503</v>
      </c>
      <c r="G157" t="s">
        <v>43</v>
      </c>
      <c r="H157" t="s">
        <v>1318</v>
      </c>
      <c r="I157" t="s">
        <v>57</v>
      </c>
      <c r="J157" t="s">
        <v>4148</v>
      </c>
      <c r="K157" t="s">
        <v>3309</v>
      </c>
    </row>
    <row r="158" spans="1:11" x14ac:dyDescent="0.2">
      <c r="A158" t="s">
        <v>1331</v>
      </c>
      <c r="B158">
        <f>VALUE(RIGHT(A158,LEN(A158)-3))</f>
        <v>213</v>
      </c>
      <c r="C158">
        <v>1</v>
      </c>
      <c r="D158" t="s">
        <v>32</v>
      </c>
      <c r="E158" t="s">
        <v>1138</v>
      </c>
      <c r="F158" t="s">
        <v>503</v>
      </c>
      <c r="G158" t="s">
        <v>43</v>
      </c>
      <c r="H158" t="s">
        <v>1332</v>
      </c>
      <c r="I158" t="s">
        <v>57</v>
      </c>
      <c r="J158" t="s">
        <v>4148</v>
      </c>
      <c r="K158" t="s">
        <v>3311</v>
      </c>
    </row>
    <row r="159" spans="1:11" x14ac:dyDescent="0.2">
      <c r="A159" t="s">
        <v>1341</v>
      </c>
      <c r="B159">
        <f>VALUE(RIGHT(A159,LEN(A159)-3))</f>
        <v>215</v>
      </c>
      <c r="C159">
        <v>1</v>
      </c>
      <c r="D159" t="s">
        <v>32</v>
      </c>
      <c r="E159" t="s">
        <v>1343</v>
      </c>
      <c r="F159" t="s">
        <v>503</v>
      </c>
      <c r="G159" t="s">
        <v>43</v>
      </c>
      <c r="H159" t="s">
        <v>1342</v>
      </c>
      <c r="I159" t="s">
        <v>57</v>
      </c>
      <c r="J159" t="s">
        <v>4148</v>
      </c>
      <c r="K159" t="s">
        <v>3312</v>
      </c>
    </row>
    <row r="160" spans="1:11" x14ac:dyDescent="0.2">
      <c r="A160" t="s">
        <v>1356</v>
      </c>
      <c r="B160">
        <f>VALUE(RIGHT(A160,LEN(A160)-3))</f>
        <v>218</v>
      </c>
      <c r="C160">
        <v>1</v>
      </c>
      <c r="D160" t="s">
        <v>32</v>
      </c>
      <c r="E160" t="s">
        <v>679</v>
      </c>
      <c r="F160" t="s">
        <v>503</v>
      </c>
      <c r="G160" t="s">
        <v>43</v>
      </c>
      <c r="H160" t="s">
        <v>1357</v>
      </c>
      <c r="I160" t="s">
        <v>57</v>
      </c>
      <c r="J160" t="s">
        <v>4148</v>
      </c>
      <c r="K160" t="s">
        <v>3315</v>
      </c>
    </row>
    <row r="161" spans="1:11" x14ac:dyDescent="0.2">
      <c r="A161" t="s">
        <v>1366</v>
      </c>
      <c r="B161">
        <f>VALUE(RIGHT(A161,LEN(A161)-3))</f>
        <v>220</v>
      </c>
      <c r="C161">
        <v>3</v>
      </c>
      <c r="D161" t="s">
        <v>32</v>
      </c>
      <c r="E161" t="s">
        <v>1368</v>
      </c>
      <c r="F161" t="s">
        <v>503</v>
      </c>
      <c r="G161" t="s">
        <v>43</v>
      </c>
      <c r="H161" t="s">
        <v>1367</v>
      </c>
      <c r="I161" t="s">
        <v>57</v>
      </c>
      <c r="J161" t="s">
        <v>4148</v>
      </c>
      <c r="K161" t="s">
        <v>3320</v>
      </c>
    </row>
    <row r="162" spans="1:11" x14ac:dyDescent="0.2">
      <c r="A162" t="s">
        <v>1371</v>
      </c>
      <c r="B162">
        <f>VALUE(RIGHT(A162,LEN(A162)-3))</f>
        <v>221</v>
      </c>
      <c r="C162">
        <v>1</v>
      </c>
      <c r="D162" t="s">
        <v>32</v>
      </c>
      <c r="E162" t="s">
        <v>1375</v>
      </c>
      <c r="F162" t="s">
        <v>503</v>
      </c>
      <c r="G162" t="s">
        <v>43</v>
      </c>
      <c r="H162" t="s">
        <v>1372</v>
      </c>
      <c r="I162" t="s">
        <v>57</v>
      </c>
      <c r="J162" t="s">
        <v>4148</v>
      </c>
      <c r="K162" t="s">
        <v>3321</v>
      </c>
    </row>
    <row r="163" spans="1:11" x14ac:dyDescent="0.2">
      <c r="A163" t="s">
        <v>1402</v>
      </c>
      <c r="B163">
        <f>VALUE(RIGHT(A163,LEN(A163)-3))</f>
        <v>226</v>
      </c>
      <c r="C163">
        <v>2</v>
      </c>
      <c r="D163" t="s">
        <v>32</v>
      </c>
      <c r="E163" t="s">
        <v>1405</v>
      </c>
      <c r="F163" t="s">
        <v>503</v>
      </c>
      <c r="G163" t="s">
        <v>43</v>
      </c>
      <c r="H163" t="s">
        <v>1403</v>
      </c>
      <c r="I163" t="s">
        <v>57</v>
      </c>
      <c r="J163" t="s">
        <v>4148</v>
      </c>
      <c r="K163" t="s">
        <v>3327</v>
      </c>
    </row>
    <row r="164" spans="1:11" x14ac:dyDescent="0.2">
      <c r="A164" t="s">
        <v>1461</v>
      </c>
      <c r="B164">
        <f>VALUE(RIGHT(A164,LEN(A164)-3))</f>
        <v>237</v>
      </c>
      <c r="C164">
        <v>2</v>
      </c>
      <c r="D164" t="s">
        <v>32</v>
      </c>
      <c r="E164" t="s">
        <v>1463</v>
      </c>
      <c r="F164" t="s">
        <v>503</v>
      </c>
      <c r="G164" t="s">
        <v>43</v>
      </c>
      <c r="H164" t="s">
        <v>1462</v>
      </c>
      <c r="I164" t="s">
        <v>57</v>
      </c>
      <c r="J164" t="s">
        <v>4148</v>
      </c>
      <c r="K164" t="s">
        <v>3339</v>
      </c>
    </row>
    <row r="165" spans="1:11" x14ac:dyDescent="0.2">
      <c r="A165" t="s">
        <v>1461</v>
      </c>
      <c r="B165">
        <f>VALUE(RIGHT(A165,LEN(A165)-3))</f>
        <v>237</v>
      </c>
      <c r="C165">
        <v>1</v>
      </c>
      <c r="D165" t="s">
        <v>32</v>
      </c>
      <c r="E165" t="s">
        <v>1463</v>
      </c>
      <c r="F165" t="s">
        <v>503</v>
      </c>
      <c r="G165" t="s">
        <v>43</v>
      </c>
      <c r="H165" t="s">
        <v>1462</v>
      </c>
      <c r="I165" t="s">
        <v>57</v>
      </c>
      <c r="J165" t="s">
        <v>4148</v>
      </c>
      <c r="K165" t="s">
        <v>3338</v>
      </c>
    </row>
    <row r="166" spans="1:11" x14ac:dyDescent="0.2">
      <c r="A166" t="s">
        <v>1471</v>
      </c>
      <c r="B166">
        <f>VALUE(RIGHT(A166,LEN(A166)-3))</f>
        <v>239</v>
      </c>
      <c r="C166">
        <v>1</v>
      </c>
      <c r="D166" t="s">
        <v>32</v>
      </c>
      <c r="E166" t="s">
        <v>1472</v>
      </c>
      <c r="F166" t="s">
        <v>503</v>
      </c>
      <c r="G166" t="s">
        <v>43</v>
      </c>
      <c r="H166" t="s">
        <v>1467</v>
      </c>
      <c r="I166" t="s">
        <v>57</v>
      </c>
      <c r="J166" t="s">
        <v>4148</v>
      </c>
      <c r="K166" t="s">
        <v>3341</v>
      </c>
    </row>
    <row r="167" spans="1:11" x14ac:dyDescent="0.2">
      <c r="A167" t="s">
        <v>1489</v>
      </c>
      <c r="B167">
        <f>VALUE(RIGHT(A167,LEN(A167)-3))</f>
        <v>243</v>
      </c>
      <c r="C167">
        <v>1</v>
      </c>
      <c r="D167" t="s">
        <v>32</v>
      </c>
      <c r="E167" t="s">
        <v>1138</v>
      </c>
      <c r="F167" t="s">
        <v>503</v>
      </c>
      <c r="G167" t="s">
        <v>43</v>
      </c>
      <c r="H167" t="s">
        <v>1490</v>
      </c>
      <c r="I167" t="s">
        <v>57</v>
      </c>
      <c r="J167" t="s">
        <v>4148</v>
      </c>
      <c r="K167" t="s">
        <v>3344</v>
      </c>
    </row>
    <row r="168" spans="1:11" x14ac:dyDescent="0.2">
      <c r="A168" t="s">
        <v>1499</v>
      </c>
      <c r="B168">
        <f>VALUE(RIGHT(A168,LEN(A168)-3))</f>
        <v>245</v>
      </c>
      <c r="C168">
        <v>1</v>
      </c>
      <c r="D168" t="s">
        <v>32</v>
      </c>
      <c r="E168" t="s">
        <v>1503</v>
      </c>
      <c r="F168" t="s">
        <v>503</v>
      </c>
      <c r="G168" t="s">
        <v>43</v>
      </c>
      <c r="H168" t="s">
        <v>1500</v>
      </c>
      <c r="I168" t="s">
        <v>57</v>
      </c>
      <c r="J168" t="s">
        <v>4148</v>
      </c>
      <c r="K168" t="s">
        <v>3345</v>
      </c>
    </row>
    <row r="169" spans="1:11" x14ac:dyDescent="0.2">
      <c r="A169" t="s">
        <v>1512</v>
      </c>
      <c r="B169">
        <f>VALUE(RIGHT(A169,LEN(A169)-3))</f>
        <v>247</v>
      </c>
      <c r="C169">
        <v>1</v>
      </c>
      <c r="D169" t="s">
        <v>32</v>
      </c>
      <c r="E169" t="s">
        <v>1516</v>
      </c>
      <c r="F169" t="s">
        <v>503</v>
      </c>
      <c r="G169" t="s">
        <v>43</v>
      </c>
      <c r="H169" t="s">
        <v>1513</v>
      </c>
      <c r="I169" t="s">
        <v>57</v>
      </c>
      <c r="J169" t="s">
        <v>4148</v>
      </c>
      <c r="K169" t="s">
        <v>3347</v>
      </c>
    </row>
    <row r="170" spans="1:11" x14ac:dyDescent="0.2">
      <c r="A170" t="s">
        <v>1577</v>
      </c>
      <c r="B170">
        <f>VALUE(RIGHT(A170,LEN(A170)-3))</f>
        <v>260</v>
      </c>
      <c r="C170">
        <v>2</v>
      </c>
      <c r="D170" t="s">
        <v>32</v>
      </c>
      <c r="E170" t="s">
        <v>1581</v>
      </c>
      <c r="F170" t="s">
        <v>503</v>
      </c>
      <c r="G170" t="s">
        <v>43</v>
      </c>
      <c r="H170" t="s">
        <v>1578</v>
      </c>
      <c r="I170" t="s">
        <v>57</v>
      </c>
      <c r="J170" t="s">
        <v>4148</v>
      </c>
      <c r="K170" t="s">
        <v>3364</v>
      </c>
    </row>
    <row r="171" spans="1:11" x14ac:dyDescent="0.2">
      <c r="A171" t="s">
        <v>1577</v>
      </c>
      <c r="B171">
        <f>VALUE(RIGHT(A171,LEN(A171)-3))</f>
        <v>260</v>
      </c>
      <c r="C171">
        <v>1</v>
      </c>
      <c r="D171" t="s">
        <v>32</v>
      </c>
      <c r="E171" t="s">
        <v>1581</v>
      </c>
      <c r="F171" t="s">
        <v>503</v>
      </c>
      <c r="G171" t="s">
        <v>43</v>
      </c>
      <c r="H171" t="s">
        <v>1578</v>
      </c>
      <c r="I171" t="s">
        <v>57</v>
      </c>
      <c r="J171" t="s">
        <v>4148</v>
      </c>
      <c r="K171" t="s">
        <v>3363</v>
      </c>
    </row>
    <row r="172" spans="1:11" x14ac:dyDescent="0.2">
      <c r="A172" t="s">
        <v>1616</v>
      </c>
      <c r="B172">
        <f>VALUE(RIGHT(A172,LEN(A172)-3))</f>
        <v>267</v>
      </c>
      <c r="C172">
        <v>1</v>
      </c>
      <c r="D172" t="s">
        <v>32</v>
      </c>
      <c r="E172" t="s">
        <v>1078</v>
      </c>
      <c r="F172" t="s">
        <v>503</v>
      </c>
      <c r="G172" t="s">
        <v>43</v>
      </c>
      <c r="H172" t="s">
        <v>1617</v>
      </c>
      <c r="I172" t="s">
        <v>57</v>
      </c>
      <c r="J172" t="s">
        <v>4148</v>
      </c>
      <c r="K172" t="s">
        <v>3369</v>
      </c>
    </row>
    <row r="173" spans="1:11" x14ac:dyDescent="0.2">
      <c r="A173" t="s">
        <v>1625</v>
      </c>
      <c r="B173">
        <f>VALUE(RIGHT(A173,LEN(A173)-3))</f>
        <v>269</v>
      </c>
      <c r="C173">
        <v>1</v>
      </c>
      <c r="D173" t="s">
        <v>32</v>
      </c>
      <c r="E173" t="s">
        <v>679</v>
      </c>
      <c r="F173" t="s">
        <v>503</v>
      </c>
      <c r="G173" t="s">
        <v>43</v>
      </c>
      <c r="H173" t="s">
        <v>1626</v>
      </c>
      <c r="I173" t="s">
        <v>57</v>
      </c>
      <c r="J173" t="s">
        <v>4148</v>
      </c>
      <c r="K173" t="s">
        <v>3370</v>
      </c>
    </row>
    <row r="174" spans="1:11" x14ac:dyDescent="0.2">
      <c r="A174" t="s">
        <v>1629</v>
      </c>
      <c r="B174">
        <f>VALUE(RIGHT(A174,LEN(A174)-3))</f>
        <v>270</v>
      </c>
      <c r="C174">
        <v>1</v>
      </c>
      <c r="D174" t="s">
        <v>32</v>
      </c>
      <c r="E174" t="s">
        <v>1078</v>
      </c>
      <c r="F174" t="s">
        <v>503</v>
      </c>
      <c r="G174" t="s">
        <v>43</v>
      </c>
      <c r="H174" t="s">
        <v>1630</v>
      </c>
      <c r="I174" t="s">
        <v>57</v>
      </c>
      <c r="J174" t="s">
        <v>4148</v>
      </c>
      <c r="K174" t="s">
        <v>3371</v>
      </c>
    </row>
    <row r="175" spans="1:11" x14ac:dyDescent="0.2">
      <c r="A175" t="s">
        <v>1661</v>
      </c>
      <c r="B175">
        <f>VALUE(RIGHT(A175,LEN(A175)-3))</f>
        <v>276</v>
      </c>
      <c r="C175">
        <v>1</v>
      </c>
      <c r="D175" t="s">
        <v>32</v>
      </c>
      <c r="E175" t="s">
        <v>1663</v>
      </c>
      <c r="F175" t="s">
        <v>503</v>
      </c>
      <c r="G175" t="s">
        <v>43</v>
      </c>
      <c r="H175" t="s">
        <v>1662</v>
      </c>
      <c r="I175" t="s">
        <v>57</v>
      </c>
      <c r="J175" t="s">
        <v>4148</v>
      </c>
      <c r="K175" t="s">
        <v>3378</v>
      </c>
    </row>
    <row r="176" spans="1:11" x14ac:dyDescent="0.2">
      <c r="A176" t="s">
        <v>1721</v>
      </c>
      <c r="B176">
        <f>VALUE(RIGHT(A176,LEN(A176)-3))</f>
        <v>287</v>
      </c>
      <c r="C176">
        <v>1</v>
      </c>
      <c r="D176" t="s">
        <v>32</v>
      </c>
      <c r="E176" t="s">
        <v>1723</v>
      </c>
      <c r="F176" t="s">
        <v>503</v>
      </c>
      <c r="G176" t="s">
        <v>43</v>
      </c>
      <c r="H176" t="s">
        <v>1722</v>
      </c>
      <c r="I176" t="s">
        <v>57</v>
      </c>
      <c r="J176" t="s">
        <v>4148</v>
      </c>
      <c r="K176" t="s">
        <v>3387</v>
      </c>
    </row>
    <row r="177" spans="1:11" x14ac:dyDescent="0.2">
      <c r="A177" t="s">
        <v>1731</v>
      </c>
      <c r="B177">
        <f>VALUE(RIGHT(A177,LEN(A177)-3))</f>
        <v>289</v>
      </c>
      <c r="C177">
        <v>1</v>
      </c>
      <c r="D177" t="s">
        <v>32</v>
      </c>
      <c r="E177" t="s">
        <v>1734</v>
      </c>
      <c r="F177" t="s">
        <v>503</v>
      </c>
      <c r="G177" t="s">
        <v>43</v>
      </c>
      <c r="H177" t="s">
        <v>1732</v>
      </c>
      <c r="I177" t="s">
        <v>57</v>
      </c>
      <c r="J177" t="s">
        <v>4148</v>
      </c>
      <c r="K177" t="s">
        <v>3389</v>
      </c>
    </row>
    <row r="178" spans="1:11" x14ac:dyDescent="0.2">
      <c r="A178" t="s">
        <v>1745</v>
      </c>
      <c r="B178">
        <f>VALUE(RIGHT(A178,LEN(A178)-3))</f>
        <v>291</v>
      </c>
      <c r="C178">
        <v>1</v>
      </c>
      <c r="D178" t="s">
        <v>32</v>
      </c>
      <c r="E178" t="s">
        <v>1748</v>
      </c>
      <c r="F178" t="s">
        <v>503</v>
      </c>
      <c r="G178" t="s">
        <v>43</v>
      </c>
      <c r="H178" t="s">
        <v>1746</v>
      </c>
      <c r="I178" t="s">
        <v>57</v>
      </c>
      <c r="J178" t="s">
        <v>4148</v>
      </c>
      <c r="K178" t="s">
        <v>3393</v>
      </c>
    </row>
    <row r="179" spans="1:11" x14ac:dyDescent="0.2">
      <c r="A179" t="s">
        <v>1770</v>
      </c>
      <c r="B179">
        <f>VALUE(RIGHT(A179,LEN(A179)-3))</f>
        <v>295</v>
      </c>
      <c r="C179">
        <v>2</v>
      </c>
      <c r="D179" t="s">
        <v>32</v>
      </c>
      <c r="E179" t="s">
        <v>1078</v>
      </c>
      <c r="F179" t="s">
        <v>503</v>
      </c>
      <c r="G179" t="s">
        <v>43</v>
      </c>
      <c r="H179" t="s">
        <v>1765</v>
      </c>
      <c r="I179" t="s">
        <v>57</v>
      </c>
      <c r="J179" t="s">
        <v>4148</v>
      </c>
      <c r="K179" t="s">
        <v>3399</v>
      </c>
    </row>
    <row r="180" spans="1:11" x14ac:dyDescent="0.2">
      <c r="A180" t="s">
        <v>1799</v>
      </c>
      <c r="B180">
        <f>VALUE(RIGHT(A180,LEN(A180)-3))</f>
        <v>301</v>
      </c>
      <c r="C180">
        <v>1</v>
      </c>
      <c r="D180" t="s">
        <v>32</v>
      </c>
      <c r="E180" t="s">
        <v>1802</v>
      </c>
      <c r="F180" t="s">
        <v>503</v>
      </c>
      <c r="G180" t="s">
        <v>43</v>
      </c>
      <c r="H180" t="s">
        <v>1800</v>
      </c>
      <c r="I180" t="s">
        <v>57</v>
      </c>
      <c r="J180" t="s">
        <v>4148</v>
      </c>
      <c r="K180" t="s">
        <v>3406</v>
      </c>
    </row>
    <row r="181" spans="1:11" x14ac:dyDescent="0.2">
      <c r="A181" t="s">
        <v>1837</v>
      </c>
      <c r="B181">
        <f>VALUE(RIGHT(A181,LEN(A181)-3))</f>
        <v>308</v>
      </c>
      <c r="C181">
        <v>1</v>
      </c>
      <c r="D181" t="s">
        <v>32</v>
      </c>
      <c r="E181" t="s">
        <v>1839</v>
      </c>
      <c r="F181" t="s">
        <v>503</v>
      </c>
      <c r="G181" t="s">
        <v>43</v>
      </c>
      <c r="H181" t="s">
        <v>1838</v>
      </c>
      <c r="I181" t="s">
        <v>57</v>
      </c>
      <c r="J181" t="s">
        <v>4148</v>
      </c>
      <c r="K181" t="s">
        <v>3412</v>
      </c>
    </row>
    <row r="182" spans="1:11" x14ac:dyDescent="0.2">
      <c r="A182" t="s">
        <v>1899</v>
      </c>
      <c r="B182">
        <f>VALUE(RIGHT(A182,LEN(A182)-3))</f>
        <v>320</v>
      </c>
      <c r="C182">
        <v>2</v>
      </c>
      <c r="D182" t="s">
        <v>32</v>
      </c>
      <c r="E182" t="s">
        <v>1902</v>
      </c>
      <c r="F182" t="s">
        <v>503</v>
      </c>
      <c r="G182" t="s">
        <v>43</v>
      </c>
      <c r="H182" t="s">
        <v>1900</v>
      </c>
      <c r="I182" t="s">
        <v>57</v>
      </c>
      <c r="J182" t="s">
        <v>4148</v>
      </c>
      <c r="K182" t="s">
        <v>3420</v>
      </c>
    </row>
    <row r="183" spans="1:11" x14ac:dyDescent="0.2">
      <c r="A183" t="s">
        <v>1942</v>
      </c>
      <c r="B183">
        <f>VALUE(RIGHT(A183,LEN(A183)-3))</f>
        <v>328</v>
      </c>
      <c r="C183">
        <v>2</v>
      </c>
      <c r="D183" t="s">
        <v>32</v>
      </c>
      <c r="E183" t="s">
        <v>1945</v>
      </c>
      <c r="F183" t="s">
        <v>503</v>
      </c>
      <c r="G183" t="s">
        <v>43</v>
      </c>
      <c r="H183" t="s">
        <v>1943</v>
      </c>
      <c r="I183" t="s">
        <v>57</v>
      </c>
      <c r="J183" t="s">
        <v>4148</v>
      </c>
      <c r="K183" t="s">
        <v>3428</v>
      </c>
    </row>
    <row r="184" spans="1:11" x14ac:dyDescent="0.2">
      <c r="A184" t="s">
        <v>1952</v>
      </c>
      <c r="B184">
        <f>VALUE(RIGHT(A184,LEN(A184)-3))</f>
        <v>330</v>
      </c>
      <c r="C184">
        <v>1</v>
      </c>
      <c r="D184" t="s">
        <v>32</v>
      </c>
      <c r="E184" t="s">
        <v>1955</v>
      </c>
      <c r="F184" t="s">
        <v>503</v>
      </c>
      <c r="G184" t="s">
        <v>43</v>
      </c>
      <c r="H184" t="s">
        <v>1953</v>
      </c>
      <c r="I184" t="s">
        <v>57</v>
      </c>
      <c r="J184" t="s">
        <v>4148</v>
      </c>
      <c r="K184" t="s">
        <v>3429</v>
      </c>
    </row>
    <row r="185" spans="1:11" x14ac:dyDescent="0.2">
      <c r="A185" t="s">
        <v>2000</v>
      </c>
      <c r="B185">
        <f>VALUE(RIGHT(A185,LEN(A185)-3))</f>
        <v>338</v>
      </c>
      <c r="C185">
        <v>1</v>
      </c>
      <c r="D185" t="s">
        <v>32</v>
      </c>
      <c r="E185" t="s">
        <v>2004</v>
      </c>
      <c r="F185" t="s">
        <v>503</v>
      </c>
      <c r="G185" t="s">
        <v>43</v>
      </c>
      <c r="H185" t="s">
        <v>2001</v>
      </c>
      <c r="I185" t="s">
        <v>57</v>
      </c>
      <c r="J185" t="s">
        <v>4148</v>
      </c>
      <c r="K185" t="s">
        <v>3438</v>
      </c>
    </row>
    <row r="186" spans="1:11" x14ac:dyDescent="0.2">
      <c r="A186" t="s">
        <v>2084</v>
      </c>
      <c r="B186">
        <f>VALUE(RIGHT(A186,LEN(A186)-3))</f>
        <v>354</v>
      </c>
      <c r="C186">
        <v>1</v>
      </c>
      <c r="D186" t="s">
        <v>32</v>
      </c>
      <c r="E186" t="s">
        <v>1078</v>
      </c>
      <c r="F186" t="s">
        <v>602</v>
      </c>
      <c r="G186" t="s">
        <v>43</v>
      </c>
      <c r="H186" t="s">
        <v>2085</v>
      </c>
      <c r="I186" t="s">
        <v>57</v>
      </c>
      <c r="J186" t="s">
        <v>4148</v>
      </c>
      <c r="K186" t="s">
        <v>3452</v>
      </c>
    </row>
    <row r="187" spans="1:11" x14ac:dyDescent="0.2">
      <c r="A187" t="s">
        <v>2244</v>
      </c>
      <c r="B187">
        <f>VALUE(RIGHT(A187,LEN(A187)-3))</f>
        <v>382</v>
      </c>
      <c r="C187">
        <v>1</v>
      </c>
      <c r="D187" t="s">
        <v>32</v>
      </c>
      <c r="E187" t="s">
        <v>2247</v>
      </c>
      <c r="F187" t="s">
        <v>503</v>
      </c>
      <c r="G187" t="s">
        <v>43</v>
      </c>
      <c r="H187" t="s">
        <v>2245</v>
      </c>
      <c r="I187" t="s">
        <v>57</v>
      </c>
      <c r="J187" t="s">
        <v>4148</v>
      </c>
      <c r="K187" t="s">
        <v>3478</v>
      </c>
    </row>
    <row r="188" spans="1:11" x14ac:dyDescent="0.2">
      <c r="A188" t="s">
        <v>2263</v>
      </c>
      <c r="B188">
        <f>VALUE(RIGHT(A188,LEN(A188)-3))</f>
        <v>385</v>
      </c>
      <c r="C188">
        <v>1</v>
      </c>
      <c r="D188" t="s">
        <v>32</v>
      </c>
      <c r="E188" t="s">
        <v>2265</v>
      </c>
      <c r="F188" t="s">
        <v>503</v>
      </c>
      <c r="G188" t="s">
        <v>43</v>
      </c>
      <c r="H188" t="s">
        <v>2264</v>
      </c>
      <c r="I188" t="s">
        <v>57</v>
      </c>
      <c r="J188" t="s">
        <v>4148</v>
      </c>
      <c r="K188" t="s">
        <v>3482</v>
      </c>
    </row>
    <row r="189" spans="1:11" x14ac:dyDescent="0.2">
      <c r="A189" t="s">
        <v>2289</v>
      </c>
      <c r="B189">
        <f>VALUE(RIGHT(A189,LEN(A189)-3))</f>
        <v>389</v>
      </c>
      <c r="C189">
        <v>1</v>
      </c>
      <c r="D189" t="s">
        <v>32</v>
      </c>
      <c r="E189" t="s">
        <v>2293</v>
      </c>
      <c r="F189" t="s">
        <v>503</v>
      </c>
      <c r="G189" t="s">
        <v>43</v>
      </c>
      <c r="H189" t="s">
        <v>2290</v>
      </c>
      <c r="I189" t="s">
        <v>57</v>
      </c>
      <c r="J189" t="s">
        <v>4148</v>
      </c>
      <c r="K189" t="s">
        <v>3486</v>
      </c>
    </row>
    <row r="190" spans="1:11" x14ac:dyDescent="0.2">
      <c r="A190" t="s">
        <v>2313</v>
      </c>
      <c r="B190">
        <f>VALUE(RIGHT(A190,LEN(A190)-3))</f>
        <v>393</v>
      </c>
      <c r="C190">
        <v>1</v>
      </c>
      <c r="D190" t="s">
        <v>32</v>
      </c>
      <c r="E190" t="s">
        <v>1748</v>
      </c>
      <c r="F190" t="s">
        <v>503</v>
      </c>
      <c r="G190" t="s">
        <v>43</v>
      </c>
      <c r="H190" t="s">
        <v>2314</v>
      </c>
      <c r="I190" t="s">
        <v>57</v>
      </c>
      <c r="J190" t="s">
        <v>4148</v>
      </c>
      <c r="K190" t="s">
        <v>3490</v>
      </c>
    </row>
    <row r="191" spans="1:11" x14ac:dyDescent="0.2">
      <c r="A191" t="s">
        <v>2319</v>
      </c>
      <c r="B191">
        <f>VALUE(RIGHT(A191,LEN(A191)-3))</f>
        <v>394</v>
      </c>
      <c r="C191">
        <v>1</v>
      </c>
      <c r="D191" t="s">
        <v>32</v>
      </c>
      <c r="E191" t="s">
        <v>1748</v>
      </c>
      <c r="F191" t="s">
        <v>503</v>
      </c>
      <c r="G191" t="s">
        <v>43</v>
      </c>
      <c r="H191" t="s">
        <v>2320</v>
      </c>
      <c r="I191" t="s">
        <v>57</v>
      </c>
      <c r="J191" t="s">
        <v>4148</v>
      </c>
      <c r="K191" t="s">
        <v>3492</v>
      </c>
    </row>
    <row r="192" spans="1:11" x14ac:dyDescent="0.2">
      <c r="A192" t="s">
        <v>2394</v>
      </c>
      <c r="B192">
        <f>VALUE(RIGHT(A192,LEN(A192)-3))</f>
        <v>406</v>
      </c>
      <c r="C192">
        <v>1</v>
      </c>
      <c r="D192" t="s">
        <v>32</v>
      </c>
      <c r="E192" t="s">
        <v>1138</v>
      </c>
      <c r="F192" t="s">
        <v>503</v>
      </c>
      <c r="G192" t="s">
        <v>43</v>
      </c>
      <c r="H192" t="s">
        <v>2395</v>
      </c>
      <c r="I192" t="s">
        <v>57</v>
      </c>
      <c r="J192" t="s">
        <v>4148</v>
      </c>
      <c r="K192" t="s">
        <v>3505</v>
      </c>
    </row>
    <row r="193" spans="1:11" x14ac:dyDescent="0.2">
      <c r="A193" t="s">
        <v>2493</v>
      </c>
      <c r="B193">
        <f>VALUE(RIGHT(A193,LEN(A193)-3))</f>
        <v>423</v>
      </c>
      <c r="C193">
        <v>1</v>
      </c>
      <c r="D193" t="s">
        <v>32</v>
      </c>
      <c r="E193" t="s">
        <v>2495</v>
      </c>
      <c r="F193" t="s">
        <v>503</v>
      </c>
      <c r="G193" t="s">
        <v>43</v>
      </c>
      <c r="H193" t="s">
        <v>2494</v>
      </c>
      <c r="I193" t="s">
        <v>57</v>
      </c>
      <c r="J193" t="s">
        <v>4148</v>
      </c>
      <c r="K193" t="s">
        <v>3523</v>
      </c>
    </row>
    <row r="194" spans="1:11" x14ac:dyDescent="0.2">
      <c r="A194" t="s">
        <v>2521</v>
      </c>
      <c r="B194">
        <f>VALUE(RIGHT(A194,LEN(A194)-3))</f>
        <v>429</v>
      </c>
      <c r="C194">
        <v>1</v>
      </c>
      <c r="D194" t="s">
        <v>32</v>
      </c>
      <c r="E194" t="s">
        <v>679</v>
      </c>
      <c r="F194" t="s">
        <v>503</v>
      </c>
      <c r="G194" t="s">
        <v>43</v>
      </c>
      <c r="H194" t="s">
        <v>2522</v>
      </c>
      <c r="I194" t="s">
        <v>57</v>
      </c>
      <c r="J194" t="s">
        <v>4148</v>
      </c>
      <c r="K194" t="s">
        <v>3527</v>
      </c>
    </row>
    <row r="195" spans="1:11" x14ac:dyDescent="0.2">
      <c r="A195" t="s">
        <v>2588</v>
      </c>
      <c r="B195">
        <f>VALUE(RIGHT(A195,LEN(A195)-3))</f>
        <v>441</v>
      </c>
      <c r="C195">
        <v>2</v>
      </c>
      <c r="D195" t="s">
        <v>32</v>
      </c>
      <c r="E195" t="s">
        <v>2590</v>
      </c>
      <c r="F195" t="s">
        <v>503</v>
      </c>
      <c r="G195" t="s">
        <v>43</v>
      </c>
      <c r="H195" t="s">
        <v>2589</v>
      </c>
      <c r="I195" t="s">
        <v>57</v>
      </c>
      <c r="J195" t="s">
        <v>4148</v>
      </c>
      <c r="K195" t="s">
        <v>3539</v>
      </c>
    </row>
    <row r="196" spans="1:11" x14ac:dyDescent="0.2">
      <c r="A196" t="s">
        <v>2643</v>
      </c>
      <c r="B196">
        <f>VALUE(RIGHT(A196,LEN(A196)-3))</f>
        <v>451</v>
      </c>
      <c r="C196">
        <v>1</v>
      </c>
      <c r="D196" t="s">
        <v>32</v>
      </c>
      <c r="E196" t="s">
        <v>2646</v>
      </c>
      <c r="F196" t="s">
        <v>503</v>
      </c>
      <c r="G196" t="s">
        <v>43</v>
      </c>
      <c r="H196" t="s">
        <v>2644</v>
      </c>
      <c r="I196" t="s">
        <v>57</v>
      </c>
      <c r="J196" t="s">
        <v>4148</v>
      </c>
      <c r="K196" t="s">
        <v>3547</v>
      </c>
    </row>
    <row r="197" spans="1:11" x14ac:dyDescent="0.2">
      <c r="A197" t="s">
        <v>2649</v>
      </c>
      <c r="B197">
        <f>VALUE(RIGHT(A197,LEN(A197)-3))</f>
        <v>452</v>
      </c>
      <c r="C197">
        <v>1</v>
      </c>
      <c r="D197" t="s">
        <v>32</v>
      </c>
      <c r="E197" t="s">
        <v>2651</v>
      </c>
      <c r="F197" t="s">
        <v>503</v>
      </c>
      <c r="G197" t="s">
        <v>43</v>
      </c>
      <c r="H197" t="s">
        <v>2650</v>
      </c>
      <c r="I197" t="s">
        <v>57</v>
      </c>
      <c r="J197" t="s">
        <v>4148</v>
      </c>
      <c r="K197" t="s">
        <v>3548</v>
      </c>
    </row>
    <row r="198" spans="1:11" x14ac:dyDescent="0.2">
      <c r="A198" t="s">
        <v>2649</v>
      </c>
      <c r="B198">
        <f>VALUE(RIGHT(A198,LEN(A198)-3))</f>
        <v>452</v>
      </c>
      <c r="C198">
        <v>2</v>
      </c>
      <c r="D198" t="s">
        <v>32</v>
      </c>
      <c r="E198" t="s">
        <v>2651</v>
      </c>
      <c r="F198" t="s">
        <v>503</v>
      </c>
      <c r="G198" t="s">
        <v>43</v>
      </c>
      <c r="H198" t="s">
        <v>2650</v>
      </c>
      <c r="I198" t="s">
        <v>57</v>
      </c>
      <c r="J198" t="s">
        <v>4148</v>
      </c>
      <c r="K198" t="s">
        <v>3549</v>
      </c>
    </row>
    <row r="199" spans="1:11" x14ac:dyDescent="0.2">
      <c r="A199" t="s">
        <v>2670</v>
      </c>
      <c r="B199">
        <f>VALUE(RIGHT(A199,LEN(A199)-3))</f>
        <v>456</v>
      </c>
      <c r="C199">
        <v>1</v>
      </c>
      <c r="D199" t="s">
        <v>32</v>
      </c>
      <c r="E199" t="s">
        <v>2673</v>
      </c>
      <c r="F199" t="s">
        <v>503</v>
      </c>
      <c r="G199" t="s">
        <v>43</v>
      </c>
      <c r="H199" t="s">
        <v>2671</v>
      </c>
      <c r="I199" t="s">
        <v>57</v>
      </c>
      <c r="J199" t="s">
        <v>4148</v>
      </c>
      <c r="K199" t="s">
        <v>3553</v>
      </c>
    </row>
    <row r="200" spans="1:11" x14ac:dyDescent="0.2">
      <c r="A200" t="s">
        <v>2676</v>
      </c>
      <c r="B200">
        <f>VALUE(RIGHT(A200,LEN(A200)-3))</f>
        <v>457</v>
      </c>
      <c r="C200">
        <v>1</v>
      </c>
      <c r="D200" t="s">
        <v>32</v>
      </c>
      <c r="E200" t="s">
        <v>2679</v>
      </c>
      <c r="F200" t="s">
        <v>602</v>
      </c>
      <c r="G200" t="s">
        <v>43</v>
      </c>
      <c r="H200" t="s">
        <v>2677</v>
      </c>
      <c r="I200" t="s">
        <v>57</v>
      </c>
      <c r="J200" t="s">
        <v>4148</v>
      </c>
      <c r="K200" t="s">
        <v>3554</v>
      </c>
    </row>
    <row r="201" spans="1:11" x14ac:dyDescent="0.2">
      <c r="A201" t="s">
        <v>2709</v>
      </c>
      <c r="B201">
        <f>VALUE(RIGHT(A201,LEN(A201)-3))</f>
        <v>463</v>
      </c>
      <c r="C201">
        <v>1</v>
      </c>
      <c r="D201" t="s">
        <v>32</v>
      </c>
      <c r="E201" t="s">
        <v>2711</v>
      </c>
      <c r="F201" t="s">
        <v>503</v>
      </c>
      <c r="G201" t="s">
        <v>43</v>
      </c>
      <c r="H201" t="s">
        <v>2710</v>
      </c>
      <c r="I201" t="s">
        <v>57</v>
      </c>
      <c r="J201" t="s">
        <v>4148</v>
      </c>
      <c r="K201" t="s">
        <v>3558</v>
      </c>
    </row>
    <row r="202" spans="1:11" x14ac:dyDescent="0.2">
      <c r="A202" t="s">
        <v>2735</v>
      </c>
      <c r="B202">
        <f>VALUE(RIGHT(A202,LEN(A202)-3))</f>
        <v>468</v>
      </c>
      <c r="C202">
        <v>1</v>
      </c>
      <c r="D202" t="s">
        <v>32</v>
      </c>
      <c r="E202" t="s">
        <v>2737</v>
      </c>
      <c r="F202" t="s">
        <v>503</v>
      </c>
      <c r="G202" t="s">
        <v>43</v>
      </c>
      <c r="H202" t="s">
        <v>2736</v>
      </c>
      <c r="I202" t="s">
        <v>57</v>
      </c>
      <c r="J202" t="s">
        <v>4148</v>
      </c>
      <c r="K202" t="s">
        <v>3561</v>
      </c>
    </row>
    <row r="203" spans="1:11" x14ac:dyDescent="0.2">
      <c r="A203" t="s">
        <v>2819</v>
      </c>
      <c r="B203">
        <f>VALUE(RIGHT(A203,LEN(A203)-3))</f>
        <v>483</v>
      </c>
      <c r="C203">
        <v>1</v>
      </c>
      <c r="D203" t="s">
        <v>32</v>
      </c>
      <c r="E203" t="s">
        <v>1078</v>
      </c>
      <c r="F203" t="s">
        <v>503</v>
      </c>
      <c r="G203" t="s">
        <v>43</v>
      </c>
      <c r="H203" t="s">
        <v>2820</v>
      </c>
      <c r="I203" t="s">
        <v>57</v>
      </c>
      <c r="J203" t="s">
        <v>4148</v>
      </c>
      <c r="K203" t="s">
        <v>3574</v>
      </c>
    </row>
    <row r="204" spans="1:11" x14ac:dyDescent="0.2">
      <c r="A204" t="s">
        <v>2829</v>
      </c>
      <c r="B204">
        <f>VALUE(RIGHT(A204,LEN(A204)-3))</f>
        <v>485</v>
      </c>
      <c r="C204">
        <v>1</v>
      </c>
      <c r="D204" t="s">
        <v>32</v>
      </c>
      <c r="E204" t="s">
        <v>2832</v>
      </c>
      <c r="F204" t="s">
        <v>503</v>
      </c>
      <c r="G204" t="s">
        <v>43</v>
      </c>
      <c r="H204" t="s">
        <v>2830</v>
      </c>
      <c r="I204" t="s">
        <v>57</v>
      </c>
      <c r="J204" t="s">
        <v>4148</v>
      </c>
      <c r="K204" t="s">
        <v>3576</v>
      </c>
    </row>
    <row r="205" spans="1:11" x14ac:dyDescent="0.2">
      <c r="A205" t="s">
        <v>2836</v>
      </c>
      <c r="B205">
        <f>VALUE(RIGHT(A205,LEN(A205)-3))</f>
        <v>486</v>
      </c>
      <c r="C205">
        <v>2</v>
      </c>
      <c r="D205" t="s">
        <v>32</v>
      </c>
      <c r="E205" t="s">
        <v>2839</v>
      </c>
      <c r="F205" t="s">
        <v>503</v>
      </c>
      <c r="G205" t="s">
        <v>43</v>
      </c>
      <c r="H205" t="s">
        <v>2837</v>
      </c>
      <c r="I205" t="s">
        <v>57</v>
      </c>
      <c r="J205" t="s">
        <v>4148</v>
      </c>
      <c r="K205" t="s">
        <v>3579</v>
      </c>
    </row>
    <row r="206" spans="1:11" x14ac:dyDescent="0.2">
      <c r="A206" t="s">
        <v>2851</v>
      </c>
      <c r="B206">
        <f>VALUE(RIGHT(A206,LEN(A206)-3))</f>
        <v>489</v>
      </c>
      <c r="C206">
        <v>1</v>
      </c>
      <c r="D206" t="s">
        <v>32</v>
      </c>
      <c r="E206" t="s">
        <v>553</v>
      </c>
      <c r="F206" t="s">
        <v>503</v>
      </c>
      <c r="G206" t="s">
        <v>83</v>
      </c>
      <c r="H206" t="s">
        <v>2848</v>
      </c>
      <c r="I206" t="s">
        <v>57</v>
      </c>
      <c r="J206" t="s">
        <v>4148</v>
      </c>
      <c r="K206" t="s">
        <v>3580</v>
      </c>
    </row>
    <row r="207" spans="1:11" x14ac:dyDescent="0.2">
      <c r="A207" t="s">
        <v>2855</v>
      </c>
      <c r="B207">
        <f>VALUE(RIGHT(A207,LEN(A207)-3))</f>
        <v>490</v>
      </c>
      <c r="C207">
        <v>1</v>
      </c>
      <c r="D207" t="s">
        <v>32</v>
      </c>
      <c r="E207" t="s">
        <v>2857</v>
      </c>
      <c r="F207" t="s">
        <v>503</v>
      </c>
      <c r="G207" t="s">
        <v>43</v>
      </c>
      <c r="H207" t="s">
        <v>2848</v>
      </c>
      <c r="I207" t="s">
        <v>57</v>
      </c>
      <c r="J207" t="s">
        <v>4148</v>
      </c>
      <c r="K207" t="s">
        <v>3581</v>
      </c>
    </row>
    <row r="208" spans="1:11" x14ac:dyDescent="0.2">
      <c r="A208" t="s">
        <v>2991</v>
      </c>
      <c r="B208">
        <f>VALUE(RIGHT(A208,LEN(A208)-3))</f>
        <v>515</v>
      </c>
      <c r="C208">
        <v>1</v>
      </c>
      <c r="D208" t="s">
        <v>32</v>
      </c>
      <c r="E208" t="s">
        <v>1078</v>
      </c>
      <c r="F208" t="s">
        <v>503</v>
      </c>
      <c r="G208" t="s">
        <v>43</v>
      </c>
      <c r="H208" t="s">
        <v>2992</v>
      </c>
      <c r="I208" t="s">
        <v>57</v>
      </c>
      <c r="J208" t="s">
        <v>4148</v>
      </c>
      <c r="K208" t="s">
        <v>3599</v>
      </c>
    </row>
    <row r="209" spans="1:11" x14ac:dyDescent="0.2">
      <c r="A209" t="s">
        <v>3035</v>
      </c>
      <c r="B209">
        <f>VALUE(RIGHT(A209,LEN(A209)-3))</f>
        <v>524</v>
      </c>
      <c r="C209">
        <v>1</v>
      </c>
      <c r="D209" t="s">
        <v>32</v>
      </c>
      <c r="E209" t="s">
        <v>3038</v>
      </c>
      <c r="F209" t="s">
        <v>503</v>
      </c>
      <c r="G209" t="s">
        <v>43</v>
      </c>
      <c r="H209" t="s">
        <v>3036</v>
      </c>
      <c r="I209" t="s">
        <v>57</v>
      </c>
      <c r="J209" t="s">
        <v>4148</v>
      </c>
      <c r="K209" t="s">
        <v>3606</v>
      </c>
    </row>
    <row r="210" spans="1:11" x14ac:dyDescent="0.2">
      <c r="A210" t="s">
        <v>97</v>
      </c>
      <c r="B210">
        <f>VALUE(RIGHT(A210,LEN(A210)-3))</f>
        <v>8</v>
      </c>
      <c r="C210">
        <v>1</v>
      </c>
      <c r="D210" t="s">
        <v>32</v>
      </c>
      <c r="E210" t="s">
        <v>101</v>
      </c>
      <c r="F210" t="s">
        <v>30</v>
      </c>
      <c r="G210" t="s">
        <v>43</v>
      </c>
      <c r="H210" t="s">
        <v>98</v>
      </c>
      <c r="I210" t="s">
        <v>57</v>
      </c>
      <c r="J210" t="s">
        <v>4147</v>
      </c>
      <c r="K210" t="s">
        <v>3125</v>
      </c>
    </row>
    <row r="211" spans="1:11" x14ac:dyDescent="0.2">
      <c r="A211" t="s">
        <v>110</v>
      </c>
      <c r="B211">
        <f>VALUE(RIGHT(A211,LEN(A211)-3))</f>
        <v>10</v>
      </c>
      <c r="C211">
        <v>1</v>
      </c>
      <c r="D211" t="s">
        <v>32</v>
      </c>
      <c r="E211" t="s">
        <v>114</v>
      </c>
      <c r="F211" t="s">
        <v>30</v>
      </c>
      <c r="G211" t="s">
        <v>43</v>
      </c>
      <c r="H211" t="s">
        <v>111</v>
      </c>
      <c r="I211" t="s">
        <v>57</v>
      </c>
      <c r="J211" t="s">
        <v>4147</v>
      </c>
      <c r="K211" t="s">
        <v>3126</v>
      </c>
    </row>
    <row r="212" spans="1:11" x14ac:dyDescent="0.2">
      <c r="A212" t="s">
        <v>118</v>
      </c>
      <c r="B212">
        <f>VALUE(RIGHT(A212,LEN(A212)-3))</f>
        <v>11</v>
      </c>
      <c r="C212">
        <v>1</v>
      </c>
      <c r="D212" t="s">
        <v>32</v>
      </c>
      <c r="E212" t="s">
        <v>121</v>
      </c>
      <c r="F212" t="s">
        <v>30</v>
      </c>
      <c r="G212" t="s">
        <v>43</v>
      </c>
      <c r="H212" t="s">
        <v>119</v>
      </c>
      <c r="I212" t="s">
        <v>57</v>
      </c>
      <c r="J212" t="s">
        <v>4147</v>
      </c>
      <c r="K212" t="s">
        <v>3127</v>
      </c>
    </row>
    <row r="213" spans="1:11" x14ac:dyDescent="0.2">
      <c r="A213" t="s">
        <v>148</v>
      </c>
      <c r="B213">
        <f>VALUE(RIGHT(A213,LEN(A213)-3))</f>
        <v>15</v>
      </c>
      <c r="C213">
        <v>1</v>
      </c>
      <c r="D213" t="s">
        <v>32</v>
      </c>
      <c r="E213" t="s">
        <v>152</v>
      </c>
      <c r="F213" t="s">
        <v>30</v>
      </c>
      <c r="G213" t="s">
        <v>43</v>
      </c>
      <c r="H213" t="s">
        <v>149</v>
      </c>
      <c r="I213" t="s">
        <v>57</v>
      </c>
      <c r="J213" t="s">
        <v>4147</v>
      </c>
      <c r="K213" t="s">
        <v>3131</v>
      </c>
    </row>
    <row r="214" spans="1:11" x14ac:dyDescent="0.2">
      <c r="A214" t="s">
        <v>209</v>
      </c>
      <c r="B214">
        <f>VALUE(RIGHT(A214,LEN(A214)-3))</f>
        <v>24</v>
      </c>
      <c r="C214">
        <v>1</v>
      </c>
      <c r="D214" t="s">
        <v>32</v>
      </c>
      <c r="E214" t="s">
        <v>211</v>
      </c>
      <c r="F214" t="s">
        <v>30</v>
      </c>
      <c r="G214" t="s">
        <v>54</v>
      </c>
      <c r="H214" t="s">
        <v>210</v>
      </c>
      <c r="I214" t="s">
        <v>57</v>
      </c>
      <c r="J214" t="s">
        <v>4147</v>
      </c>
      <c r="K214" t="s">
        <v>3140</v>
      </c>
    </row>
    <row r="215" spans="1:11" x14ac:dyDescent="0.2">
      <c r="A215" t="s">
        <v>229</v>
      </c>
      <c r="B215">
        <f>VALUE(RIGHT(A215,LEN(A215)-3))</f>
        <v>27</v>
      </c>
      <c r="C215">
        <v>2</v>
      </c>
      <c r="D215" t="s">
        <v>32</v>
      </c>
      <c r="E215" t="s">
        <v>231</v>
      </c>
      <c r="F215" t="s">
        <v>30</v>
      </c>
      <c r="G215" t="s">
        <v>43</v>
      </c>
      <c r="H215" t="s">
        <v>230</v>
      </c>
      <c r="I215" t="s">
        <v>57</v>
      </c>
      <c r="J215" t="s">
        <v>4147</v>
      </c>
      <c r="K215" t="s">
        <v>3143</v>
      </c>
    </row>
    <row r="216" spans="1:11" x14ac:dyDescent="0.2">
      <c r="A216" t="s">
        <v>310</v>
      </c>
      <c r="B216">
        <f>VALUE(RIGHT(A216,LEN(A216)-3))</f>
        <v>40</v>
      </c>
      <c r="C216">
        <v>1</v>
      </c>
      <c r="D216" t="s">
        <v>32</v>
      </c>
      <c r="E216" t="s">
        <v>312</v>
      </c>
      <c r="F216" t="s">
        <v>30</v>
      </c>
      <c r="G216" t="s">
        <v>43</v>
      </c>
      <c r="H216" t="s">
        <v>311</v>
      </c>
      <c r="I216" t="s">
        <v>57</v>
      </c>
      <c r="J216" t="s">
        <v>4147</v>
      </c>
      <c r="K216" t="s">
        <v>3153</v>
      </c>
    </row>
    <row r="217" spans="1:11" x14ac:dyDescent="0.2">
      <c r="A217" t="s">
        <v>343</v>
      </c>
      <c r="B217">
        <f>VALUE(RIGHT(A217,LEN(A217)-3))</f>
        <v>45</v>
      </c>
      <c r="C217">
        <v>1</v>
      </c>
      <c r="D217" t="s">
        <v>32</v>
      </c>
      <c r="E217" t="s">
        <v>345</v>
      </c>
      <c r="F217" t="s">
        <v>30</v>
      </c>
      <c r="G217" t="s">
        <v>43</v>
      </c>
      <c r="H217" t="s">
        <v>344</v>
      </c>
      <c r="I217" t="s">
        <v>57</v>
      </c>
      <c r="J217" t="s">
        <v>4147</v>
      </c>
      <c r="K217" t="s">
        <v>3159</v>
      </c>
    </row>
    <row r="218" spans="1:11" x14ac:dyDescent="0.2">
      <c r="A218" t="s">
        <v>355</v>
      </c>
      <c r="B218">
        <f>VALUE(RIGHT(A218,LEN(A218)-3))</f>
        <v>47</v>
      </c>
      <c r="C218">
        <v>1</v>
      </c>
      <c r="D218" t="s">
        <v>32</v>
      </c>
      <c r="E218" t="s">
        <v>358</v>
      </c>
      <c r="F218" t="s">
        <v>30</v>
      </c>
      <c r="G218" t="s">
        <v>43</v>
      </c>
      <c r="H218" t="s">
        <v>356</v>
      </c>
      <c r="I218" t="s">
        <v>57</v>
      </c>
      <c r="J218" t="s">
        <v>4147</v>
      </c>
      <c r="K218" t="s">
        <v>3160</v>
      </c>
    </row>
    <row r="219" spans="1:11" x14ac:dyDescent="0.2">
      <c r="A219" t="s">
        <v>395</v>
      </c>
      <c r="B219">
        <f>VALUE(RIGHT(A219,LEN(A219)-3))</f>
        <v>53</v>
      </c>
      <c r="C219">
        <v>1</v>
      </c>
      <c r="D219" t="s">
        <v>32</v>
      </c>
      <c r="E219" t="s">
        <v>397</v>
      </c>
      <c r="F219" t="s">
        <v>30</v>
      </c>
      <c r="G219" t="s">
        <v>43</v>
      </c>
      <c r="H219" t="s">
        <v>396</v>
      </c>
      <c r="I219" t="s">
        <v>57</v>
      </c>
      <c r="J219" t="s">
        <v>4147</v>
      </c>
      <c r="K219" t="s">
        <v>3166</v>
      </c>
    </row>
    <row r="220" spans="1:11" x14ac:dyDescent="0.2">
      <c r="A220" t="s">
        <v>408</v>
      </c>
      <c r="B220">
        <f>VALUE(RIGHT(A220,LEN(A220)-3))</f>
        <v>55</v>
      </c>
      <c r="C220">
        <v>2</v>
      </c>
      <c r="D220" t="s">
        <v>32</v>
      </c>
      <c r="E220" t="s">
        <v>411</v>
      </c>
      <c r="F220" t="s">
        <v>30</v>
      </c>
      <c r="G220" t="s">
        <v>43</v>
      </c>
      <c r="H220" t="s">
        <v>409</v>
      </c>
      <c r="I220" t="s">
        <v>57</v>
      </c>
      <c r="J220" t="s">
        <v>4147</v>
      </c>
      <c r="K220" t="s">
        <v>3170</v>
      </c>
    </row>
    <row r="221" spans="1:11" x14ac:dyDescent="0.2">
      <c r="A221" t="s">
        <v>428</v>
      </c>
      <c r="B221">
        <f>VALUE(RIGHT(A221,LEN(A221)-3))</f>
        <v>58</v>
      </c>
      <c r="C221">
        <v>1</v>
      </c>
      <c r="D221" t="s">
        <v>32</v>
      </c>
      <c r="E221" t="s">
        <v>430</v>
      </c>
      <c r="F221" t="s">
        <v>30</v>
      </c>
      <c r="G221" t="s">
        <v>43</v>
      </c>
      <c r="H221" t="s">
        <v>429</v>
      </c>
      <c r="I221" t="s">
        <v>57</v>
      </c>
      <c r="J221" t="s">
        <v>4147</v>
      </c>
      <c r="K221" t="s">
        <v>3174</v>
      </c>
    </row>
    <row r="222" spans="1:11" x14ac:dyDescent="0.2">
      <c r="A222" t="s">
        <v>438</v>
      </c>
      <c r="B222">
        <f>VALUE(RIGHT(A222,LEN(A222)-3))</f>
        <v>60</v>
      </c>
      <c r="C222">
        <v>1</v>
      </c>
      <c r="D222" t="s">
        <v>32</v>
      </c>
      <c r="E222" t="s">
        <v>442</v>
      </c>
      <c r="F222" t="s">
        <v>30</v>
      </c>
      <c r="G222" t="s">
        <v>43</v>
      </c>
      <c r="H222" t="s">
        <v>439</v>
      </c>
      <c r="I222" t="s">
        <v>57</v>
      </c>
      <c r="J222" t="s">
        <v>4147</v>
      </c>
      <c r="K222" t="s">
        <v>3175</v>
      </c>
    </row>
    <row r="223" spans="1:11" x14ac:dyDescent="0.2">
      <c r="A223" t="s">
        <v>453</v>
      </c>
      <c r="B223">
        <f>VALUE(RIGHT(A223,LEN(A223)-3))</f>
        <v>62</v>
      </c>
      <c r="C223">
        <v>1</v>
      </c>
      <c r="D223" t="s">
        <v>32</v>
      </c>
      <c r="E223" t="s">
        <v>456</v>
      </c>
      <c r="F223" t="s">
        <v>30</v>
      </c>
      <c r="G223" t="s">
        <v>43</v>
      </c>
      <c r="H223" t="s">
        <v>454</v>
      </c>
      <c r="I223" t="s">
        <v>57</v>
      </c>
      <c r="J223" t="s">
        <v>4147</v>
      </c>
      <c r="K223" t="s">
        <v>3177</v>
      </c>
    </row>
    <row r="224" spans="1:11" x14ac:dyDescent="0.2">
      <c r="A224" t="s">
        <v>471</v>
      </c>
      <c r="B224">
        <f>VALUE(RIGHT(A224,LEN(A224)-3))</f>
        <v>65</v>
      </c>
      <c r="C224">
        <v>1</v>
      </c>
      <c r="D224" t="s">
        <v>32</v>
      </c>
      <c r="E224" t="s">
        <v>473</v>
      </c>
      <c r="F224" t="s">
        <v>30</v>
      </c>
      <c r="G224" t="s">
        <v>43</v>
      </c>
      <c r="H224" t="s">
        <v>472</v>
      </c>
      <c r="I224" t="s">
        <v>57</v>
      </c>
      <c r="J224" t="s">
        <v>4147</v>
      </c>
      <c r="K224" t="s">
        <v>3180</v>
      </c>
    </row>
    <row r="225" spans="1:11" x14ac:dyDescent="0.2">
      <c r="A225" t="s">
        <v>477</v>
      </c>
      <c r="B225">
        <f>VALUE(RIGHT(A225,LEN(A225)-3))</f>
        <v>66</v>
      </c>
      <c r="C225">
        <v>1</v>
      </c>
      <c r="D225" t="s">
        <v>32</v>
      </c>
      <c r="E225" t="s">
        <v>479</v>
      </c>
      <c r="F225" t="s">
        <v>30</v>
      </c>
      <c r="G225" t="s">
        <v>43</v>
      </c>
      <c r="H225" t="s">
        <v>478</v>
      </c>
      <c r="I225" t="s">
        <v>57</v>
      </c>
      <c r="J225" t="s">
        <v>4147</v>
      </c>
      <c r="K225" t="s">
        <v>3181</v>
      </c>
    </row>
    <row r="226" spans="1:11" x14ac:dyDescent="0.2">
      <c r="A226" t="s">
        <v>494</v>
      </c>
      <c r="B226">
        <f>VALUE(RIGHT(A226,LEN(A226)-3))</f>
        <v>69</v>
      </c>
      <c r="C226">
        <v>1</v>
      </c>
      <c r="D226" t="s">
        <v>32</v>
      </c>
      <c r="E226" t="s">
        <v>497</v>
      </c>
      <c r="F226" t="s">
        <v>30</v>
      </c>
      <c r="G226" t="s">
        <v>43</v>
      </c>
      <c r="H226" t="s">
        <v>495</v>
      </c>
      <c r="I226" t="s">
        <v>57</v>
      </c>
      <c r="J226" t="s">
        <v>4147</v>
      </c>
      <c r="K226" t="s">
        <v>3184</v>
      </c>
    </row>
    <row r="227" spans="1:11" x14ac:dyDescent="0.2">
      <c r="A227" t="s">
        <v>668</v>
      </c>
      <c r="B227">
        <f>VALUE(RIGHT(A227,LEN(A227)-3))</f>
        <v>97</v>
      </c>
      <c r="C227">
        <v>1</v>
      </c>
      <c r="D227" t="s">
        <v>32</v>
      </c>
      <c r="E227" t="s">
        <v>670</v>
      </c>
      <c r="F227" t="s">
        <v>30</v>
      </c>
      <c r="G227" t="s">
        <v>43</v>
      </c>
      <c r="H227" t="s">
        <v>669</v>
      </c>
      <c r="I227" t="s">
        <v>57</v>
      </c>
      <c r="J227" t="s">
        <v>4147</v>
      </c>
      <c r="K227" t="s">
        <v>3204</v>
      </c>
    </row>
    <row r="228" spans="1:11" x14ac:dyDescent="0.2">
      <c r="A228" t="s">
        <v>762</v>
      </c>
      <c r="B228">
        <f>VALUE(RIGHT(A228,LEN(A228)-3))</f>
        <v>113</v>
      </c>
      <c r="C228">
        <v>1</v>
      </c>
      <c r="D228" t="s">
        <v>32</v>
      </c>
      <c r="E228" t="s">
        <v>765</v>
      </c>
      <c r="F228" t="s">
        <v>503</v>
      </c>
      <c r="G228" t="s">
        <v>43</v>
      </c>
      <c r="H228" t="s">
        <v>763</v>
      </c>
      <c r="I228" t="s">
        <v>57</v>
      </c>
      <c r="J228" t="s">
        <v>4147</v>
      </c>
      <c r="K228" t="s">
        <v>3218</v>
      </c>
    </row>
    <row r="229" spans="1:11" x14ac:dyDescent="0.2">
      <c r="A229" t="s">
        <v>840</v>
      </c>
      <c r="B229">
        <f>VALUE(RIGHT(A229,LEN(A229)-3))</f>
        <v>127</v>
      </c>
      <c r="C229">
        <v>1</v>
      </c>
      <c r="D229" t="s">
        <v>32</v>
      </c>
      <c r="E229" t="s">
        <v>842</v>
      </c>
      <c r="F229" t="s">
        <v>503</v>
      </c>
      <c r="G229" t="s">
        <v>43</v>
      </c>
      <c r="H229" t="s">
        <v>841</v>
      </c>
      <c r="I229" t="s">
        <v>57</v>
      </c>
      <c r="J229" t="s">
        <v>4147</v>
      </c>
      <c r="K229" t="s">
        <v>3232</v>
      </c>
    </row>
    <row r="230" spans="1:11" x14ac:dyDescent="0.2">
      <c r="A230" t="s">
        <v>847</v>
      </c>
      <c r="B230">
        <f>VALUE(RIGHT(A230,LEN(A230)-3))</f>
        <v>128</v>
      </c>
      <c r="C230">
        <v>1</v>
      </c>
      <c r="D230" t="s">
        <v>32</v>
      </c>
      <c r="E230" t="s">
        <v>849</v>
      </c>
      <c r="F230" t="s">
        <v>503</v>
      </c>
      <c r="G230" t="s">
        <v>43</v>
      </c>
      <c r="H230" t="s">
        <v>848</v>
      </c>
      <c r="I230" t="s">
        <v>57</v>
      </c>
      <c r="J230" t="s">
        <v>4147</v>
      </c>
      <c r="K230" t="s">
        <v>3233</v>
      </c>
    </row>
    <row r="231" spans="1:11" x14ac:dyDescent="0.2">
      <c r="A231" t="s">
        <v>885</v>
      </c>
      <c r="B231">
        <f>VALUE(RIGHT(A231,LEN(A231)-3))</f>
        <v>135</v>
      </c>
      <c r="C231">
        <v>1</v>
      </c>
      <c r="D231" t="s">
        <v>32</v>
      </c>
      <c r="E231" t="s">
        <v>887</v>
      </c>
      <c r="F231" t="s">
        <v>30</v>
      </c>
      <c r="G231" t="s">
        <v>43</v>
      </c>
      <c r="H231" t="s">
        <v>886</v>
      </c>
      <c r="I231" t="s">
        <v>57</v>
      </c>
      <c r="J231" t="s">
        <v>4147</v>
      </c>
      <c r="K231" t="s">
        <v>3237</v>
      </c>
    </row>
    <row r="232" spans="1:11" x14ac:dyDescent="0.2">
      <c r="A232" t="s">
        <v>924</v>
      </c>
      <c r="B232">
        <f>VALUE(RIGHT(A232,LEN(A232)-3))</f>
        <v>141</v>
      </c>
      <c r="C232">
        <v>2</v>
      </c>
      <c r="D232" t="s">
        <v>32</v>
      </c>
      <c r="E232" t="s">
        <v>927</v>
      </c>
      <c r="F232" t="s">
        <v>30</v>
      </c>
      <c r="G232" t="s">
        <v>43</v>
      </c>
      <c r="H232" t="s">
        <v>925</v>
      </c>
      <c r="I232" t="s">
        <v>57</v>
      </c>
      <c r="J232" t="s">
        <v>4147</v>
      </c>
      <c r="K232" t="s">
        <v>3245</v>
      </c>
    </row>
    <row r="233" spans="1:11" x14ac:dyDescent="0.2">
      <c r="A233" t="s">
        <v>965</v>
      </c>
      <c r="B233">
        <f>VALUE(RIGHT(A233,LEN(A233)-3))</f>
        <v>148</v>
      </c>
      <c r="C233">
        <v>1</v>
      </c>
      <c r="D233" t="s">
        <v>32</v>
      </c>
      <c r="E233" t="s">
        <v>967</v>
      </c>
      <c r="F233" t="s">
        <v>503</v>
      </c>
      <c r="G233" t="s">
        <v>43</v>
      </c>
      <c r="H233" t="s">
        <v>966</v>
      </c>
      <c r="I233" t="s">
        <v>57</v>
      </c>
      <c r="J233" t="s">
        <v>4147</v>
      </c>
      <c r="K233" t="s">
        <v>3250</v>
      </c>
    </row>
    <row r="234" spans="1:11" x14ac:dyDescent="0.2">
      <c r="A234" t="s">
        <v>977</v>
      </c>
      <c r="B234">
        <f>VALUE(RIGHT(A234,LEN(A234)-3))</f>
        <v>150</v>
      </c>
      <c r="C234">
        <v>1</v>
      </c>
      <c r="D234" t="s">
        <v>32</v>
      </c>
      <c r="E234" t="s">
        <v>979</v>
      </c>
      <c r="F234" t="s">
        <v>503</v>
      </c>
      <c r="G234" t="s">
        <v>43</v>
      </c>
      <c r="H234" t="s">
        <v>978</v>
      </c>
      <c r="I234" t="s">
        <v>57</v>
      </c>
      <c r="J234" t="s">
        <v>4147</v>
      </c>
      <c r="K234" t="s">
        <v>3252</v>
      </c>
    </row>
    <row r="235" spans="1:11" x14ac:dyDescent="0.2">
      <c r="A235" t="s">
        <v>1004</v>
      </c>
      <c r="B235">
        <f>VALUE(RIGHT(A235,LEN(A235)-3))</f>
        <v>155</v>
      </c>
      <c r="C235">
        <v>1</v>
      </c>
      <c r="D235" t="s">
        <v>32</v>
      </c>
      <c r="E235" t="s">
        <v>1007</v>
      </c>
      <c r="F235" t="s">
        <v>30</v>
      </c>
      <c r="G235" t="s">
        <v>43</v>
      </c>
      <c r="H235" t="s">
        <v>1005</v>
      </c>
      <c r="I235" t="s">
        <v>57</v>
      </c>
      <c r="J235" t="s">
        <v>4147</v>
      </c>
      <c r="K235" t="s">
        <v>3258</v>
      </c>
    </row>
    <row r="236" spans="1:11" x14ac:dyDescent="0.2">
      <c r="A236" t="s">
        <v>1010</v>
      </c>
      <c r="B236">
        <f>VALUE(RIGHT(A236,LEN(A236)-3))</f>
        <v>156</v>
      </c>
      <c r="C236">
        <v>1</v>
      </c>
      <c r="D236" t="s">
        <v>32</v>
      </c>
      <c r="E236" t="s">
        <v>345</v>
      </c>
      <c r="F236" t="s">
        <v>30</v>
      </c>
      <c r="G236" t="s">
        <v>43</v>
      </c>
      <c r="H236" t="s">
        <v>1005</v>
      </c>
      <c r="I236" t="s">
        <v>57</v>
      </c>
      <c r="J236" t="s">
        <v>4147</v>
      </c>
      <c r="K236" t="s">
        <v>3259</v>
      </c>
    </row>
    <row r="237" spans="1:11" x14ac:dyDescent="0.2">
      <c r="A237" t="s">
        <v>1031</v>
      </c>
      <c r="B237">
        <f>VALUE(RIGHT(A237,LEN(A237)-3))</f>
        <v>160</v>
      </c>
      <c r="C237">
        <v>1</v>
      </c>
      <c r="D237" t="s">
        <v>32</v>
      </c>
      <c r="E237" t="s">
        <v>1033</v>
      </c>
      <c r="F237" t="s">
        <v>503</v>
      </c>
      <c r="G237" t="s">
        <v>43</v>
      </c>
      <c r="H237" t="s">
        <v>1032</v>
      </c>
      <c r="I237" t="s">
        <v>57</v>
      </c>
      <c r="J237" t="s">
        <v>4147</v>
      </c>
      <c r="K237" t="s">
        <v>3262</v>
      </c>
    </row>
    <row r="238" spans="1:11" x14ac:dyDescent="0.2">
      <c r="A238" t="s">
        <v>1036</v>
      </c>
      <c r="B238">
        <f>VALUE(RIGHT(A238,LEN(A238)-3))</f>
        <v>161</v>
      </c>
      <c r="C238">
        <v>1</v>
      </c>
      <c r="D238" t="s">
        <v>32</v>
      </c>
      <c r="E238" t="s">
        <v>1038</v>
      </c>
      <c r="F238" t="s">
        <v>503</v>
      </c>
      <c r="G238" t="s">
        <v>43</v>
      </c>
      <c r="H238" t="s">
        <v>1037</v>
      </c>
      <c r="I238" t="s">
        <v>57</v>
      </c>
      <c r="J238" t="s">
        <v>4147</v>
      </c>
      <c r="K238" t="s">
        <v>3263</v>
      </c>
    </row>
    <row r="239" spans="1:11" x14ac:dyDescent="0.2">
      <c r="A239" t="s">
        <v>1159</v>
      </c>
      <c r="B239">
        <f>VALUE(RIGHT(A239,LEN(A239)-3))</f>
        <v>182</v>
      </c>
      <c r="C239">
        <v>1</v>
      </c>
      <c r="D239" t="s">
        <v>32</v>
      </c>
      <c r="E239" t="s">
        <v>312</v>
      </c>
      <c r="F239" t="s">
        <v>602</v>
      </c>
      <c r="G239" t="s">
        <v>43</v>
      </c>
      <c r="H239" t="s">
        <v>1153</v>
      </c>
      <c r="I239" t="s">
        <v>57</v>
      </c>
      <c r="J239" t="s">
        <v>4147</v>
      </c>
      <c r="K239" t="s">
        <v>3280</v>
      </c>
    </row>
    <row r="240" spans="1:11" x14ac:dyDescent="0.2">
      <c r="A240" t="s">
        <v>1173</v>
      </c>
      <c r="B240">
        <f>VALUE(RIGHT(A240,LEN(A240)-3))</f>
        <v>185</v>
      </c>
      <c r="C240">
        <v>1</v>
      </c>
      <c r="D240" t="s">
        <v>32</v>
      </c>
      <c r="E240" t="s">
        <v>1176</v>
      </c>
      <c r="F240" t="s">
        <v>30</v>
      </c>
      <c r="G240" t="s">
        <v>43</v>
      </c>
      <c r="H240" t="s">
        <v>1174</v>
      </c>
      <c r="I240" t="s">
        <v>57</v>
      </c>
      <c r="J240" t="s">
        <v>4147</v>
      </c>
      <c r="K240" t="s">
        <v>3283</v>
      </c>
    </row>
    <row r="241" spans="1:11" x14ac:dyDescent="0.2">
      <c r="A241" t="s">
        <v>1191</v>
      </c>
      <c r="B241">
        <f>VALUE(RIGHT(A241,LEN(A241)-3))</f>
        <v>188</v>
      </c>
      <c r="C241">
        <v>1</v>
      </c>
      <c r="D241" t="s">
        <v>32</v>
      </c>
      <c r="E241" t="s">
        <v>842</v>
      </c>
      <c r="F241" t="s">
        <v>503</v>
      </c>
      <c r="G241" t="s">
        <v>43</v>
      </c>
      <c r="H241" t="s">
        <v>1192</v>
      </c>
      <c r="I241" t="s">
        <v>57</v>
      </c>
      <c r="J241" t="s">
        <v>4147</v>
      </c>
      <c r="K241" t="s">
        <v>3286</v>
      </c>
    </row>
    <row r="242" spans="1:11" x14ac:dyDescent="0.2">
      <c r="A242" t="s">
        <v>1236</v>
      </c>
      <c r="B242">
        <f>VALUE(RIGHT(A242,LEN(A242)-3))</f>
        <v>196</v>
      </c>
      <c r="C242">
        <v>1</v>
      </c>
      <c r="D242" t="s">
        <v>32</v>
      </c>
      <c r="E242" t="s">
        <v>1239</v>
      </c>
      <c r="F242" t="s">
        <v>503</v>
      </c>
      <c r="G242" t="s">
        <v>43</v>
      </c>
      <c r="H242" t="s">
        <v>1237</v>
      </c>
      <c r="I242" t="s">
        <v>57</v>
      </c>
      <c r="J242" t="s">
        <v>4147</v>
      </c>
      <c r="K242" t="s">
        <v>3295</v>
      </c>
    </row>
    <row r="243" spans="1:11" x14ac:dyDescent="0.2">
      <c r="A243" t="s">
        <v>1257</v>
      </c>
      <c r="B243">
        <f>VALUE(RIGHT(A243,LEN(A243)-3))</f>
        <v>200</v>
      </c>
      <c r="C243">
        <v>1</v>
      </c>
      <c r="D243" t="s">
        <v>32</v>
      </c>
      <c r="E243" t="s">
        <v>1259</v>
      </c>
      <c r="F243" t="s">
        <v>503</v>
      </c>
      <c r="G243" t="s">
        <v>43</v>
      </c>
      <c r="H243" t="s">
        <v>1258</v>
      </c>
      <c r="I243" t="s">
        <v>57</v>
      </c>
      <c r="J243" t="s">
        <v>4147</v>
      </c>
      <c r="K243" t="s">
        <v>3299</v>
      </c>
    </row>
    <row r="244" spans="1:11" x14ac:dyDescent="0.2">
      <c r="A244" t="s">
        <v>1263</v>
      </c>
      <c r="B244">
        <f>VALUE(RIGHT(A244,LEN(A244)-3))</f>
        <v>201</v>
      </c>
      <c r="C244">
        <v>1</v>
      </c>
      <c r="D244" t="s">
        <v>32</v>
      </c>
      <c r="E244" t="s">
        <v>979</v>
      </c>
      <c r="F244" t="s">
        <v>503</v>
      </c>
      <c r="G244" t="s">
        <v>43</v>
      </c>
      <c r="H244" t="s">
        <v>1264</v>
      </c>
      <c r="I244" t="s">
        <v>57</v>
      </c>
      <c r="J244" t="s">
        <v>4147</v>
      </c>
      <c r="K244" t="s">
        <v>3300</v>
      </c>
    </row>
    <row r="245" spans="1:11" x14ac:dyDescent="0.2">
      <c r="A245" t="s">
        <v>1284</v>
      </c>
      <c r="B245">
        <f>VALUE(RIGHT(A245,LEN(A245)-3))</f>
        <v>204</v>
      </c>
      <c r="C245">
        <v>1</v>
      </c>
      <c r="D245" t="s">
        <v>32</v>
      </c>
      <c r="E245" t="s">
        <v>1286</v>
      </c>
      <c r="F245" t="s">
        <v>503</v>
      </c>
      <c r="G245" t="s">
        <v>43</v>
      </c>
      <c r="H245" t="s">
        <v>1285</v>
      </c>
      <c r="I245" t="s">
        <v>57</v>
      </c>
      <c r="J245" t="s">
        <v>4147</v>
      </c>
      <c r="K245" t="s">
        <v>3303</v>
      </c>
    </row>
    <row r="246" spans="1:11" x14ac:dyDescent="0.2">
      <c r="A246" t="s">
        <v>1306</v>
      </c>
      <c r="B246">
        <f>VALUE(RIGHT(A246,LEN(A246)-3))</f>
        <v>208</v>
      </c>
      <c r="C246">
        <v>1</v>
      </c>
      <c r="D246" t="s">
        <v>32</v>
      </c>
      <c r="E246" t="s">
        <v>1308</v>
      </c>
      <c r="F246" t="s">
        <v>503</v>
      </c>
      <c r="G246" t="s">
        <v>43</v>
      </c>
      <c r="H246" t="s">
        <v>1307</v>
      </c>
      <c r="I246" t="s">
        <v>57</v>
      </c>
      <c r="J246" t="s">
        <v>4147</v>
      </c>
      <c r="K246" t="s">
        <v>3307</v>
      </c>
    </row>
    <row r="247" spans="1:11" x14ac:dyDescent="0.2">
      <c r="A247" t="s">
        <v>1361</v>
      </c>
      <c r="B247">
        <f>VALUE(RIGHT(A247,LEN(A247)-3))</f>
        <v>219</v>
      </c>
      <c r="C247">
        <v>2</v>
      </c>
      <c r="D247" t="s">
        <v>32</v>
      </c>
      <c r="E247" t="s">
        <v>1363</v>
      </c>
      <c r="F247" t="s">
        <v>503</v>
      </c>
      <c r="G247" t="s">
        <v>43</v>
      </c>
      <c r="H247" t="s">
        <v>1362</v>
      </c>
      <c r="I247" t="s">
        <v>57</v>
      </c>
      <c r="J247" t="s">
        <v>4147</v>
      </c>
      <c r="K247" t="s">
        <v>3317</v>
      </c>
    </row>
    <row r="248" spans="1:11" x14ac:dyDescent="0.2">
      <c r="A248" t="s">
        <v>1378</v>
      </c>
      <c r="B248">
        <f>VALUE(RIGHT(A248,LEN(A248)-3))</f>
        <v>222</v>
      </c>
      <c r="C248">
        <v>2</v>
      </c>
      <c r="D248" t="s">
        <v>32</v>
      </c>
      <c r="E248" t="s">
        <v>1381</v>
      </c>
      <c r="F248" t="s">
        <v>503</v>
      </c>
      <c r="G248" t="s">
        <v>43</v>
      </c>
      <c r="H248" t="s">
        <v>1379</v>
      </c>
      <c r="I248" t="s">
        <v>57</v>
      </c>
      <c r="J248" t="s">
        <v>4147</v>
      </c>
      <c r="K248" t="s">
        <v>3323</v>
      </c>
    </row>
    <row r="249" spans="1:11" x14ac:dyDescent="0.2">
      <c r="A249" t="s">
        <v>1444</v>
      </c>
      <c r="B249">
        <f>VALUE(RIGHT(A249,LEN(A249)-3))</f>
        <v>234</v>
      </c>
      <c r="C249">
        <v>1</v>
      </c>
      <c r="D249" t="s">
        <v>32</v>
      </c>
      <c r="E249" t="s">
        <v>1446</v>
      </c>
      <c r="F249" t="s">
        <v>602</v>
      </c>
      <c r="G249" t="s">
        <v>43</v>
      </c>
      <c r="H249" t="s">
        <v>1445</v>
      </c>
      <c r="I249" t="s">
        <v>57</v>
      </c>
      <c r="J249" t="s">
        <v>4147</v>
      </c>
      <c r="K249" t="s">
        <v>3334</v>
      </c>
    </row>
    <row r="250" spans="1:11" x14ac:dyDescent="0.2">
      <c r="A250" t="s">
        <v>1475</v>
      </c>
      <c r="B250">
        <f>VALUE(RIGHT(A250,LEN(A250)-3))</f>
        <v>240</v>
      </c>
      <c r="C250">
        <v>1</v>
      </c>
      <c r="D250" t="s">
        <v>32</v>
      </c>
      <c r="E250" t="s">
        <v>1477</v>
      </c>
      <c r="F250" t="s">
        <v>503</v>
      </c>
      <c r="G250" t="s">
        <v>43</v>
      </c>
      <c r="H250" t="s">
        <v>1476</v>
      </c>
      <c r="I250" t="s">
        <v>57</v>
      </c>
      <c r="J250" t="s">
        <v>4147</v>
      </c>
      <c r="K250" t="s">
        <v>3342</v>
      </c>
    </row>
    <row r="251" spans="1:11" x14ac:dyDescent="0.2">
      <c r="A251" t="s">
        <v>1485</v>
      </c>
      <c r="B251">
        <f>VALUE(RIGHT(A251,LEN(A251)-3))</f>
        <v>242</v>
      </c>
      <c r="C251">
        <v>1</v>
      </c>
      <c r="D251" t="s">
        <v>32</v>
      </c>
      <c r="E251" t="s">
        <v>979</v>
      </c>
      <c r="F251" t="s">
        <v>503</v>
      </c>
      <c r="G251" t="s">
        <v>43</v>
      </c>
      <c r="H251" t="s">
        <v>1486</v>
      </c>
      <c r="I251" t="s">
        <v>57</v>
      </c>
      <c r="J251" t="s">
        <v>4147</v>
      </c>
      <c r="K251" t="s">
        <v>3343</v>
      </c>
    </row>
    <row r="252" spans="1:11" x14ac:dyDescent="0.2">
      <c r="A252" t="s">
        <v>1519</v>
      </c>
      <c r="B252">
        <f>VALUE(RIGHT(A252,LEN(A252)-3))</f>
        <v>248</v>
      </c>
      <c r="C252">
        <v>1</v>
      </c>
      <c r="D252" t="s">
        <v>32</v>
      </c>
      <c r="E252" t="s">
        <v>1521</v>
      </c>
      <c r="F252" t="s">
        <v>503</v>
      </c>
      <c r="G252" t="s">
        <v>43</v>
      </c>
      <c r="H252" t="s">
        <v>1520</v>
      </c>
      <c r="I252" t="s">
        <v>57</v>
      </c>
      <c r="J252" t="s">
        <v>4147</v>
      </c>
      <c r="K252" t="s">
        <v>3348</v>
      </c>
    </row>
    <row r="253" spans="1:11" x14ac:dyDescent="0.2">
      <c r="A253" t="s">
        <v>1633</v>
      </c>
      <c r="B253">
        <f>VALUE(RIGHT(A253,LEN(A253)-3))</f>
        <v>271</v>
      </c>
      <c r="C253">
        <v>1</v>
      </c>
      <c r="D253" t="s">
        <v>32</v>
      </c>
      <c r="E253" t="s">
        <v>1636</v>
      </c>
      <c r="F253" t="s">
        <v>503</v>
      </c>
      <c r="G253" t="s">
        <v>43</v>
      </c>
      <c r="H253" t="s">
        <v>1634</v>
      </c>
      <c r="I253" t="s">
        <v>57</v>
      </c>
      <c r="J253" t="s">
        <v>4147</v>
      </c>
      <c r="K253" t="s">
        <v>3372</v>
      </c>
    </row>
    <row r="254" spans="1:11" x14ac:dyDescent="0.2">
      <c r="A254" t="s">
        <v>1639</v>
      </c>
      <c r="B254">
        <f>VALUE(RIGHT(A254,LEN(A254)-3))</f>
        <v>272</v>
      </c>
      <c r="C254">
        <v>2</v>
      </c>
      <c r="D254" t="s">
        <v>32</v>
      </c>
      <c r="E254" t="s">
        <v>1641</v>
      </c>
      <c r="F254" t="s">
        <v>503</v>
      </c>
      <c r="G254" t="s">
        <v>43</v>
      </c>
      <c r="H254" t="s">
        <v>1640</v>
      </c>
      <c r="I254" t="s">
        <v>57</v>
      </c>
      <c r="J254" t="s">
        <v>4147</v>
      </c>
      <c r="K254" t="s">
        <v>3374</v>
      </c>
    </row>
    <row r="255" spans="1:11" x14ac:dyDescent="0.2">
      <c r="A255" t="s">
        <v>1645</v>
      </c>
      <c r="B255">
        <f>VALUE(RIGHT(A255,LEN(A255)-3))</f>
        <v>273</v>
      </c>
      <c r="C255">
        <v>2</v>
      </c>
      <c r="D255" t="s">
        <v>32</v>
      </c>
      <c r="E255" t="s">
        <v>1648</v>
      </c>
      <c r="F255" t="s">
        <v>503</v>
      </c>
      <c r="G255" t="s">
        <v>43</v>
      </c>
      <c r="H255" t="s">
        <v>1646</v>
      </c>
      <c r="I255" t="s">
        <v>57</v>
      </c>
      <c r="J255" t="s">
        <v>4147</v>
      </c>
      <c r="K255" t="s">
        <v>3376</v>
      </c>
    </row>
    <row r="256" spans="1:11" x14ac:dyDescent="0.2">
      <c r="A256" t="s">
        <v>1656</v>
      </c>
      <c r="B256">
        <f>VALUE(RIGHT(A256,LEN(A256)-3))</f>
        <v>275</v>
      </c>
      <c r="C256">
        <v>1</v>
      </c>
      <c r="D256" t="s">
        <v>32</v>
      </c>
      <c r="E256" t="s">
        <v>497</v>
      </c>
      <c r="F256" t="s">
        <v>503</v>
      </c>
      <c r="G256" t="s">
        <v>43</v>
      </c>
      <c r="H256" t="s">
        <v>1657</v>
      </c>
      <c r="I256" t="s">
        <v>57</v>
      </c>
      <c r="J256" t="s">
        <v>4147</v>
      </c>
      <c r="K256" t="s">
        <v>3377</v>
      </c>
    </row>
    <row r="257" spans="1:11" x14ac:dyDescent="0.2">
      <c r="A257" t="s">
        <v>1711</v>
      </c>
      <c r="B257">
        <f>VALUE(RIGHT(A257,LEN(A257)-3))</f>
        <v>285</v>
      </c>
      <c r="C257">
        <v>1</v>
      </c>
      <c r="D257" t="s">
        <v>32</v>
      </c>
      <c r="E257" t="s">
        <v>1713</v>
      </c>
      <c r="F257" t="s">
        <v>503</v>
      </c>
      <c r="G257" t="s">
        <v>43</v>
      </c>
      <c r="H257" t="s">
        <v>1712</v>
      </c>
      <c r="I257" t="s">
        <v>57</v>
      </c>
      <c r="J257" t="s">
        <v>4147</v>
      </c>
      <c r="K257" t="s">
        <v>3385</v>
      </c>
    </row>
    <row r="258" spans="1:11" x14ac:dyDescent="0.2">
      <c r="A258" t="s">
        <v>1738</v>
      </c>
      <c r="B258">
        <f>VALUE(RIGHT(A258,LEN(A258)-3))</f>
        <v>290</v>
      </c>
      <c r="C258">
        <v>1</v>
      </c>
      <c r="D258" t="s">
        <v>32</v>
      </c>
      <c r="E258" t="s">
        <v>1740</v>
      </c>
      <c r="F258" t="s">
        <v>503</v>
      </c>
      <c r="G258" t="s">
        <v>43</v>
      </c>
      <c r="H258" t="s">
        <v>1739</v>
      </c>
      <c r="I258" t="s">
        <v>57</v>
      </c>
      <c r="J258" t="s">
        <v>4147</v>
      </c>
      <c r="K258" t="s">
        <v>3391</v>
      </c>
    </row>
    <row r="259" spans="1:11" x14ac:dyDescent="0.2">
      <c r="A259" t="s">
        <v>1779</v>
      </c>
      <c r="B259">
        <f>VALUE(RIGHT(A259,LEN(A259)-3))</f>
        <v>297</v>
      </c>
      <c r="C259">
        <v>1</v>
      </c>
      <c r="D259" t="s">
        <v>32</v>
      </c>
      <c r="E259" t="s">
        <v>1781</v>
      </c>
      <c r="F259" t="s">
        <v>602</v>
      </c>
      <c r="G259" t="s">
        <v>43</v>
      </c>
      <c r="H259" t="s">
        <v>1775</v>
      </c>
      <c r="I259" t="s">
        <v>57</v>
      </c>
      <c r="J259" t="s">
        <v>4147</v>
      </c>
      <c r="K259" t="s">
        <v>3401</v>
      </c>
    </row>
    <row r="260" spans="1:11" x14ac:dyDescent="0.2">
      <c r="A260" t="s">
        <v>1784</v>
      </c>
      <c r="B260">
        <f>VALUE(RIGHT(A260,LEN(A260)-3))</f>
        <v>298</v>
      </c>
      <c r="C260">
        <v>1</v>
      </c>
      <c r="D260" t="s">
        <v>32</v>
      </c>
      <c r="E260" t="s">
        <v>1786</v>
      </c>
      <c r="F260" t="s">
        <v>503</v>
      </c>
      <c r="G260" t="s">
        <v>43</v>
      </c>
      <c r="H260" t="s">
        <v>1785</v>
      </c>
      <c r="I260" t="s">
        <v>57</v>
      </c>
      <c r="J260" t="s">
        <v>4147</v>
      </c>
      <c r="K260" t="s">
        <v>3402</v>
      </c>
    </row>
    <row r="261" spans="1:11" x14ac:dyDescent="0.2">
      <c r="A261" t="s">
        <v>1805</v>
      </c>
      <c r="B261">
        <f>VALUE(RIGHT(A261,LEN(A261)-3))</f>
        <v>302</v>
      </c>
      <c r="C261">
        <v>1</v>
      </c>
      <c r="D261" t="s">
        <v>32</v>
      </c>
      <c r="E261" t="s">
        <v>497</v>
      </c>
      <c r="F261" t="s">
        <v>602</v>
      </c>
      <c r="G261" t="s">
        <v>43</v>
      </c>
      <c r="H261" t="s">
        <v>1800</v>
      </c>
      <c r="I261" t="s">
        <v>57</v>
      </c>
      <c r="J261" t="s">
        <v>4147</v>
      </c>
      <c r="K261" t="s">
        <v>3407</v>
      </c>
    </row>
    <row r="262" spans="1:11" x14ac:dyDescent="0.2">
      <c r="A262" t="s">
        <v>1819</v>
      </c>
      <c r="B262">
        <f>VALUE(RIGHT(A262,LEN(A262)-3))</f>
        <v>305</v>
      </c>
      <c r="C262">
        <v>1</v>
      </c>
      <c r="D262" t="s">
        <v>32</v>
      </c>
      <c r="E262" t="s">
        <v>1821</v>
      </c>
      <c r="F262" t="s">
        <v>30</v>
      </c>
      <c r="G262" t="s">
        <v>43</v>
      </c>
      <c r="H262" t="s">
        <v>1820</v>
      </c>
      <c r="I262" t="s">
        <v>57</v>
      </c>
      <c r="J262" t="s">
        <v>4147</v>
      </c>
      <c r="K262" t="s">
        <v>3409</v>
      </c>
    </row>
    <row r="263" spans="1:11" x14ac:dyDescent="0.2">
      <c r="A263" t="s">
        <v>1830</v>
      </c>
      <c r="B263">
        <f>VALUE(RIGHT(A263,LEN(A263)-3))</f>
        <v>307</v>
      </c>
      <c r="C263">
        <v>1</v>
      </c>
      <c r="D263" t="s">
        <v>32</v>
      </c>
      <c r="E263" t="s">
        <v>497</v>
      </c>
      <c r="F263" t="s">
        <v>503</v>
      </c>
      <c r="G263" t="s">
        <v>43</v>
      </c>
      <c r="H263" t="s">
        <v>1831</v>
      </c>
      <c r="I263" t="s">
        <v>57</v>
      </c>
      <c r="J263" t="s">
        <v>4147</v>
      </c>
      <c r="K263" t="s">
        <v>3411</v>
      </c>
    </row>
    <row r="264" spans="1:11" x14ac:dyDescent="0.2">
      <c r="A264" t="s">
        <v>1861</v>
      </c>
      <c r="B264">
        <f>VALUE(RIGHT(A264,LEN(A264)-3))</f>
        <v>313</v>
      </c>
      <c r="C264">
        <v>1</v>
      </c>
      <c r="D264" t="s">
        <v>32</v>
      </c>
      <c r="E264" t="s">
        <v>1864</v>
      </c>
      <c r="F264" t="s">
        <v>503</v>
      </c>
      <c r="G264" t="s">
        <v>43</v>
      </c>
      <c r="H264" t="s">
        <v>1862</v>
      </c>
      <c r="I264" t="s">
        <v>57</v>
      </c>
      <c r="J264" t="s">
        <v>4147</v>
      </c>
      <c r="K264" t="s">
        <v>3415</v>
      </c>
    </row>
    <row r="265" spans="1:11" x14ac:dyDescent="0.2">
      <c r="A265" t="s">
        <v>1888</v>
      </c>
      <c r="B265">
        <f>VALUE(RIGHT(A265,LEN(A265)-3))</f>
        <v>318</v>
      </c>
      <c r="C265">
        <v>1</v>
      </c>
      <c r="D265" t="s">
        <v>32</v>
      </c>
      <c r="E265" t="s">
        <v>842</v>
      </c>
      <c r="F265" t="s">
        <v>503</v>
      </c>
      <c r="G265" t="s">
        <v>43</v>
      </c>
      <c r="H265" t="s">
        <v>1889</v>
      </c>
      <c r="I265" t="s">
        <v>57</v>
      </c>
      <c r="J265" t="s">
        <v>4147</v>
      </c>
      <c r="K265" t="s">
        <v>3417</v>
      </c>
    </row>
    <row r="266" spans="1:11" x14ac:dyDescent="0.2">
      <c r="A266" t="s">
        <v>1932</v>
      </c>
      <c r="B266">
        <f>VALUE(RIGHT(A266,LEN(A266)-3))</f>
        <v>326</v>
      </c>
      <c r="C266">
        <v>1</v>
      </c>
      <c r="D266" t="s">
        <v>32</v>
      </c>
      <c r="E266" t="s">
        <v>497</v>
      </c>
      <c r="F266" t="s">
        <v>602</v>
      </c>
      <c r="G266" t="s">
        <v>43</v>
      </c>
      <c r="H266" t="s">
        <v>1933</v>
      </c>
      <c r="I266" t="s">
        <v>57</v>
      </c>
      <c r="J266" t="s">
        <v>4147</v>
      </c>
      <c r="K266" t="s">
        <v>3426</v>
      </c>
    </row>
    <row r="267" spans="1:11" x14ac:dyDescent="0.2">
      <c r="A267" t="s">
        <v>1958</v>
      </c>
      <c r="B267">
        <f>VALUE(RIGHT(A267,LEN(A267)-3))</f>
        <v>331</v>
      </c>
      <c r="C267">
        <v>1</v>
      </c>
      <c r="D267" t="s">
        <v>32</v>
      </c>
      <c r="E267" t="s">
        <v>1961</v>
      </c>
      <c r="F267" t="s">
        <v>503</v>
      </c>
      <c r="G267" t="s">
        <v>43</v>
      </c>
      <c r="H267" t="s">
        <v>1959</v>
      </c>
      <c r="I267" t="s">
        <v>57</v>
      </c>
      <c r="J267" t="s">
        <v>4147</v>
      </c>
      <c r="K267" t="s">
        <v>3430</v>
      </c>
    </row>
    <row r="268" spans="1:11" x14ac:dyDescent="0.2">
      <c r="A268" t="s">
        <v>2007</v>
      </c>
      <c r="B268">
        <f>VALUE(RIGHT(A268,LEN(A268)-3))</f>
        <v>339</v>
      </c>
      <c r="C268">
        <v>1</v>
      </c>
      <c r="D268" t="s">
        <v>32</v>
      </c>
      <c r="E268" t="s">
        <v>2010</v>
      </c>
      <c r="F268" t="s">
        <v>602</v>
      </c>
      <c r="G268" t="s">
        <v>43</v>
      </c>
      <c r="H268" t="s">
        <v>2008</v>
      </c>
      <c r="I268" t="s">
        <v>57</v>
      </c>
      <c r="J268" t="s">
        <v>4147</v>
      </c>
      <c r="K268" t="s">
        <v>3439</v>
      </c>
    </row>
    <row r="269" spans="1:11" x14ac:dyDescent="0.2">
      <c r="A269" t="s">
        <v>2029</v>
      </c>
      <c r="B269">
        <f>VALUE(RIGHT(A269,LEN(A269)-3))</f>
        <v>343</v>
      </c>
      <c r="C269">
        <v>1</v>
      </c>
      <c r="D269" t="s">
        <v>32</v>
      </c>
      <c r="E269" t="s">
        <v>2031</v>
      </c>
      <c r="F269" t="s">
        <v>503</v>
      </c>
      <c r="G269" t="s">
        <v>43</v>
      </c>
      <c r="H269" t="s">
        <v>2030</v>
      </c>
      <c r="I269" t="s">
        <v>57</v>
      </c>
      <c r="J269" t="s">
        <v>4147</v>
      </c>
      <c r="K269" t="s">
        <v>3444</v>
      </c>
    </row>
    <row r="270" spans="1:11" x14ac:dyDescent="0.2">
      <c r="A270" t="s">
        <v>2089</v>
      </c>
      <c r="B270">
        <f>VALUE(RIGHT(A270,LEN(A270)-3))</f>
        <v>355</v>
      </c>
      <c r="C270">
        <v>1</v>
      </c>
      <c r="D270" t="s">
        <v>32</v>
      </c>
      <c r="E270" t="s">
        <v>2092</v>
      </c>
      <c r="F270" t="s">
        <v>503</v>
      </c>
      <c r="G270" t="s">
        <v>43</v>
      </c>
      <c r="H270" t="s">
        <v>2090</v>
      </c>
      <c r="I270" t="s">
        <v>57</v>
      </c>
      <c r="J270" t="s">
        <v>4147</v>
      </c>
      <c r="K270" t="s">
        <v>3453</v>
      </c>
    </row>
    <row r="271" spans="1:11" x14ac:dyDescent="0.2">
      <c r="A271" t="s">
        <v>2125</v>
      </c>
      <c r="B271">
        <f>VALUE(RIGHT(A271,LEN(A271)-3))</f>
        <v>361</v>
      </c>
      <c r="C271">
        <v>1</v>
      </c>
      <c r="D271" t="s">
        <v>32</v>
      </c>
      <c r="E271" t="s">
        <v>1308</v>
      </c>
      <c r="F271" t="s">
        <v>503</v>
      </c>
      <c r="G271" t="s">
        <v>43</v>
      </c>
      <c r="H271" t="s">
        <v>2126</v>
      </c>
      <c r="I271" t="s">
        <v>57</v>
      </c>
      <c r="J271" t="s">
        <v>4147</v>
      </c>
      <c r="K271" t="s">
        <v>3458</v>
      </c>
    </row>
    <row r="272" spans="1:11" x14ac:dyDescent="0.2">
      <c r="A272" t="s">
        <v>2201</v>
      </c>
      <c r="B272">
        <f>VALUE(RIGHT(A272,LEN(A272)-3))</f>
        <v>375</v>
      </c>
      <c r="C272">
        <v>1</v>
      </c>
      <c r="D272" t="s">
        <v>32</v>
      </c>
      <c r="E272" t="s">
        <v>2205</v>
      </c>
      <c r="F272" t="s">
        <v>30</v>
      </c>
      <c r="G272" t="s">
        <v>54</v>
      </c>
      <c r="H272" t="s">
        <v>2202</v>
      </c>
      <c r="I272" t="s">
        <v>57</v>
      </c>
      <c r="J272" t="s">
        <v>4147</v>
      </c>
      <c r="K272" t="s">
        <v>3470</v>
      </c>
    </row>
    <row r="273" spans="1:11" x14ac:dyDescent="0.2">
      <c r="A273" t="s">
        <v>2208</v>
      </c>
      <c r="B273">
        <f>VALUE(RIGHT(A273,LEN(A273)-3))</f>
        <v>376</v>
      </c>
      <c r="C273">
        <v>1</v>
      </c>
      <c r="D273" t="s">
        <v>32</v>
      </c>
      <c r="E273" t="s">
        <v>497</v>
      </c>
      <c r="F273" t="s">
        <v>503</v>
      </c>
      <c r="G273" t="s">
        <v>43</v>
      </c>
      <c r="H273" t="s">
        <v>2209</v>
      </c>
      <c r="I273" t="s">
        <v>57</v>
      </c>
      <c r="J273" t="s">
        <v>4147</v>
      </c>
      <c r="K273" t="s">
        <v>3471</v>
      </c>
    </row>
    <row r="274" spans="1:11" x14ac:dyDescent="0.2">
      <c r="A274" t="s">
        <v>2236</v>
      </c>
      <c r="B274">
        <f>VALUE(RIGHT(A274,LEN(A274)-3))</f>
        <v>381</v>
      </c>
      <c r="C274">
        <v>1</v>
      </c>
      <c r="D274" t="s">
        <v>32</v>
      </c>
      <c r="E274" t="s">
        <v>2239</v>
      </c>
      <c r="F274" t="s">
        <v>30</v>
      </c>
      <c r="G274" t="s">
        <v>43</v>
      </c>
      <c r="H274" t="s">
        <v>2237</v>
      </c>
      <c r="I274" t="s">
        <v>57</v>
      </c>
      <c r="J274" t="s">
        <v>4147</v>
      </c>
      <c r="K274" t="s">
        <v>3477</v>
      </c>
    </row>
    <row r="275" spans="1:11" x14ac:dyDescent="0.2">
      <c r="A275" t="s">
        <v>2250</v>
      </c>
      <c r="B275">
        <f>VALUE(RIGHT(A275,LEN(A275)-3))</f>
        <v>383</v>
      </c>
      <c r="C275">
        <v>2</v>
      </c>
      <c r="D275" t="s">
        <v>32</v>
      </c>
      <c r="E275" t="s">
        <v>2253</v>
      </c>
      <c r="F275" t="s">
        <v>30</v>
      </c>
      <c r="G275" t="s">
        <v>83</v>
      </c>
      <c r="H275" t="s">
        <v>2251</v>
      </c>
      <c r="I275" t="s">
        <v>57</v>
      </c>
      <c r="J275" t="s">
        <v>4147</v>
      </c>
      <c r="K275" t="s">
        <v>3480</v>
      </c>
    </row>
    <row r="276" spans="1:11" x14ac:dyDescent="0.2">
      <c r="A276" t="s">
        <v>2256</v>
      </c>
      <c r="B276">
        <f>VALUE(RIGHT(A276,LEN(A276)-3))</f>
        <v>384</v>
      </c>
      <c r="C276">
        <v>1</v>
      </c>
      <c r="D276" t="s">
        <v>32</v>
      </c>
      <c r="E276" t="s">
        <v>2260</v>
      </c>
      <c r="F276" t="s">
        <v>503</v>
      </c>
      <c r="G276" t="s">
        <v>43</v>
      </c>
      <c r="H276" t="s">
        <v>2257</v>
      </c>
      <c r="I276" t="s">
        <v>57</v>
      </c>
      <c r="J276" t="s">
        <v>4147</v>
      </c>
      <c r="K276" t="s">
        <v>3481</v>
      </c>
    </row>
    <row r="277" spans="1:11" x14ac:dyDescent="0.2">
      <c r="A277" t="s">
        <v>2330</v>
      </c>
      <c r="B277">
        <f>VALUE(RIGHT(A277,LEN(A277)-3))</f>
        <v>396</v>
      </c>
      <c r="C277">
        <v>1</v>
      </c>
      <c r="D277" t="s">
        <v>32</v>
      </c>
      <c r="E277" t="s">
        <v>2332</v>
      </c>
      <c r="F277" t="s">
        <v>602</v>
      </c>
      <c r="G277" t="s">
        <v>43</v>
      </c>
      <c r="H277" t="s">
        <v>2325</v>
      </c>
      <c r="I277" t="s">
        <v>57</v>
      </c>
      <c r="J277" t="s">
        <v>4147</v>
      </c>
      <c r="K277" t="s">
        <v>3495</v>
      </c>
    </row>
    <row r="278" spans="1:11" x14ac:dyDescent="0.2">
      <c r="A278" t="s">
        <v>2335</v>
      </c>
      <c r="B278">
        <f>VALUE(RIGHT(A278,LEN(A278)-3))</f>
        <v>397</v>
      </c>
      <c r="C278">
        <v>1</v>
      </c>
      <c r="D278" t="s">
        <v>32</v>
      </c>
      <c r="E278" t="s">
        <v>2339</v>
      </c>
      <c r="F278" t="s">
        <v>503</v>
      </c>
      <c r="G278" t="s">
        <v>43</v>
      </c>
      <c r="H278" t="s">
        <v>2336</v>
      </c>
      <c r="I278" t="s">
        <v>57</v>
      </c>
      <c r="J278" t="s">
        <v>4147</v>
      </c>
      <c r="K278" t="s">
        <v>3496</v>
      </c>
    </row>
    <row r="279" spans="1:11" x14ac:dyDescent="0.2">
      <c r="A279" t="s">
        <v>2364</v>
      </c>
      <c r="B279">
        <f>VALUE(RIGHT(A279,LEN(A279)-3))</f>
        <v>401</v>
      </c>
      <c r="C279">
        <v>1</v>
      </c>
      <c r="D279" t="s">
        <v>32</v>
      </c>
      <c r="E279" t="s">
        <v>1308</v>
      </c>
      <c r="F279" t="s">
        <v>503</v>
      </c>
      <c r="G279" t="s">
        <v>43</v>
      </c>
      <c r="H279" t="s">
        <v>2365</v>
      </c>
      <c r="I279" t="s">
        <v>57</v>
      </c>
      <c r="J279" t="s">
        <v>4147</v>
      </c>
      <c r="K279" t="s">
        <v>3499</v>
      </c>
    </row>
    <row r="280" spans="1:11" x14ac:dyDescent="0.2">
      <c r="A280" t="s">
        <v>2406</v>
      </c>
      <c r="B280">
        <f>VALUE(RIGHT(A280,LEN(A280)-3))</f>
        <v>408</v>
      </c>
      <c r="C280">
        <v>2</v>
      </c>
      <c r="D280" t="s">
        <v>32</v>
      </c>
      <c r="E280" t="s">
        <v>2410</v>
      </c>
      <c r="F280" t="s">
        <v>503</v>
      </c>
      <c r="G280" t="s">
        <v>43</v>
      </c>
      <c r="H280" t="s">
        <v>2407</v>
      </c>
      <c r="I280" t="s">
        <v>57</v>
      </c>
      <c r="J280" t="s">
        <v>4147</v>
      </c>
      <c r="K280" t="s">
        <v>3508</v>
      </c>
    </row>
    <row r="281" spans="1:11" x14ac:dyDescent="0.2">
      <c r="A281" t="s">
        <v>2435</v>
      </c>
      <c r="B281">
        <f>VALUE(RIGHT(A281,LEN(A281)-3))</f>
        <v>413</v>
      </c>
      <c r="C281">
        <v>1</v>
      </c>
      <c r="D281" t="s">
        <v>32</v>
      </c>
      <c r="E281" t="s">
        <v>2439</v>
      </c>
      <c r="F281" t="s">
        <v>503</v>
      </c>
      <c r="G281" t="s">
        <v>43</v>
      </c>
      <c r="H281" t="s">
        <v>2436</v>
      </c>
      <c r="I281" t="s">
        <v>57</v>
      </c>
      <c r="J281" t="s">
        <v>4147</v>
      </c>
      <c r="K281" t="s">
        <v>3513</v>
      </c>
    </row>
    <row r="282" spans="1:11" x14ac:dyDescent="0.2">
      <c r="A282" t="s">
        <v>2447</v>
      </c>
      <c r="B282">
        <f>VALUE(RIGHT(A282,LEN(A282)-3))</f>
        <v>415</v>
      </c>
      <c r="C282">
        <v>1</v>
      </c>
      <c r="D282" t="s">
        <v>32</v>
      </c>
      <c r="E282" t="s">
        <v>1078</v>
      </c>
      <c r="F282" t="s">
        <v>602</v>
      </c>
      <c r="G282" t="s">
        <v>43</v>
      </c>
      <c r="H282" t="s">
        <v>2448</v>
      </c>
      <c r="I282" t="s">
        <v>57</v>
      </c>
      <c r="J282" t="s">
        <v>4147</v>
      </c>
      <c r="K282" t="s">
        <v>3515</v>
      </c>
    </row>
    <row r="283" spans="1:11" x14ac:dyDescent="0.2">
      <c r="A283" t="s">
        <v>2475</v>
      </c>
      <c r="B283">
        <f>VALUE(RIGHT(A283,LEN(A283)-3))</f>
        <v>420</v>
      </c>
      <c r="C283">
        <v>2</v>
      </c>
      <c r="D283" t="s">
        <v>32</v>
      </c>
      <c r="E283" t="s">
        <v>1138</v>
      </c>
      <c r="F283" t="s">
        <v>503</v>
      </c>
      <c r="G283" t="s">
        <v>43</v>
      </c>
      <c r="H283" t="s">
        <v>2476</v>
      </c>
      <c r="I283" t="s">
        <v>57</v>
      </c>
      <c r="J283" t="s">
        <v>4147</v>
      </c>
      <c r="K283" t="s">
        <v>3519</v>
      </c>
    </row>
    <row r="284" spans="1:11" x14ac:dyDescent="0.2">
      <c r="A284" t="s">
        <v>2487</v>
      </c>
      <c r="B284">
        <f>VALUE(RIGHT(A284,LEN(A284)-3))</f>
        <v>422</v>
      </c>
      <c r="C284">
        <v>2</v>
      </c>
      <c r="D284" t="s">
        <v>32</v>
      </c>
      <c r="E284" t="s">
        <v>2489</v>
      </c>
      <c r="F284" t="s">
        <v>602</v>
      </c>
      <c r="G284" t="s">
        <v>43</v>
      </c>
      <c r="H284" t="s">
        <v>2488</v>
      </c>
      <c r="I284" t="s">
        <v>57</v>
      </c>
      <c r="J284" t="s">
        <v>4147</v>
      </c>
      <c r="K284" t="s">
        <v>3522</v>
      </c>
    </row>
    <row r="285" spans="1:11" x14ac:dyDescent="0.2">
      <c r="A285" t="s">
        <v>2487</v>
      </c>
      <c r="B285">
        <f>VALUE(RIGHT(A285,LEN(A285)-3))</f>
        <v>422</v>
      </c>
      <c r="C285">
        <v>1</v>
      </c>
      <c r="D285" t="s">
        <v>32</v>
      </c>
      <c r="E285" t="s">
        <v>2489</v>
      </c>
      <c r="F285" t="s">
        <v>602</v>
      </c>
      <c r="G285" t="s">
        <v>43</v>
      </c>
      <c r="H285" t="s">
        <v>2488</v>
      </c>
      <c r="I285" t="s">
        <v>57</v>
      </c>
      <c r="J285" t="s">
        <v>4147</v>
      </c>
      <c r="K285" t="s">
        <v>3521</v>
      </c>
    </row>
    <row r="286" spans="1:11" x14ac:dyDescent="0.2">
      <c r="A286" t="s">
        <v>2525</v>
      </c>
      <c r="B286">
        <f>VALUE(RIGHT(A286,LEN(A286)-3))</f>
        <v>430</v>
      </c>
      <c r="C286">
        <v>1</v>
      </c>
      <c r="D286" t="s">
        <v>32</v>
      </c>
      <c r="E286" t="s">
        <v>2528</v>
      </c>
      <c r="F286" t="s">
        <v>30</v>
      </c>
      <c r="G286" t="s">
        <v>43</v>
      </c>
      <c r="H286" t="s">
        <v>2526</v>
      </c>
      <c r="I286" t="s">
        <v>57</v>
      </c>
      <c r="J286" t="s">
        <v>4147</v>
      </c>
      <c r="K286" t="s">
        <v>3528</v>
      </c>
    </row>
    <row r="287" spans="1:11" x14ac:dyDescent="0.2">
      <c r="A287" t="s">
        <v>2544</v>
      </c>
      <c r="B287">
        <f>VALUE(RIGHT(A287,LEN(A287)-3))</f>
        <v>433</v>
      </c>
      <c r="C287">
        <v>1</v>
      </c>
      <c r="D287" t="s">
        <v>32</v>
      </c>
      <c r="E287" t="s">
        <v>2546</v>
      </c>
      <c r="F287" t="s">
        <v>602</v>
      </c>
      <c r="G287" t="s">
        <v>43</v>
      </c>
      <c r="H287" t="s">
        <v>2545</v>
      </c>
      <c r="I287" t="s">
        <v>57</v>
      </c>
      <c r="J287" t="s">
        <v>4147</v>
      </c>
      <c r="K287" t="s">
        <v>3531</v>
      </c>
    </row>
    <row r="288" spans="1:11" x14ac:dyDescent="0.2">
      <c r="A288" t="s">
        <v>2578</v>
      </c>
      <c r="B288">
        <f>VALUE(RIGHT(A288,LEN(A288)-3))</f>
        <v>439</v>
      </c>
      <c r="C288">
        <v>1</v>
      </c>
      <c r="D288" t="s">
        <v>32</v>
      </c>
      <c r="E288" t="s">
        <v>2580</v>
      </c>
      <c r="F288" t="s">
        <v>503</v>
      </c>
      <c r="G288" t="s">
        <v>43</v>
      </c>
      <c r="H288" t="s">
        <v>2579</v>
      </c>
      <c r="I288" t="s">
        <v>57</v>
      </c>
      <c r="J288" t="s">
        <v>4147</v>
      </c>
      <c r="K288" t="s">
        <v>3536</v>
      </c>
    </row>
    <row r="289" spans="1:11" x14ac:dyDescent="0.2">
      <c r="A289" t="s">
        <v>2593</v>
      </c>
      <c r="B289">
        <f>VALUE(RIGHT(A289,LEN(A289)-3))</f>
        <v>442</v>
      </c>
      <c r="C289">
        <v>1</v>
      </c>
      <c r="D289" t="s">
        <v>32</v>
      </c>
      <c r="E289" t="s">
        <v>2596</v>
      </c>
      <c r="F289" t="s">
        <v>30</v>
      </c>
      <c r="G289" t="s">
        <v>43</v>
      </c>
      <c r="H289" t="s">
        <v>2594</v>
      </c>
      <c r="I289" t="s">
        <v>57</v>
      </c>
      <c r="J289" t="s">
        <v>4147</v>
      </c>
      <c r="K289" t="s">
        <v>3540</v>
      </c>
    </row>
    <row r="290" spans="1:11" x14ac:dyDescent="0.2">
      <c r="A290" t="s">
        <v>2662</v>
      </c>
      <c r="B290">
        <f>VALUE(RIGHT(A290,LEN(A290)-3))</f>
        <v>454</v>
      </c>
      <c r="C290">
        <v>1</v>
      </c>
      <c r="D290" t="s">
        <v>32</v>
      </c>
      <c r="E290" t="s">
        <v>1308</v>
      </c>
      <c r="F290" t="s">
        <v>2305</v>
      </c>
      <c r="G290" t="s">
        <v>43</v>
      </c>
      <c r="H290" t="s">
        <v>2663</v>
      </c>
      <c r="I290" t="s">
        <v>57</v>
      </c>
      <c r="J290" t="s">
        <v>4147</v>
      </c>
      <c r="K290" t="s">
        <v>3552</v>
      </c>
    </row>
    <row r="291" spans="1:11" x14ac:dyDescent="0.2">
      <c r="A291" t="s">
        <v>2744</v>
      </c>
      <c r="B291">
        <f>VALUE(RIGHT(A291,LEN(A291)-3))</f>
        <v>470</v>
      </c>
      <c r="C291">
        <v>1</v>
      </c>
      <c r="D291" t="s">
        <v>32</v>
      </c>
      <c r="E291" t="s">
        <v>497</v>
      </c>
      <c r="F291" t="s">
        <v>503</v>
      </c>
      <c r="G291" t="s">
        <v>43</v>
      </c>
      <c r="H291" t="s">
        <v>2745</v>
      </c>
      <c r="I291" t="s">
        <v>57</v>
      </c>
      <c r="J291" t="s">
        <v>4147</v>
      </c>
      <c r="K291" t="s">
        <v>3563</v>
      </c>
    </row>
    <row r="292" spans="1:11" x14ac:dyDescent="0.2">
      <c r="A292" t="s">
        <v>2787</v>
      </c>
      <c r="B292">
        <f>VALUE(RIGHT(A292,LEN(A292)-3))</f>
        <v>478</v>
      </c>
      <c r="C292">
        <v>1</v>
      </c>
      <c r="D292" t="s">
        <v>32</v>
      </c>
      <c r="E292" t="s">
        <v>2791</v>
      </c>
      <c r="F292" t="s">
        <v>503</v>
      </c>
      <c r="G292" t="s">
        <v>43</v>
      </c>
      <c r="H292" t="s">
        <v>2788</v>
      </c>
      <c r="I292" t="s">
        <v>57</v>
      </c>
      <c r="J292" t="s">
        <v>4147</v>
      </c>
      <c r="K292" t="s">
        <v>3569</v>
      </c>
    </row>
    <row r="293" spans="1:11" x14ac:dyDescent="0.2">
      <c r="A293" t="s">
        <v>2801</v>
      </c>
      <c r="B293">
        <f>VALUE(RIGHT(A293,LEN(A293)-3))</f>
        <v>480</v>
      </c>
      <c r="C293">
        <v>1</v>
      </c>
      <c r="D293" t="s">
        <v>32</v>
      </c>
      <c r="E293" t="s">
        <v>2804</v>
      </c>
      <c r="F293" t="s">
        <v>30</v>
      </c>
      <c r="G293" t="s">
        <v>43</v>
      </c>
      <c r="H293" t="s">
        <v>2802</v>
      </c>
      <c r="I293" t="s">
        <v>57</v>
      </c>
      <c r="J293" t="s">
        <v>4147</v>
      </c>
      <c r="K293" t="s">
        <v>3572</v>
      </c>
    </row>
    <row r="294" spans="1:11" x14ac:dyDescent="0.2">
      <c r="A294" t="s">
        <v>3001</v>
      </c>
      <c r="B294">
        <f>VALUE(RIGHT(A294,LEN(A294)-3))</f>
        <v>517</v>
      </c>
      <c r="C294">
        <v>1</v>
      </c>
      <c r="D294" t="s">
        <v>32</v>
      </c>
      <c r="E294" t="s">
        <v>1308</v>
      </c>
      <c r="F294" t="s">
        <v>503</v>
      </c>
      <c r="G294" t="s">
        <v>43</v>
      </c>
      <c r="H294" t="s">
        <v>3002</v>
      </c>
      <c r="I294" t="s">
        <v>57</v>
      </c>
      <c r="J294" t="s">
        <v>4147</v>
      </c>
      <c r="K294" t="s">
        <v>3600</v>
      </c>
    </row>
    <row r="295" spans="1:11" x14ac:dyDescent="0.2">
      <c r="A295" t="s">
        <v>3042</v>
      </c>
      <c r="B295">
        <f>VALUE(RIGHT(A295,LEN(A295)-3))</f>
        <v>525</v>
      </c>
      <c r="C295">
        <v>1</v>
      </c>
      <c r="D295" t="s">
        <v>32</v>
      </c>
      <c r="E295" t="s">
        <v>3046</v>
      </c>
      <c r="F295" t="s">
        <v>602</v>
      </c>
      <c r="G295" t="s">
        <v>43</v>
      </c>
      <c r="H295" t="s">
        <v>3043</v>
      </c>
      <c r="I295" t="s">
        <v>57</v>
      </c>
      <c r="J295" t="s">
        <v>4147</v>
      </c>
      <c r="K295" t="s">
        <v>3607</v>
      </c>
    </row>
    <row r="296" spans="1:11" x14ac:dyDescent="0.2">
      <c r="A296" t="s">
        <v>3082</v>
      </c>
      <c r="B296">
        <f>VALUE(RIGHT(A296,LEN(A296)-3))</f>
        <v>532</v>
      </c>
      <c r="C296">
        <v>1</v>
      </c>
      <c r="D296" t="s">
        <v>32</v>
      </c>
      <c r="E296" t="s">
        <v>497</v>
      </c>
      <c r="F296" t="s">
        <v>503</v>
      </c>
      <c r="G296" t="s">
        <v>43</v>
      </c>
      <c r="H296" t="s">
        <v>3077</v>
      </c>
      <c r="I296" t="s">
        <v>57</v>
      </c>
      <c r="J296" t="s">
        <v>4147</v>
      </c>
      <c r="K296" t="s">
        <v>3614</v>
      </c>
    </row>
    <row r="297" spans="1:11" x14ac:dyDescent="0.2">
      <c r="A297" t="s">
        <v>3086</v>
      </c>
      <c r="B297">
        <f>VALUE(RIGHT(A297,LEN(A297)-3))</f>
        <v>533</v>
      </c>
      <c r="C297">
        <v>1</v>
      </c>
      <c r="D297" t="s">
        <v>32</v>
      </c>
      <c r="E297" t="s">
        <v>3089</v>
      </c>
      <c r="F297" t="s">
        <v>602</v>
      </c>
      <c r="G297" t="s">
        <v>43</v>
      </c>
      <c r="H297" t="s">
        <v>3087</v>
      </c>
      <c r="I297" t="s">
        <v>57</v>
      </c>
      <c r="J297" t="s">
        <v>4147</v>
      </c>
      <c r="K297" t="s">
        <v>3615</v>
      </c>
    </row>
    <row r="298" spans="1:11" x14ac:dyDescent="0.2">
      <c r="A298" t="s">
        <v>3108</v>
      </c>
      <c r="B298">
        <f>VALUE(RIGHT(A298,LEN(A298)-3))</f>
        <v>537</v>
      </c>
      <c r="C298">
        <v>1</v>
      </c>
      <c r="D298" t="s">
        <v>32</v>
      </c>
      <c r="E298" t="s">
        <v>3110</v>
      </c>
      <c r="F298" t="s">
        <v>503</v>
      </c>
      <c r="G298" t="s">
        <v>43</v>
      </c>
      <c r="H298" t="s">
        <v>3109</v>
      </c>
      <c r="I298" t="s">
        <v>57</v>
      </c>
      <c r="J298" t="s">
        <v>4147</v>
      </c>
      <c r="K298" t="s">
        <v>3619</v>
      </c>
    </row>
    <row r="299" spans="1:11" x14ac:dyDescent="0.2">
      <c r="A299" t="s">
        <v>1466</v>
      </c>
      <c r="B299">
        <f>VALUE(RIGHT(A299,LEN(A299)-3))</f>
        <v>238</v>
      </c>
      <c r="C299">
        <v>1</v>
      </c>
      <c r="D299" t="s">
        <v>32</v>
      </c>
      <c r="E299" t="s">
        <v>358</v>
      </c>
      <c r="F299" t="s">
        <v>30</v>
      </c>
      <c r="G299" t="s">
        <v>43</v>
      </c>
      <c r="H299" t="s">
        <v>1467</v>
      </c>
      <c r="I299" t="s">
        <v>57</v>
      </c>
      <c r="J299" t="s">
        <v>4152</v>
      </c>
      <c r="K299" t="s">
        <v>3340</v>
      </c>
    </row>
    <row r="300" spans="1:11" x14ac:dyDescent="0.2">
      <c r="A300" t="s">
        <v>286</v>
      </c>
      <c r="B300">
        <f>VALUE(RIGHT(A300,LEN(A300)-3))</f>
        <v>36</v>
      </c>
      <c r="C300">
        <v>1</v>
      </c>
      <c r="D300" t="s">
        <v>32</v>
      </c>
      <c r="E300" t="s">
        <v>289</v>
      </c>
      <c r="F300" t="s">
        <v>30</v>
      </c>
      <c r="G300" t="s">
        <v>43</v>
      </c>
      <c r="H300" t="s">
        <v>287</v>
      </c>
      <c r="I300" t="s">
        <v>57</v>
      </c>
      <c r="J300" t="s">
        <v>4152</v>
      </c>
      <c r="K300" t="s">
        <v>3151</v>
      </c>
    </row>
    <row r="301" spans="1:11" x14ac:dyDescent="0.2">
      <c r="A301" t="s">
        <v>390</v>
      </c>
      <c r="B301">
        <f>VALUE(RIGHT(A301,LEN(A301)-3))</f>
        <v>52</v>
      </c>
      <c r="C301">
        <v>1</v>
      </c>
      <c r="D301" t="s">
        <v>32</v>
      </c>
      <c r="E301" t="s">
        <v>392</v>
      </c>
      <c r="F301" t="s">
        <v>30</v>
      </c>
      <c r="G301" t="s">
        <v>43</v>
      </c>
      <c r="H301" t="s">
        <v>391</v>
      </c>
      <c r="I301" t="s">
        <v>57</v>
      </c>
      <c r="J301" t="s">
        <v>4152</v>
      </c>
      <c r="K301" t="s">
        <v>3165</v>
      </c>
    </row>
    <row r="302" spans="1:11" x14ac:dyDescent="0.2">
      <c r="A302" t="s">
        <v>421</v>
      </c>
      <c r="B302">
        <f>VALUE(RIGHT(A302,LEN(A302)-3))</f>
        <v>57</v>
      </c>
      <c r="C302">
        <v>2</v>
      </c>
      <c r="D302" t="s">
        <v>32</v>
      </c>
      <c r="E302" t="s">
        <v>424</v>
      </c>
      <c r="F302" t="s">
        <v>30</v>
      </c>
      <c r="G302" t="s">
        <v>43</v>
      </c>
      <c r="H302" t="s">
        <v>422</v>
      </c>
      <c r="I302" t="s">
        <v>57</v>
      </c>
      <c r="J302" t="s">
        <v>4152</v>
      </c>
      <c r="K302" t="s">
        <v>3173</v>
      </c>
    </row>
    <row r="303" spans="1:11" x14ac:dyDescent="0.2">
      <c r="A303" t="s">
        <v>477</v>
      </c>
      <c r="B303">
        <f>VALUE(RIGHT(A303,LEN(A303)-3))</f>
        <v>66</v>
      </c>
      <c r="C303">
        <v>2</v>
      </c>
      <c r="D303" t="s">
        <v>32</v>
      </c>
      <c r="E303" t="s">
        <v>479</v>
      </c>
      <c r="F303" t="s">
        <v>30</v>
      </c>
      <c r="G303" t="s">
        <v>43</v>
      </c>
      <c r="H303" t="s">
        <v>478</v>
      </c>
      <c r="I303" t="s">
        <v>57</v>
      </c>
      <c r="J303" t="s">
        <v>4152</v>
      </c>
      <c r="K303" t="s">
        <v>3182</v>
      </c>
    </row>
    <row r="304" spans="1:11" x14ac:dyDescent="0.2">
      <c r="A304" t="s">
        <v>720</v>
      </c>
      <c r="B304">
        <f>VALUE(RIGHT(A304,LEN(A304)-3))</f>
        <v>106</v>
      </c>
      <c r="C304">
        <v>1</v>
      </c>
      <c r="D304" t="s">
        <v>32</v>
      </c>
      <c r="E304" t="s">
        <v>723</v>
      </c>
      <c r="F304" t="s">
        <v>30</v>
      </c>
      <c r="G304" t="s">
        <v>43</v>
      </c>
      <c r="H304" t="s">
        <v>721</v>
      </c>
      <c r="I304" t="s">
        <v>57</v>
      </c>
      <c r="J304" t="s">
        <v>4152</v>
      </c>
      <c r="K304" t="s">
        <v>3211</v>
      </c>
    </row>
    <row r="305" spans="1:11" x14ac:dyDescent="0.2">
      <c r="A305" t="s">
        <v>773</v>
      </c>
      <c r="B305">
        <f>VALUE(RIGHT(A305,LEN(A305)-3))</f>
        <v>115</v>
      </c>
      <c r="C305">
        <v>2</v>
      </c>
      <c r="D305" t="s">
        <v>32</v>
      </c>
      <c r="E305" t="s">
        <v>776</v>
      </c>
      <c r="F305" t="s">
        <v>30</v>
      </c>
      <c r="G305" t="s">
        <v>43</v>
      </c>
      <c r="H305" t="s">
        <v>774</v>
      </c>
      <c r="I305" t="s">
        <v>57</v>
      </c>
      <c r="J305" t="s">
        <v>4152</v>
      </c>
      <c r="K305" t="s">
        <v>3221</v>
      </c>
    </row>
    <row r="306" spans="1:11" x14ac:dyDescent="0.2">
      <c r="A306" t="s">
        <v>788</v>
      </c>
      <c r="B306">
        <f>VALUE(RIGHT(A306,LEN(A306)-3))</f>
        <v>117</v>
      </c>
      <c r="C306">
        <v>1</v>
      </c>
      <c r="D306" t="s">
        <v>32</v>
      </c>
      <c r="E306" t="s">
        <v>790</v>
      </c>
      <c r="F306" t="s">
        <v>30</v>
      </c>
      <c r="G306" t="s">
        <v>43</v>
      </c>
      <c r="H306" t="s">
        <v>789</v>
      </c>
      <c r="I306" t="s">
        <v>57</v>
      </c>
      <c r="J306" t="s">
        <v>4152</v>
      </c>
      <c r="K306" t="s">
        <v>3223</v>
      </c>
    </row>
    <row r="307" spans="1:11" x14ac:dyDescent="0.2">
      <c r="A307" t="s">
        <v>897</v>
      </c>
      <c r="B307">
        <f>VALUE(RIGHT(A307,LEN(A307)-3))</f>
        <v>137</v>
      </c>
      <c r="C307">
        <v>1</v>
      </c>
      <c r="D307" t="s">
        <v>32</v>
      </c>
      <c r="E307" t="s">
        <v>790</v>
      </c>
      <c r="F307" t="s">
        <v>602</v>
      </c>
      <c r="G307" t="s">
        <v>43</v>
      </c>
      <c r="H307" t="s">
        <v>898</v>
      </c>
      <c r="I307" t="s">
        <v>57</v>
      </c>
      <c r="J307" t="s">
        <v>4152</v>
      </c>
      <c r="K307" t="s">
        <v>3240</v>
      </c>
    </row>
    <row r="308" spans="1:11" x14ac:dyDescent="0.2">
      <c r="A308" t="s">
        <v>988</v>
      </c>
      <c r="B308">
        <f>VALUE(RIGHT(A308,LEN(A308)-3))</f>
        <v>152</v>
      </c>
      <c r="C308">
        <v>1</v>
      </c>
      <c r="D308" t="s">
        <v>32</v>
      </c>
      <c r="E308" t="s">
        <v>990</v>
      </c>
      <c r="F308" t="s">
        <v>30</v>
      </c>
      <c r="G308" t="s">
        <v>43</v>
      </c>
      <c r="H308" t="s">
        <v>989</v>
      </c>
      <c r="I308" t="s">
        <v>57</v>
      </c>
      <c r="J308" t="s">
        <v>4152</v>
      </c>
      <c r="K308" t="s">
        <v>3255</v>
      </c>
    </row>
    <row r="309" spans="1:11" x14ac:dyDescent="0.2">
      <c r="A309" t="s">
        <v>1055</v>
      </c>
      <c r="B309">
        <f>VALUE(RIGHT(A309,LEN(A309)-3))</f>
        <v>164</v>
      </c>
      <c r="C309">
        <v>1</v>
      </c>
      <c r="D309" t="s">
        <v>32</v>
      </c>
      <c r="E309" t="s">
        <v>358</v>
      </c>
      <c r="F309" t="s">
        <v>30</v>
      </c>
      <c r="G309" t="s">
        <v>43</v>
      </c>
      <c r="H309" t="s">
        <v>1056</v>
      </c>
      <c r="I309" t="s">
        <v>57</v>
      </c>
      <c r="J309" t="s">
        <v>4152</v>
      </c>
      <c r="K309" t="s">
        <v>3266</v>
      </c>
    </row>
    <row r="310" spans="1:11" x14ac:dyDescent="0.2">
      <c r="A310" t="s">
        <v>1066</v>
      </c>
      <c r="B310">
        <f>VALUE(RIGHT(A310,LEN(A310)-3))</f>
        <v>166</v>
      </c>
      <c r="C310">
        <v>1</v>
      </c>
      <c r="D310" t="s">
        <v>32</v>
      </c>
      <c r="E310" t="s">
        <v>1068</v>
      </c>
      <c r="F310" t="s">
        <v>30</v>
      </c>
      <c r="G310" t="s">
        <v>43</v>
      </c>
      <c r="H310" t="s">
        <v>1067</v>
      </c>
      <c r="I310" t="s">
        <v>57</v>
      </c>
      <c r="J310" t="s">
        <v>4152</v>
      </c>
      <c r="K310" t="s">
        <v>3269</v>
      </c>
    </row>
    <row r="311" spans="1:11" x14ac:dyDescent="0.2">
      <c r="A311" t="s">
        <v>1129</v>
      </c>
      <c r="B311">
        <f>VALUE(RIGHT(A311,LEN(A311)-3))</f>
        <v>177</v>
      </c>
      <c r="C311">
        <v>1</v>
      </c>
      <c r="D311" t="s">
        <v>32</v>
      </c>
      <c r="E311" t="s">
        <v>1132</v>
      </c>
      <c r="F311" t="s">
        <v>602</v>
      </c>
      <c r="G311" t="s">
        <v>43</v>
      </c>
      <c r="H311" t="s">
        <v>1130</v>
      </c>
      <c r="I311" t="s">
        <v>57</v>
      </c>
      <c r="J311" t="s">
        <v>4152</v>
      </c>
      <c r="K311" t="s">
        <v>3275</v>
      </c>
    </row>
    <row r="312" spans="1:11" x14ac:dyDescent="0.2">
      <c r="A312" t="s">
        <v>1162</v>
      </c>
      <c r="B312">
        <f>VALUE(RIGHT(A312,LEN(A312)-3))</f>
        <v>183</v>
      </c>
      <c r="C312">
        <v>2</v>
      </c>
      <c r="D312" t="s">
        <v>32</v>
      </c>
      <c r="E312" t="s">
        <v>1164</v>
      </c>
      <c r="F312" t="s">
        <v>30</v>
      </c>
      <c r="G312" t="s">
        <v>43</v>
      </c>
      <c r="H312" t="s">
        <v>1163</v>
      </c>
      <c r="I312" t="s">
        <v>57</v>
      </c>
      <c r="J312" t="s">
        <v>4152</v>
      </c>
      <c r="K312" t="s">
        <v>3282</v>
      </c>
    </row>
    <row r="313" spans="1:11" x14ac:dyDescent="0.2">
      <c r="A313" t="s">
        <v>1428</v>
      </c>
      <c r="B313">
        <f>VALUE(RIGHT(A313,LEN(A313)-3))</f>
        <v>231</v>
      </c>
      <c r="C313">
        <v>1</v>
      </c>
      <c r="D313" t="s">
        <v>32</v>
      </c>
      <c r="E313" t="s">
        <v>790</v>
      </c>
      <c r="F313" t="s">
        <v>30</v>
      </c>
      <c r="G313" t="s">
        <v>43</v>
      </c>
      <c r="H313" t="s">
        <v>1429</v>
      </c>
      <c r="I313" t="s">
        <v>57</v>
      </c>
      <c r="J313" t="s">
        <v>4152</v>
      </c>
      <c r="K313" t="s">
        <v>3331</v>
      </c>
    </row>
    <row r="314" spans="1:11" x14ac:dyDescent="0.2">
      <c r="A314" t="s">
        <v>1455</v>
      </c>
      <c r="B314">
        <f>VALUE(RIGHT(A314,LEN(A314)-3))</f>
        <v>236</v>
      </c>
      <c r="C314">
        <v>2</v>
      </c>
      <c r="D314" t="s">
        <v>32</v>
      </c>
      <c r="E314" t="s">
        <v>1457</v>
      </c>
      <c r="F314" t="s">
        <v>602</v>
      </c>
      <c r="G314" t="s">
        <v>43</v>
      </c>
      <c r="H314" t="s">
        <v>1456</v>
      </c>
      <c r="I314" t="s">
        <v>57</v>
      </c>
      <c r="J314" t="s">
        <v>4152</v>
      </c>
      <c r="K314" t="s">
        <v>3337</v>
      </c>
    </row>
    <row r="315" spans="1:11" x14ac:dyDescent="0.2">
      <c r="A315" t="s">
        <v>1774</v>
      </c>
      <c r="B315">
        <f>VALUE(RIGHT(A315,LEN(A315)-3))</f>
        <v>296</v>
      </c>
      <c r="C315">
        <v>1</v>
      </c>
      <c r="D315" t="s">
        <v>32</v>
      </c>
      <c r="E315" t="s">
        <v>1776</v>
      </c>
      <c r="F315" t="s">
        <v>602</v>
      </c>
      <c r="G315" t="s">
        <v>43</v>
      </c>
      <c r="H315" t="s">
        <v>1775</v>
      </c>
      <c r="I315" t="s">
        <v>57</v>
      </c>
      <c r="J315" t="s">
        <v>4152</v>
      </c>
      <c r="K315" t="s">
        <v>3400</v>
      </c>
    </row>
    <row r="316" spans="1:11" x14ac:dyDescent="0.2">
      <c r="A316" t="s">
        <v>1926</v>
      </c>
      <c r="B316">
        <f>VALUE(RIGHT(A316,LEN(A316)-3))</f>
        <v>325</v>
      </c>
      <c r="C316">
        <v>1</v>
      </c>
      <c r="D316" t="s">
        <v>32</v>
      </c>
      <c r="E316" t="s">
        <v>1929</v>
      </c>
      <c r="F316" t="s">
        <v>30</v>
      </c>
      <c r="G316" t="s">
        <v>43</v>
      </c>
      <c r="H316" t="s">
        <v>1927</v>
      </c>
      <c r="I316" t="s">
        <v>57</v>
      </c>
      <c r="J316" t="s">
        <v>4152</v>
      </c>
      <c r="K316" t="s">
        <v>3425</v>
      </c>
    </row>
    <row r="317" spans="1:11" x14ac:dyDescent="0.2">
      <c r="A317" t="s">
        <v>2024</v>
      </c>
      <c r="B317">
        <f>VALUE(RIGHT(A317,LEN(A317)-3))</f>
        <v>342</v>
      </c>
      <c r="C317">
        <v>1</v>
      </c>
      <c r="D317" t="s">
        <v>32</v>
      </c>
      <c r="E317" t="s">
        <v>358</v>
      </c>
      <c r="F317" t="s">
        <v>602</v>
      </c>
      <c r="G317" t="s">
        <v>43</v>
      </c>
      <c r="H317" t="s">
        <v>2025</v>
      </c>
      <c r="I317" t="s">
        <v>57</v>
      </c>
      <c r="J317" t="s">
        <v>4152</v>
      </c>
      <c r="K317" t="s">
        <v>3442</v>
      </c>
    </row>
    <row r="318" spans="1:11" x14ac:dyDescent="0.2">
      <c r="A318" t="s">
        <v>2024</v>
      </c>
      <c r="B318">
        <f>VALUE(RIGHT(A318,LEN(A318)-3))</f>
        <v>342</v>
      </c>
      <c r="C318">
        <v>2</v>
      </c>
      <c r="D318" t="s">
        <v>32</v>
      </c>
      <c r="E318" t="s">
        <v>358</v>
      </c>
      <c r="F318" t="s">
        <v>602</v>
      </c>
      <c r="G318" t="s">
        <v>43</v>
      </c>
      <c r="H318" t="s">
        <v>2025</v>
      </c>
      <c r="I318" t="s">
        <v>57</v>
      </c>
      <c r="J318" t="s">
        <v>4152</v>
      </c>
      <c r="K318" t="s">
        <v>3443</v>
      </c>
    </row>
    <row r="319" spans="1:11" x14ac:dyDescent="0.2">
      <c r="A319" t="s">
        <v>2324</v>
      </c>
      <c r="B319">
        <f>VALUE(RIGHT(A319,LEN(A319)-3))</f>
        <v>395</v>
      </c>
      <c r="C319">
        <v>1</v>
      </c>
      <c r="D319" t="s">
        <v>32</v>
      </c>
      <c r="E319" t="s">
        <v>2326</v>
      </c>
      <c r="F319" t="s">
        <v>30</v>
      </c>
      <c r="G319" t="s">
        <v>43</v>
      </c>
      <c r="H319" t="s">
        <v>2325</v>
      </c>
      <c r="I319" t="s">
        <v>57</v>
      </c>
      <c r="J319" t="s">
        <v>4152</v>
      </c>
      <c r="K319" t="s">
        <v>3494</v>
      </c>
    </row>
    <row r="320" spans="1:11" x14ac:dyDescent="0.2">
      <c r="A320" t="s">
        <v>2429</v>
      </c>
      <c r="B320">
        <f>VALUE(RIGHT(A320,LEN(A320)-3))</f>
        <v>412</v>
      </c>
      <c r="C320">
        <v>1</v>
      </c>
      <c r="D320" t="s">
        <v>32</v>
      </c>
      <c r="E320" t="s">
        <v>2431</v>
      </c>
      <c r="F320" t="s">
        <v>30</v>
      </c>
      <c r="G320" t="s">
        <v>43</v>
      </c>
      <c r="H320" t="s">
        <v>2430</v>
      </c>
      <c r="I320" t="s">
        <v>57</v>
      </c>
      <c r="J320" t="s">
        <v>4152</v>
      </c>
      <c r="K320" t="s">
        <v>3511</v>
      </c>
    </row>
    <row r="321" spans="1:11" x14ac:dyDescent="0.2">
      <c r="A321" t="s">
        <v>2903</v>
      </c>
      <c r="B321">
        <f>VALUE(RIGHT(A321,LEN(A321)-3))</f>
        <v>499</v>
      </c>
      <c r="C321">
        <v>1</v>
      </c>
      <c r="D321" t="s">
        <v>32</v>
      </c>
      <c r="E321" t="s">
        <v>790</v>
      </c>
      <c r="F321" t="s">
        <v>602</v>
      </c>
      <c r="G321" t="s">
        <v>43</v>
      </c>
      <c r="H321" t="s">
        <v>2904</v>
      </c>
      <c r="I321" t="s">
        <v>57</v>
      </c>
      <c r="J321" t="s">
        <v>4152</v>
      </c>
      <c r="K321" t="s">
        <v>3587</v>
      </c>
    </row>
    <row r="322" spans="1:11" x14ac:dyDescent="0.2">
      <c r="A322" t="s">
        <v>3065</v>
      </c>
      <c r="B322">
        <f>VALUE(RIGHT(A322,LEN(A322)-3))</f>
        <v>529</v>
      </c>
      <c r="C322">
        <v>2</v>
      </c>
      <c r="D322" t="s">
        <v>32</v>
      </c>
      <c r="E322" t="s">
        <v>3067</v>
      </c>
      <c r="F322" t="s">
        <v>30</v>
      </c>
      <c r="G322" t="s">
        <v>43</v>
      </c>
      <c r="H322" t="s">
        <v>3066</v>
      </c>
      <c r="I322" t="s">
        <v>57</v>
      </c>
      <c r="J322" t="s">
        <v>4152</v>
      </c>
      <c r="K322" t="s">
        <v>3611</v>
      </c>
    </row>
    <row r="323" spans="1:11" x14ac:dyDescent="0.2">
      <c r="A323" t="s">
        <v>89</v>
      </c>
      <c r="B323">
        <f>VALUE(RIGHT(A323,LEN(A323)-3))</f>
        <v>7</v>
      </c>
      <c r="C323">
        <v>2</v>
      </c>
      <c r="D323" t="s">
        <v>32</v>
      </c>
      <c r="E323" t="s">
        <v>92</v>
      </c>
      <c r="F323" t="s">
        <v>30</v>
      </c>
      <c r="G323" t="s">
        <v>43</v>
      </c>
      <c r="H323" t="s">
        <v>90</v>
      </c>
      <c r="I323" t="s">
        <v>35</v>
      </c>
      <c r="J323" t="s">
        <v>4143</v>
      </c>
      <c r="K323" t="s">
        <v>3124</v>
      </c>
    </row>
    <row r="324" spans="1:11" x14ac:dyDescent="0.2">
      <c r="A324" t="s">
        <v>133</v>
      </c>
      <c r="B324">
        <f>VALUE(RIGHT(A324,LEN(A324)-3))</f>
        <v>13</v>
      </c>
      <c r="C324">
        <v>1</v>
      </c>
      <c r="D324" t="s">
        <v>32</v>
      </c>
      <c r="E324" t="s">
        <v>136</v>
      </c>
      <c r="F324" t="s">
        <v>30</v>
      </c>
      <c r="G324" t="s">
        <v>29</v>
      </c>
      <c r="H324" t="s">
        <v>134</v>
      </c>
      <c r="I324" t="s">
        <v>35</v>
      </c>
      <c r="J324" t="s">
        <v>4143</v>
      </c>
      <c r="K324" t="s">
        <v>3129</v>
      </c>
    </row>
    <row r="325" spans="1:11" x14ac:dyDescent="0.2">
      <c r="A325" t="s">
        <v>148</v>
      </c>
      <c r="B325">
        <f>VALUE(RIGHT(A325,LEN(A325)-3))</f>
        <v>15</v>
      </c>
      <c r="C325">
        <v>2</v>
      </c>
      <c r="D325" t="s">
        <v>32</v>
      </c>
      <c r="E325" t="s">
        <v>152</v>
      </c>
      <c r="F325" t="s">
        <v>30</v>
      </c>
      <c r="G325" t="s">
        <v>43</v>
      </c>
      <c r="H325" t="s">
        <v>149</v>
      </c>
      <c r="I325" t="s">
        <v>35</v>
      </c>
      <c r="J325" t="s">
        <v>4143</v>
      </c>
      <c r="K325" t="s">
        <v>3132</v>
      </c>
    </row>
    <row r="326" spans="1:11" x14ac:dyDescent="0.2">
      <c r="A326" t="s">
        <v>156</v>
      </c>
      <c r="B326">
        <f>VALUE(RIGHT(A326,LEN(A326)-3))</f>
        <v>16</v>
      </c>
      <c r="C326">
        <v>1</v>
      </c>
      <c r="D326" t="s">
        <v>32</v>
      </c>
      <c r="E326" t="s">
        <v>136</v>
      </c>
      <c r="F326" t="s">
        <v>30</v>
      </c>
      <c r="G326" t="s">
        <v>83</v>
      </c>
      <c r="H326" t="s">
        <v>157</v>
      </c>
      <c r="I326" t="s">
        <v>35</v>
      </c>
      <c r="J326" t="s">
        <v>4143</v>
      </c>
      <c r="K326" t="s">
        <v>3133</v>
      </c>
    </row>
    <row r="327" spans="1:11" x14ac:dyDescent="0.2">
      <c r="A327" t="s">
        <v>176</v>
      </c>
      <c r="B327">
        <f>VALUE(RIGHT(A327,LEN(A327)-3))</f>
        <v>19</v>
      </c>
      <c r="C327">
        <v>1</v>
      </c>
      <c r="D327" t="s">
        <v>32</v>
      </c>
      <c r="E327" t="s">
        <v>128</v>
      </c>
      <c r="F327" t="s">
        <v>30</v>
      </c>
      <c r="G327" t="s">
        <v>43</v>
      </c>
      <c r="H327" t="s">
        <v>177</v>
      </c>
      <c r="I327" t="s">
        <v>35</v>
      </c>
      <c r="J327" t="s">
        <v>4143</v>
      </c>
      <c r="K327" t="s">
        <v>3136</v>
      </c>
    </row>
    <row r="328" spans="1:11" x14ac:dyDescent="0.2">
      <c r="A328" t="s">
        <v>203</v>
      </c>
      <c r="B328">
        <f>VALUE(RIGHT(A328,LEN(A328)-3))</f>
        <v>23</v>
      </c>
      <c r="C328">
        <v>1</v>
      </c>
      <c r="D328" t="s">
        <v>32</v>
      </c>
      <c r="E328" t="s">
        <v>206</v>
      </c>
      <c r="F328" t="s">
        <v>30</v>
      </c>
      <c r="G328" t="s">
        <v>54</v>
      </c>
      <c r="H328" t="s">
        <v>204</v>
      </c>
      <c r="I328" t="s">
        <v>35</v>
      </c>
      <c r="J328" t="s">
        <v>4143</v>
      </c>
      <c r="K328" t="s">
        <v>3139</v>
      </c>
    </row>
    <row r="329" spans="1:11" x14ac:dyDescent="0.2">
      <c r="A329" t="s">
        <v>250</v>
      </c>
      <c r="B329">
        <f>VALUE(RIGHT(A329,LEN(A329)-3))</f>
        <v>30</v>
      </c>
      <c r="C329">
        <v>1</v>
      </c>
      <c r="D329" t="s">
        <v>32</v>
      </c>
      <c r="E329" t="s">
        <v>136</v>
      </c>
      <c r="F329" t="s">
        <v>30</v>
      </c>
      <c r="G329" t="s">
        <v>29</v>
      </c>
      <c r="H329" t="s">
        <v>251</v>
      </c>
      <c r="I329" t="s">
        <v>35</v>
      </c>
      <c r="J329" t="s">
        <v>4143</v>
      </c>
      <c r="K329" t="s">
        <v>3145</v>
      </c>
    </row>
    <row r="330" spans="1:11" x14ac:dyDescent="0.2">
      <c r="A330" t="s">
        <v>262</v>
      </c>
      <c r="B330">
        <f>VALUE(RIGHT(A330,LEN(A330)-3))</f>
        <v>32</v>
      </c>
      <c r="C330">
        <v>1</v>
      </c>
      <c r="D330" t="s">
        <v>32</v>
      </c>
      <c r="E330" t="s">
        <v>265</v>
      </c>
      <c r="F330" t="s">
        <v>30</v>
      </c>
      <c r="G330" t="s">
        <v>43</v>
      </c>
      <c r="H330" t="s">
        <v>263</v>
      </c>
      <c r="I330" t="s">
        <v>35</v>
      </c>
      <c r="J330" t="s">
        <v>4143</v>
      </c>
      <c r="K330" t="s">
        <v>3147</v>
      </c>
    </row>
    <row r="331" spans="1:11" x14ac:dyDescent="0.2">
      <c r="A331" t="s">
        <v>274</v>
      </c>
      <c r="B331">
        <f>VALUE(RIGHT(A331,LEN(A331)-3))</f>
        <v>34</v>
      </c>
      <c r="C331">
        <v>1</v>
      </c>
      <c r="D331" t="s">
        <v>32</v>
      </c>
      <c r="E331" t="s">
        <v>276</v>
      </c>
      <c r="F331" t="s">
        <v>30</v>
      </c>
      <c r="G331" t="s">
        <v>43</v>
      </c>
      <c r="H331" t="s">
        <v>275</v>
      </c>
      <c r="I331" t="s">
        <v>35</v>
      </c>
      <c r="J331" t="s">
        <v>4143</v>
      </c>
      <c r="K331" t="s">
        <v>3148</v>
      </c>
    </row>
    <row r="332" spans="1:11" x14ac:dyDescent="0.2">
      <c r="A332" t="s">
        <v>316</v>
      </c>
      <c r="B332">
        <f>VALUE(RIGHT(A332,LEN(A332)-3))</f>
        <v>41</v>
      </c>
      <c r="C332">
        <v>2</v>
      </c>
      <c r="D332" t="s">
        <v>32</v>
      </c>
      <c r="E332" t="s">
        <v>319</v>
      </c>
      <c r="F332" t="s">
        <v>30</v>
      </c>
      <c r="G332" t="s">
        <v>43</v>
      </c>
      <c r="H332" t="s">
        <v>317</v>
      </c>
      <c r="I332" t="s">
        <v>35</v>
      </c>
      <c r="J332" t="s">
        <v>4143</v>
      </c>
      <c r="K332" t="s">
        <v>3155</v>
      </c>
    </row>
    <row r="333" spans="1:11" x14ac:dyDescent="0.2">
      <c r="A333" t="s">
        <v>323</v>
      </c>
      <c r="B333">
        <f>VALUE(RIGHT(A333,LEN(A333)-3))</f>
        <v>42</v>
      </c>
      <c r="C333">
        <v>1</v>
      </c>
      <c r="D333" t="s">
        <v>32</v>
      </c>
      <c r="E333" t="s">
        <v>325</v>
      </c>
      <c r="F333" t="s">
        <v>30</v>
      </c>
      <c r="G333" t="s">
        <v>29</v>
      </c>
      <c r="H333" t="s">
        <v>324</v>
      </c>
      <c r="I333" t="s">
        <v>35</v>
      </c>
      <c r="J333" t="s">
        <v>4143</v>
      </c>
      <c r="K333" t="s">
        <v>3156</v>
      </c>
    </row>
    <row r="334" spans="1:11" x14ac:dyDescent="0.2">
      <c r="A334" t="s">
        <v>378</v>
      </c>
      <c r="B334">
        <f>VALUE(RIGHT(A334,LEN(A334)-3))</f>
        <v>50</v>
      </c>
      <c r="C334">
        <v>1</v>
      </c>
      <c r="D334" t="s">
        <v>32</v>
      </c>
      <c r="E334" t="s">
        <v>380</v>
      </c>
      <c r="F334" t="s">
        <v>30</v>
      </c>
      <c r="G334" t="s">
        <v>43</v>
      </c>
      <c r="H334" t="s">
        <v>379</v>
      </c>
      <c r="I334" t="s">
        <v>35</v>
      </c>
      <c r="J334" t="s">
        <v>4143</v>
      </c>
      <c r="K334" t="s">
        <v>3163</v>
      </c>
    </row>
    <row r="335" spans="1:11" x14ac:dyDescent="0.2">
      <c r="A335" t="s">
        <v>447</v>
      </c>
      <c r="B335">
        <f>VALUE(RIGHT(A335,LEN(A335)-3))</f>
        <v>61</v>
      </c>
      <c r="C335">
        <v>1</v>
      </c>
      <c r="D335" t="s">
        <v>32</v>
      </c>
      <c r="E335" t="s">
        <v>128</v>
      </c>
      <c r="F335" t="s">
        <v>30</v>
      </c>
      <c r="G335" t="s">
        <v>54</v>
      </c>
      <c r="H335" t="s">
        <v>448</v>
      </c>
      <c r="I335" t="s">
        <v>35</v>
      </c>
      <c r="J335" t="s">
        <v>4143</v>
      </c>
      <c r="K335" t="s">
        <v>3176</v>
      </c>
    </row>
    <row r="336" spans="1:11" x14ac:dyDescent="0.2">
      <c r="A336" t="s">
        <v>563</v>
      </c>
      <c r="B336">
        <f>VALUE(RIGHT(A336,LEN(A336)-3))</f>
        <v>80</v>
      </c>
      <c r="C336">
        <v>1</v>
      </c>
      <c r="D336" t="s">
        <v>32</v>
      </c>
      <c r="E336" t="s">
        <v>566</v>
      </c>
      <c r="F336" t="s">
        <v>30</v>
      </c>
      <c r="G336" t="s">
        <v>83</v>
      </c>
      <c r="H336" t="s">
        <v>564</v>
      </c>
      <c r="I336" t="s">
        <v>35</v>
      </c>
      <c r="J336" t="s">
        <v>4143</v>
      </c>
      <c r="K336" t="s">
        <v>3191</v>
      </c>
    </row>
    <row r="337" spans="1:11" x14ac:dyDescent="0.2">
      <c r="A337" t="s">
        <v>930</v>
      </c>
      <c r="B337">
        <f>VALUE(RIGHT(A337,LEN(A337)-3))</f>
        <v>142</v>
      </c>
      <c r="C337">
        <v>1</v>
      </c>
      <c r="D337" t="s">
        <v>32</v>
      </c>
      <c r="E337" t="s">
        <v>932</v>
      </c>
      <c r="F337" t="s">
        <v>602</v>
      </c>
      <c r="G337" t="s">
        <v>43</v>
      </c>
      <c r="H337" t="s">
        <v>931</v>
      </c>
      <c r="I337" t="s">
        <v>35</v>
      </c>
      <c r="J337" t="s">
        <v>4143</v>
      </c>
      <c r="K337" t="s">
        <v>3246</v>
      </c>
    </row>
    <row r="338" spans="1:11" x14ac:dyDescent="0.2">
      <c r="A338" t="s">
        <v>1095</v>
      </c>
      <c r="B338">
        <f>VALUE(RIGHT(A338,LEN(A338)-3))</f>
        <v>171</v>
      </c>
      <c r="C338">
        <v>1</v>
      </c>
      <c r="D338" t="s">
        <v>32</v>
      </c>
      <c r="E338" t="s">
        <v>1098</v>
      </c>
      <c r="F338" t="s">
        <v>602</v>
      </c>
      <c r="G338" t="s">
        <v>43</v>
      </c>
      <c r="H338" t="s">
        <v>1096</v>
      </c>
      <c r="I338" t="s">
        <v>35</v>
      </c>
      <c r="J338" t="s">
        <v>4143</v>
      </c>
      <c r="K338" t="s">
        <v>3271</v>
      </c>
    </row>
    <row r="339" spans="1:11" x14ac:dyDescent="0.2">
      <c r="A339" t="s">
        <v>1535</v>
      </c>
      <c r="B339">
        <f>VALUE(RIGHT(A339,LEN(A339)-3))</f>
        <v>251</v>
      </c>
      <c r="C339">
        <v>1</v>
      </c>
      <c r="D339" t="s">
        <v>32</v>
      </c>
      <c r="E339" t="s">
        <v>1537</v>
      </c>
      <c r="F339" t="s">
        <v>30</v>
      </c>
      <c r="G339" t="s">
        <v>43</v>
      </c>
      <c r="H339" t="s">
        <v>1536</v>
      </c>
      <c r="I339" t="s">
        <v>35</v>
      </c>
      <c r="J339" t="s">
        <v>4143</v>
      </c>
      <c r="K339" t="s">
        <v>3350</v>
      </c>
    </row>
    <row r="340" spans="1:11" x14ac:dyDescent="0.2">
      <c r="A340" t="s">
        <v>1535</v>
      </c>
      <c r="B340">
        <f>VALUE(RIGHT(A340,LEN(A340)-3))</f>
        <v>251</v>
      </c>
      <c r="C340">
        <v>2</v>
      </c>
      <c r="D340" t="s">
        <v>32</v>
      </c>
      <c r="E340" t="s">
        <v>1537</v>
      </c>
      <c r="F340" t="s">
        <v>30</v>
      </c>
      <c r="G340" t="s">
        <v>43</v>
      </c>
      <c r="H340" t="s">
        <v>1536</v>
      </c>
      <c r="I340" t="s">
        <v>35</v>
      </c>
      <c r="J340" t="s">
        <v>4143</v>
      </c>
      <c r="K340" t="s">
        <v>3351</v>
      </c>
    </row>
    <row r="341" spans="1:11" x14ac:dyDescent="0.2">
      <c r="A341" t="s">
        <v>2130</v>
      </c>
      <c r="B341">
        <f>VALUE(RIGHT(A341,LEN(A341)-3))</f>
        <v>362</v>
      </c>
      <c r="C341">
        <v>1</v>
      </c>
      <c r="D341" t="s">
        <v>32</v>
      </c>
      <c r="E341" t="s">
        <v>2133</v>
      </c>
      <c r="F341" t="s">
        <v>30</v>
      </c>
      <c r="G341" t="s">
        <v>54</v>
      </c>
      <c r="H341" t="s">
        <v>2131</v>
      </c>
      <c r="I341" t="s">
        <v>35</v>
      </c>
      <c r="J341" t="s">
        <v>4143</v>
      </c>
      <c r="K341" t="s">
        <v>3459</v>
      </c>
    </row>
    <row r="342" spans="1:11" x14ac:dyDescent="0.2">
      <c r="A342" t="s">
        <v>2213</v>
      </c>
      <c r="B342">
        <f>VALUE(RIGHT(A342,LEN(A342)-3))</f>
        <v>377</v>
      </c>
      <c r="C342">
        <v>2</v>
      </c>
      <c r="D342" t="s">
        <v>32</v>
      </c>
      <c r="E342" t="s">
        <v>2215</v>
      </c>
      <c r="F342" t="s">
        <v>30</v>
      </c>
      <c r="G342" t="s">
        <v>83</v>
      </c>
      <c r="H342" t="s">
        <v>2214</v>
      </c>
      <c r="I342" t="s">
        <v>35</v>
      </c>
      <c r="J342" t="s">
        <v>4143</v>
      </c>
      <c r="K342" t="s">
        <v>3473</v>
      </c>
    </row>
    <row r="343" spans="1:11" x14ac:dyDescent="0.2">
      <c r="A343" t="s">
        <v>2370</v>
      </c>
      <c r="B343">
        <f>VALUE(RIGHT(A343,LEN(A343)-3))</f>
        <v>402</v>
      </c>
      <c r="C343">
        <v>1</v>
      </c>
      <c r="D343" t="s">
        <v>32</v>
      </c>
      <c r="E343" t="s">
        <v>2372</v>
      </c>
      <c r="F343" t="s">
        <v>30</v>
      </c>
      <c r="G343" t="s">
        <v>54</v>
      </c>
      <c r="H343" t="s">
        <v>2371</v>
      </c>
      <c r="I343" t="s">
        <v>35</v>
      </c>
      <c r="J343" t="s">
        <v>4143</v>
      </c>
      <c r="K343" t="s">
        <v>3500</v>
      </c>
    </row>
    <row r="344" spans="1:11" x14ac:dyDescent="0.2">
      <c r="A344" t="s">
        <v>2462</v>
      </c>
      <c r="B344">
        <f>VALUE(RIGHT(A344,LEN(A344)-3))</f>
        <v>418</v>
      </c>
      <c r="C344">
        <v>1</v>
      </c>
      <c r="D344" t="s">
        <v>32</v>
      </c>
      <c r="E344" t="s">
        <v>2465</v>
      </c>
      <c r="F344" t="s">
        <v>30</v>
      </c>
      <c r="G344" t="s">
        <v>43</v>
      </c>
      <c r="H344" t="s">
        <v>2463</v>
      </c>
      <c r="I344" t="s">
        <v>35</v>
      </c>
      <c r="J344" t="s">
        <v>4143</v>
      </c>
      <c r="K344" t="s">
        <v>3516</v>
      </c>
    </row>
    <row r="345" spans="1:11" x14ac:dyDescent="0.2">
      <c r="A345" t="s">
        <v>2462</v>
      </c>
      <c r="B345">
        <f>VALUE(RIGHT(A345,LEN(A345)-3))</f>
        <v>418</v>
      </c>
      <c r="C345">
        <v>2</v>
      </c>
      <c r="D345" t="s">
        <v>32</v>
      </c>
      <c r="E345" t="s">
        <v>2465</v>
      </c>
      <c r="F345" t="s">
        <v>30</v>
      </c>
      <c r="G345" t="s">
        <v>43</v>
      </c>
      <c r="H345" t="s">
        <v>2463</v>
      </c>
      <c r="I345" t="s">
        <v>35</v>
      </c>
      <c r="J345" t="s">
        <v>4143</v>
      </c>
      <c r="K345" t="s">
        <v>3517</v>
      </c>
    </row>
    <row r="346" spans="1:11" x14ac:dyDescent="0.2">
      <c r="A346" t="s">
        <v>2588</v>
      </c>
      <c r="B346">
        <f>VALUE(RIGHT(A346,LEN(A346)-3))</f>
        <v>441</v>
      </c>
      <c r="C346">
        <v>1</v>
      </c>
      <c r="D346" t="s">
        <v>32</v>
      </c>
      <c r="E346" t="s">
        <v>2590</v>
      </c>
      <c r="F346" t="s">
        <v>503</v>
      </c>
      <c r="G346" t="s">
        <v>43</v>
      </c>
      <c r="H346" t="s">
        <v>2589</v>
      </c>
      <c r="I346" t="s">
        <v>35</v>
      </c>
      <c r="J346" t="s">
        <v>4143</v>
      </c>
      <c r="K346" t="s">
        <v>3538</v>
      </c>
    </row>
    <row r="347" spans="1:11" x14ac:dyDescent="0.2">
      <c r="A347" t="s">
        <v>250</v>
      </c>
      <c r="B347">
        <f>VALUE(RIGHT(A347,LEN(A347)-3))</f>
        <v>30</v>
      </c>
      <c r="C347">
        <v>2</v>
      </c>
      <c r="D347" t="s">
        <v>32</v>
      </c>
      <c r="E347" t="s">
        <v>136</v>
      </c>
      <c r="F347" t="s">
        <v>30</v>
      </c>
      <c r="G347" t="s">
        <v>29</v>
      </c>
      <c r="H347" t="s">
        <v>251</v>
      </c>
      <c r="I347" t="s">
        <v>35</v>
      </c>
      <c r="J347" t="s">
        <v>4141</v>
      </c>
      <c r="K347" t="s">
        <v>3146</v>
      </c>
    </row>
    <row r="348" spans="1:11" x14ac:dyDescent="0.2">
      <c r="A348" t="s">
        <v>400</v>
      </c>
      <c r="B348">
        <f>VALUE(RIGHT(A348,LEN(A348)-3))</f>
        <v>54</v>
      </c>
      <c r="C348">
        <v>2</v>
      </c>
      <c r="D348" t="s">
        <v>32</v>
      </c>
      <c r="E348" t="s">
        <v>403</v>
      </c>
      <c r="F348" t="s">
        <v>30</v>
      </c>
      <c r="G348" t="s">
        <v>43</v>
      </c>
      <c r="H348" t="s">
        <v>401</v>
      </c>
      <c r="I348" t="s">
        <v>35</v>
      </c>
      <c r="J348" t="s">
        <v>4141</v>
      </c>
      <c r="K348" t="s">
        <v>3168</v>
      </c>
    </row>
    <row r="349" spans="1:11" x14ac:dyDescent="0.2">
      <c r="A349" t="s">
        <v>408</v>
      </c>
      <c r="B349">
        <f>VALUE(RIGHT(A349,LEN(A349)-3))</f>
        <v>55</v>
      </c>
      <c r="C349">
        <v>1</v>
      </c>
      <c r="D349" t="s">
        <v>32</v>
      </c>
      <c r="E349" t="s">
        <v>411</v>
      </c>
      <c r="F349" t="s">
        <v>30</v>
      </c>
      <c r="G349" t="s">
        <v>43</v>
      </c>
      <c r="H349" t="s">
        <v>409</v>
      </c>
      <c r="I349" t="s">
        <v>35</v>
      </c>
      <c r="J349" t="s">
        <v>4141</v>
      </c>
      <c r="K349" t="s">
        <v>3169</v>
      </c>
    </row>
    <row r="350" spans="1:11" x14ac:dyDescent="0.2">
      <c r="A350" t="s">
        <v>421</v>
      </c>
      <c r="B350">
        <f>VALUE(RIGHT(A350,LEN(A350)-3))</f>
        <v>57</v>
      </c>
      <c r="C350">
        <v>1</v>
      </c>
      <c r="D350" t="s">
        <v>32</v>
      </c>
      <c r="E350" t="s">
        <v>424</v>
      </c>
      <c r="F350" t="s">
        <v>30</v>
      </c>
      <c r="G350" t="s">
        <v>43</v>
      </c>
      <c r="H350" t="s">
        <v>422</v>
      </c>
      <c r="I350" t="s">
        <v>35</v>
      </c>
      <c r="J350" t="s">
        <v>4141</v>
      </c>
      <c r="K350" t="s">
        <v>3172</v>
      </c>
    </row>
    <row r="351" spans="1:11" x14ac:dyDescent="0.2">
      <c r="A351" t="s">
        <v>509</v>
      </c>
      <c r="B351">
        <f>VALUE(RIGHT(A351,LEN(A351)-3))</f>
        <v>71</v>
      </c>
      <c r="C351">
        <v>1</v>
      </c>
      <c r="D351" t="s">
        <v>32</v>
      </c>
      <c r="E351" t="s">
        <v>512</v>
      </c>
      <c r="F351" t="s">
        <v>503</v>
      </c>
      <c r="G351" t="s">
        <v>43</v>
      </c>
      <c r="H351" t="s">
        <v>510</v>
      </c>
      <c r="I351" t="s">
        <v>35</v>
      </c>
      <c r="J351" t="s">
        <v>4141</v>
      </c>
      <c r="K351" t="s">
        <v>3186</v>
      </c>
    </row>
    <row r="352" spans="1:11" x14ac:dyDescent="0.2">
      <c r="A352" t="s">
        <v>534</v>
      </c>
      <c r="B352">
        <f>VALUE(RIGHT(A352,LEN(A352)-3))</f>
        <v>75</v>
      </c>
      <c r="C352">
        <v>1</v>
      </c>
      <c r="D352" t="s">
        <v>32</v>
      </c>
      <c r="E352" t="s">
        <v>536</v>
      </c>
      <c r="F352" t="s">
        <v>30</v>
      </c>
      <c r="G352" t="s">
        <v>43</v>
      </c>
      <c r="H352" t="s">
        <v>535</v>
      </c>
      <c r="I352" t="s">
        <v>35</v>
      </c>
      <c r="J352" t="s">
        <v>4141</v>
      </c>
      <c r="K352" t="s">
        <v>3188</v>
      </c>
    </row>
    <row r="353" spans="1:11" x14ac:dyDescent="0.2">
      <c r="A353" t="s">
        <v>549</v>
      </c>
      <c r="B353">
        <f>VALUE(RIGHT(A353,LEN(A353)-3))</f>
        <v>78</v>
      </c>
      <c r="C353">
        <v>1</v>
      </c>
      <c r="D353" t="s">
        <v>32</v>
      </c>
      <c r="E353" t="s">
        <v>553</v>
      </c>
      <c r="F353" t="s">
        <v>503</v>
      </c>
      <c r="G353" t="s">
        <v>43</v>
      </c>
      <c r="H353" t="s">
        <v>550</v>
      </c>
      <c r="I353" t="s">
        <v>35</v>
      </c>
      <c r="J353" t="s">
        <v>4141</v>
      </c>
      <c r="K353" t="s">
        <v>3189</v>
      </c>
    </row>
    <row r="354" spans="1:11" x14ac:dyDescent="0.2">
      <c r="A354" t="s">
        <v>621</v>
      </c>
      <c r="B354">
        <f>VALUE(RIGHT(A354,LEN(A354)-3))</f>
        <v>89</v>
      </c>
      <c r="C354">
        <v>1</v>
      </c>
      <c r="D354" t="s">
        <v>32</v>
      </c>
      <c r="E354" t="s">
        <v>624</v>
      </c>
      <c r="F354" t="s">
        <v>30</v>
      </c>
      <c r="G354" t="s">
        <v>29</v>
      </c>
      <c r="H354" t="s">
        <v>622</v>
      </c>
      <c r="I354" t="s">
        <v>35</v>
      </c>
      <c r="J354" t="s">
        <v>4141</v>
      </c>
      <c r="K354" t="s">
        <v>3199</v>
      </c>
    </row>
    <row r="355" spans="1:11" x14ac:dyDescent="0.2">
      <c r="A355" t="s">
        <v>627</v>
      </c>
      <c r="B355">
        <f>VALUE(RIGHT(A355,LEN(A355)-3))</f>
        <v>90</v>
      </c>
      <c r="C355">
        <v>2</v>
      </c>
      <c r="D355" t="s">
        <v>32</v>
      </c>
      <c r="E355" t="s">
        <v>631</v>
      </c>
      <c r="F355" t="s">
        <v>503</v>
      </c>
      <c r="G355" t="s">
        <v>43</v>
      </c>
      <c r="H355" t="s">
        <v>628</v>
      </c>
      <c r="I355" t="s">
        <v>35</v>
      </c>
      <c r="J355" t="s">
        <v>4141</v>
      </c>
      <c r="K355" t="s">
        <v>3201</v>
      </c>
    </row>
    <row r="356" spans="1:11" x14ac:dyDescent="0.2">
      <c r="A356" t="s">
        <v>726</v>
      </c>
      <c r="B356">
        <f>VALUE(RIGHT(A356,LEN(A356)-3))</f>
        <v>107</v>
      </c>
      <c r="C356">
        <v>2</v>
      </c>
      <c r="D356" t="s">
        <v>32</v>
      </c>
      <c r="E356" t="s">
        <v>728</v>
      </c>
      <c r="F356" t="s">
        <v>30</v>
      </c>
      <c r="G356" t="s">
        <v>43</v>
      </c>
      <c r="H356" t="s">
        <v>727</v>
      </c>
      <c r="I356" t="s">
        <v>35</v>
      </c>
      <c r="J356" t="s">
        <v>4141</v>
      </c>
      <c r="K356" t="s">
        <v>3213</v>
      </c>
    </row>
    <row r="357" spans="1:11" x14ac:dyDescent="0.2">
      <c r="A357" t="s">
        <v>826</v>
      </c>
      <c r="B357">
        <f>VALUE(RIGHT(A357,LEN(A357)-3))</f>
        <v>124</v>
      </c>
      <c r="C357">
        <v>1</v>
      </c>
      <c r="D357" t="s">
        <v>32</v>
      </c>
      <c r="E357" t="s">
        <v>679</v>
      </c>
      <c r="F357" t="s">
        <v>503</v>
      </c>
      <c r="G357" t="s">
        <v>43</v>
      </c>
      <c r="H357" t="s">
        <v>827</v>
      </c>
      <c r="I357" t="s">
        <v>35</v>
      </c>
      <c r="J357" t="s">
        <v>4141</v>
      </c>
      <c r="K357" t="s">
        <v>3230</v>
      </c>
    </row>
    <row r="358" spans="1:11" x14ac:dyDescent="0.2">
      <c r="A358" t="s">
        <v>891</v>
      </c>
      <c r="B358">
        <f>VALUE(RIGHT(A358,LEN(A358)-3))</f>
        <v>136</v>
      </c>
      <c r="C358">
        <v>1</v>
      </c>
      <c r="D358" t="s">
        <v>32</v>
      </c>
      <c r="E358" t="s">
        <v>894</v>
      </c>
      <c r="F358" t="s">
        <v>503</v>
      </c>
      <c r="G358" t="s">
        <v>43</v>
      </c>
      <c r="H358" t="s">
        <v>892</v>
      </c>
      <c r="I358" t="s">
        <v>35</v>
      </c>
      <c r="J358" t="s">
        <v>4141</v>
      </c>
      <c r="K358" t="s">
        <v>3238</v>
      </c>
    </row>
    <row r="359" spans="1:11" x14ac:dyDescent="0.2">
      <c r="A359" t="s">
        <v>903</v>
      </c>
      <c r="B359">
        <f>VALUE(RIGHT(A359,LEN(A359)-3))</f>
        <v>138</v>
      </c>
      <c r="C359">
        <v>1</v>
      </c>
      <c r="D359" t="s">
        <v>32</v>
      </c>
      <c r="E359" t="s">
        <v>905</v>
      </c>
      <c r="F359" t="s">
        <v>503</v>
      </c>
      <c r="G359" t="s">
        <v>43</v>
      </c>
      <c r="H359" t="s">
        <v>904</v>
      </c>
      <c r="I359" t="s">
        <v>35</v>
      </c>
      <c r="J359" t="s">
        <v>4141</v>
      </c>
      <c r="K359" t="s">
        <v>3241</v>
      </c>
    </row>
    <row r="360" spans="1:11" x14ac:dyDescent="0.2">
      <c r="A360" t="s">
        <v>953</v>
      </c>
      <c r="B360">
        <f>VALUE(RIGHT(A360,LEN(A360)-3))</f>
        <v>146</v>
      </c>
      <c r="C360">
        <v>1</v>
      </c>
      <c r="D360" t="s">
        <v>32</v>
      </c>
      <c r="E360" t="s">
        <v>956</v>
      </c>
      <c r="F360" t="s">
        <v>503</v>
      </c>
      <c r="G360" t="s">
        <v>43</v>
      </c>
      <c r="H360" t="s">
        <v>954</v>
      </c>
      <c r="I360" t="s">
        <v>35</v>
      </c>
      <c r="J360" t="s">
        <v>4141</v>
      </c>
      <c r="K360" t="s">
        <v>3249</v>
      </c>
    </row>
    <row r="361" spans="1:11" x14ac:dyDescent="0.2">
      <c r="A361" t="s">
        <v>977</v>
      </c>
      <c r="B361">
        <f>VALUE(RIGHT(A361,LEN(A361)-3))</f>
        <v>150</v>
      </c>
      <c r="C361">
        <v>2</v>
      </c>
      <c r="D361" t="s">
        <v>32</v>
      </c>
      <c r="E361" t="s">
        <v>979</v>
      </c>
      <c r="F361" t="s">
        <v>503</v>
      </c>
      <c r="G361" t="s">
        <v>43</v>
      </c>
      <c r="H361" t="s">
        <v>978</v>
      </c>
      <c r="I361" t="s">
        <v>35</v>
      </c>
      <c r="J361" t="s">
        <v>4141</v>
      </c>
      <c r="K361" t="s">
        <v>3253</v>
      </c>
    </row>
    <row r="362" spans="1:11" x14ac:dyDescent="0.2">
      <c r="A362" t="s">
        <v>1118</v>
      </c>
      <c r="B362">
        <f>VALUE(RIGHT(A362,LEN(A362)-3))</f>
        <v>175</v>
      </c>
      <c r="C362">
        <v>1</v>
      </c>
      <c r="D362" t="s">
        <v>32</v>
      </c>
      <c r="E362" t="s">
        <v>1122</v>
      </c>
      <c r="F362" t="s">
        <v>503</v>
      </c>
      <c r="G362" t="s">
        <v>43</v>
      </c>
      <c r="H362" t="s">
        <v>1119</v>
      </c>
      <c r="I362" t="s">
        <v>35</v>
      </c>
      <c r="J362" t="s">
        <v>4141</v>
      </c>
      <c r="K362" t="s">
        <v>3274</v>
      </c>
    </row>
    <row r="363" spans="1:11" x14ac:dyDescent="0.2">
      <c r="A363" t="s">
        <v>1141</v>
      </c>
      <c r="B363">
        <f>VALUE(RIGHT(A363,LEN(A363)-3))</f>
        <v>179</v>
      </c>
      <c r="C363">
        <v>1</v>
      </c>
      <c r="D363" t="s">
        <v>32</v>
      </c>
      <c r="E363" t="s">
        <v>1144</v>
      </c>
      <c r="F363" t="s">
        <v>503</v>
      </c>
      <c r="G363" t="s">
        <v>43</v>
      </c>
      <c r="H363" t="s">
        <v>1142</v>
      </c>
      <c r="I363" t="s">
        <v>35</v>
      </c>
      <c r="J363" t="s">
        <v>4141</v>
      </c>
      <c r="K363" t="s">
        <v>3277</v>
      </c>
    </row>
    <row r="364" spans="1:11" x14ac:dyDescent="0.2">
      <c r="A364" t="s">
        <v>1162</v>
      </c>
      <c r="B364">
        <f>VALUE(RIGHT(A364,LEN(A364)-3))</f>
        <v>183</v>
      </c>
      <c r="C364">
        <v>1</v>
      </c>
      <c r="D364" t="s">
        <v>32</v>
      </c>
      <c r="E364" t="s">
        <v>1164</v>
      </c>
      <c r="F364" t="s">
        <v>30</v>
      </c>
      <c r="G364" t="s">
        <v>43</v>
      </c>
      <c r="H364" t="s">
        <v>1163</v>
      </c>
      <c r="I364" t="s">
        <v>35</v>
      </c>
      <c r="J364" t="s">
        <v>4141</v>
      </c>
      <c r="K364" t="s">
        <v>3281</v>
      </c>
    </row>
    <row r="365" spans="1:11" x14ac:dyDescent="0.2">
      <c r="A365" t="s">
        <v>1208</v>
      </c>
      <c r="B365">
        <f>VALUE(RIGHT(A365,LEN(A365)-3))</f>
        <v>191</v>
      </c>
      <c r="C365">
        <v>2</v>
      </c>
      <c r="D365" t="s">
        <v>32</v>
      </c>
      <c r="E365" t="s">
        <v>1211</v>
      </c>
      <c r="F365" t="s">
        <v>503</v>
      </c>
      <c r="G365" t="s">
        <v>43</v>
      </c>
      <c r="H365" t="s">
        <v>1209</v>
      </c>
      <c r="I365" t="s">
        <v>35</v>
      </c>
      <c r="J365" t="s">
        <v>4141</v>
      </c>
      <c r="K365" t="s">
        <v>3289</v>
      </c>
    </row>
    <row r="366" spans="1:11" x14ac:dyDescent="0.2">
      <c r="A366" t="s">
        <v>1311</v>
      </c>
      <c r="B366">
        <f>VALUE(RIGHT(A366,LEN(A366)-3))</f>
        <v>209</v>
      </c>
      <c r="C366">
        <v>1</v>
      </c>
      <c r="D366" t="s">
        <v>32</v>
      </c>
      <c r="E366" t="s">
        <v>1314</v>
      </c>
      <c r="F366" t="s">
        <v>503</v>
      </c>
      <c r="G366" t="s">
        <v>43</v>
      </c>
      <c r="H366" t="s">
        <v>1312</v>
      </c>
      <c r="I366" t="s">
        <v>35</v>
      </c>
      <c r="J366" t="s">
        <v>4141</v>
      </c>
      <c r="K366" t="s">
        <v>3308</v>
      </c>
    </row>
    <row r="367" spans="1:11" x14ac:dyDescent="0.2">
      <c r="A367" t="s">
        <v>1322</v>
      </c>
      <c r="B367">
        <f>VALUE(RIGHT(A367,LEN(A367)-3))</f>
        <v>211</v>
      </c>
      <c r="C367">
        <v>1</v>
      </c>
      <c r="D367" t="s">
        <v>32</v>
      </c>
      <c r="E367" t="s">
        <v>1324</v>
      </c>
      <c r="F367" t="s">
        <v>503</v>
      </c>
      <c r="G367" t="s">
        <v>43</v>
      </c>
      <c r="H367" t="s">
        <v>1323</v>
      </c>
      <c r="I367" t="s">
        <v>35</v>
      </c>
      <c r="J367" t="s">
        <v>4141</v>
      </c>
      <c r="K367" t="s">
        <v>3310</v>
      </c>
    </row>
    <row r="368" spans="1:11" x14ac:dyDescent="0.2">
      <c r="A368" t="s">
        <v>1346</v>
      </c>
      <c r="B368">
        <f>VALUE(RIGHT(A368,LEN(A368)-3))</f>
        <v>216</v>
      </c>
      <c r="C368">
        <v>1</v>
      </c>
      <c r="D368" t="s">
        <v>32</v>
      </c>
      <c r="E368" t="s">
        <v>1078</v>
      </c>
      <c r="F368" t="s">
        <v>503</v>
      </c>
      <c r="G368" t="s">
        <v>43</v>
      </c>
      <c r="H368" t="s">
        <v>1347</v>
      </c>
      <c r="I368" t="s">
        <v>35</v>
      </c>
      <c r="J368" t="s">
        <v>4141</v>
      </c>
      <c r="K368" t="s">
        <v>3313</v>
      </c>
    </row>
    <row r="369" spans="1:11" x14ac:dyDescent="0.2">
      <c r="A369" t="s">
        <v>1350</v>
      </c>
      <c r="B369">
        <f>VALUE(RIGHT(A369,LEN(A369)-3))</f>
        <v>217</v>
      </c>
      <c r="C369">
        <v>1</v>
      </c>
      <c r="D369" t="s">
        <v>32</v>
      </c>
      <c r="E369" t="s">
        <v>1352</v>
      </c>
      <c r="F369" t="s">
        <v>503</v>
      </c>
      <c r="G369" t="s">
        <v>43</v>
      </c>
      <c r="H369" t="s">
        <v>1351</v>
      </c>
      <c r="I369" t="s">
        <v>35</v>
      </c>
      <c r="J369" t="s">
        <v>4141</v>
      </c>
      <c r="K369" t="s">
        <v>3314</v>
      </c>
    </row>
    <row r="370" spans="1:11" x14ac:dyDescent="0.2">
      <c r="A370" t="s">
        <v>1361</v>
      </c>
      <c r="B370">
        <f>VALUE(RIGHT(A370,LEN(A370)-3))</f>
        <v>219</v>
      </c>
      <c r="C370">
        <v>1</v>
      </c>
      <c r="D370" t="s">
        <v>32</v>
      </c>
      <c r="E370" t="s">
        <v>1363</v>
      </c>
      <c r="F370" t="s">
        <v>503</v>
      </c>
      <c r="G370" t="s">
        <v>43</v>
      </c>
      <c r="H370" t="s">
        <v>1362</v>
      </c>
      <c r="I370" t="s">
        <v>35</v>
      </c>
      <c r="J370" t="s">
        <v>4141</v>
      </c>
      <c r="K370" t="s">
        <v>3316</v>
      </c>
    </row>
    <row r="371" spans="1:11" x14ac:dyDescent="0.2">
      <c r="A371" t="s">
        <v>1366</v>
      </c>
      <c r="B371">
        <f>VALUE(RIGHT(A371,LEN(A371)-3))</f>
        <v>220</v>
      </c>
      <c r="C371">
        <v>1</v>
      </c>
      <c r="D371" t="s">
        <v>32</v>
      </c>
      <c r="E371" t="s">
        <v>1368</v>
      </c>
      <c r="F371" t="s">
        <v>503</v>
      </c>
      <c r="G371" t="s">
        <v>43</v>
      </c>
      <c r="H371" t="s">
        <v>1367</v>
      </c>
      <c r="I371" t="s">
        <v>35</v>
      </c>
      <c r="J371" t="s">
        <v>4141</v>
      </c>
      <c r="K371" t="s">
        <v>3318</v>
      </c>
    </row>
    <row r="372" spans="1:11" x14ac:dyDescent="0.2">
      <c r="A372" t="s">
        <v>1366</v>
      </c>
      <c r="B372">
        <f>VALUE(RIGHT(A372,LEN(A372)-3))</f>
        <v>220</v>
      </c>
      <c r="C372">
        <v>2</v>
      </c>
      <c r="D372" t="s">
        <v>32</v>
      </c>
      <c r="E372" t="s">
        <v>1368</v>
      </c>
      <c r="F372" t="s">
        <v>503</v>
      </c>
      <c r="G372" t="s">
        <v>43</v>
      </c>
      <c r="H372" t="s">
        <v>1367</v>
      </c>
      <c r="I372" t="s">
        <v>35</v>
      </c>
      <c r="J372" t="s">
        <v>4141</v>
      </c>
      <c r="K372" t="s">
        <v>3319</v>
      </c>
    </row>
    <row r="373" spans="1:11" x14ac:dyDescent="0.2">
      <c r="A373" t="s">
        <v>1378</v>
      </c>
      <c r="B373">
        <f>VALUE(RIGHT(A373,LEN(A373)-3))</f>
        <v>222</v>
      </c>
      <c r="C373">
        <v>1</v>
      </c>
      <c r="D373" t="s">
        <v>32</v>
      </c>
      <c r="E373" t="s">
        <v>1381</v>
      </c>
      <c r="F373" t="s">
        <v>503</v>
      </c>
      <c r="G373" t="s">
        <v>43</v>
      </c>
      <c r="H373" t="s">
        <v>1379</v>
      </c>
      <c r="I373" t="s">
        <v>35</v>
      </c>
      <c r="J373" t="s">
        <v>4141</v>
      </c>
      <c r="K373" t="s">
        <v>3322</v>
      </c>
    </row>
    <row r="374" spans="1:11" x14ac:dyDescent="0.2">
      <c r="A374" t="s">
        <v>1559</v>
      </c>
      <c r="B374">
        <f>VALUE(RIGHT(A374,LEN(A374)-3))</f>
        <v>256</v>
      </c>
      <c r="C374">
        <v>1</v>
      </c>
      <c r="D374" t="s">
        <v>32</v>
      </c>
      <c r="E374" t="s">
        <v>1078</v>
      </c>
      <c r="F374" t="s">
        <v>503</v>
      </c>
      <c r="G374" t="s">
        <v>43</v>
      </c>
      <c r="H374" t="s">
        <v>1560</v>
      </c>
      <c r="I374" t="s">
        <v>35</v>
      </c>
      <c r="J374" t="s">
        <v>4141</v>
      </c>
      <c r="K374" t="s">
        <v>3356</v>
      </c>
    </row>
    <row r="375" spans="1:11" x14ac:dyDescent="0.2">
      <c r="A375" t="s">
        <v>1564</v>
      </c>
      <c r="B375">
        <f>VALUE(RIGHT(A375,LEN(A375)-3))</f>
        <v>257</v>
      </c>
      <c r="C375">
        <v>1</v>
      </c>
      <c r="D375" t="s">
        <v>32</v>
      </c>
      <c r="E375" t="s">
        <v>1078</v>
      </c>
      <c r="F375" t="s">
        <v>503</v>
      </c>
      <c r="G375" t="s">
        <v>43</v>
      </c>
      <c r="H375" t="s">
        <v>1560</v>
      </c>
      <c r="I375" t="s">
        <v>35</v>
      </c>
      <c r="J375" t="s">
        <v>4141</v>
      </c>
      <c r="K375" t="s">
        <v>3359</v>
      </c>
    </row>
    <row r="376" spans="1:11" x14ac:dyDescent="0.2">
      <c r="A376" t="s">
        <v>1572</v>
      </c>
      <c r="B376">
        <f>VALUE(RIGHT(A376,LEN(A376)-3))</f>
        <v>259</v>
      </c>
      <c r="C376">
        <v>2</v>
      </c>
      <c r="D376" t="s">
        <v>32</v>
      </c>
      <c r="E376" t="s">
        <v>1574</v>
      </c>
      <c r="F376" t="s">
        <v>503</v>
      </c>
      <c r="G376" t="s">
        <v>43</v>
      </c>
      <c r="H376" t="s">
        <v>1573</v>
      </c>
      <c r="I376" t="s">
        <v>35</v>
      </c>
      <c r="J376" t="s">
        <v>4141</v>
      </c>
      <c r="K376" t="s">
        <v>3362</v>
      </c>
    </row>
    <row r="377" spans="1:11" x14ac:dyDescent="0.2">
      <c r="A377" t="s">
        <v>1610</v>
      </c>
      <c r="B377">
        <f>VALUE(RIGHT(A377,LEN(A377)-3))</f>
        <v>266</v>
      </c>
      <c r="C377">
        <v>1</v>
      </c>
      <c r="D377" t="s">
        <v>32</v>
      </c>
      <c r="E377" t="s">
        <v>1613</v>
      </c>
      <c r="F377" t="s">
        <v>503</v>
      </c>
      <c r="G377" t="s">
        <v>43</v>
      </c>
      <c r="H377" t="s">
        <v>1611</v>
      </c>
      <c r="I377" t="s">
        <v>35</v>
      </c>
      <c r="J377" t="s">
        <v>4141</v>
      </c>
      <c r="K377" t="s">
        <v>3368</v>
      </c>
    </row>
    <row r="378" spans="1:11" x14ac:dyDescent="0.2">
      <c r="A378" t="s">
        <v>1645</v>
      </c>
      <c r="B378">
        <f>VALUE(RIGHT(A378,LEN(A378)-3))</f>
        <v>273</v>
      </c>
      <c r="C378">
        <v>1</v>
      </c>
      <c r="D378" t="s">
        <v>32</v>
      </c>
      <c r="E378" t="s">
        <v>1648</v>
      </c>
      <c r="F378" t="s">
        <v>503</v>
      </c>
      <c r="G378" t="s">
        <v>43</v>
      </c>
      <c r="H378" t="s">
        <v>1646</v>
      </c>
      <c r="I378" t="s">
        <v>35</v>
      </c>
      <c r="J378" t="s">
        <v>4141</v>
      </c>
      <c r="K378" t="s">
        <v>3375</v>
      </c>
    </row>
    <row r="379" spans="1:11" x14ac:dyDescent="0.2">
      <c r="A379" t="s">
        <v>1672</v>
      </c>
      <c r="B379">
        <f>VALUE(RIGHT(A379,LEN(A379)-3))</f>
        <v>278</v>
      </c>
      <c r="C379">
        <v>1</v>
      </c>
      <c r="D379" t="s">
        <v>32</v>
      </c>
      <c r="E379" t="s">
        <v>1674</v>
      </c>
      <c r="F379" t="s">
        <v>30</v>
      </c>
      <c r="G379" t="s">
        <v>83</v>
      </c>
      <c r="H379" t="s">
        <v>1673</v>
      </c>
      <c r="I379" t="s">
        <v>35</v>
      </c>
      <c r="J379" t="s">
        <v>4141</v>
      </c>
      <c r="K379" t="s">
        <v>3379</v>
      </c>
    </row>
    <row r="380" spans="1:11" x14ac:dyDescent="0.2">
      <c r="A380" t="s">
        <v>1731</v>
      </c>
      <c r="B380">
        <f>VALUE(RIGHT(A380,LEN(A380)-3))</f>
        <v>289</v>
      </c>
      <c r="C380">
        <v>2</v>
      </c>
      <c r="D380" t="s">
        <v>32</v>
      </c>
      <c r="E380" t="s">
        <v>1734</v>
      </c>
      <c r="F380" t="s">
        <v>503</v>
      </c>
      <c r="G380" t="s">
        <v>43</v>
      </c>
      <c r="H380" t="s">
        <v>1732</v>
      </c>
      <c r="I380" t="s">
        <v>35</v>
      </c>
      <c r="J380" t="s">
        <v>4141</v>
      </c>
      <c r="K380" t="s">
        <v>3390</v>
      </c>
    </row>
    <row r="381" spans="1:11" x14ac:dyDescent="0.2">
      <c r="A381" t="s">
        <v>1745</v>
      </c>
      <c r="B381">
        <f>VALUE(RIGHT(A381,LEN(A381)-3))</f>
        <v>291</v>
      </c>
      <c r="C381">
        <v>2</v>
      </c>
      <c r="D381" t="s">
        <v>32</v>
      </c>
      <c r="E381" t="s">
        <v>1748</v>
      </c>
      <c r="F381" t="s">
        <v>503</v>
      </c>
      <c r="G381" t="s">
        <v>43</v>
      </c>
      <c r="H381" t="s">
        <v>1746</v>
      </c>
      <c r="I381" t="s">
        <v>35</v>
      </c>
      <c r="J381" t="s">
        <v>4141</v>
      </c>
      <c r="K381" t="s">
        <v>3394</v>
      </c>
    </row>
    <row r="382" spans="1:11" x14ac:dyDescent="0.2">
      <c r="A382" t="s">
        <v>1759</v>
      </c>
      <c r="B382">
        <f>VALUE(RIGHT(A382,LEN(A382)-3))</f>
        <v>293</v>
      </c>
      <c r="C382">
        <v>1</v>
      </c>
      <c r="D382" t="s">
        <v>32</v>
      </c>
      <c r="E382" t="s">
        <v>1761</v>
      </c>
      <c r="F382" t="s">
        <v>503</v>
      </c>
      <c r="G382" t="s">
        <v>43</v>
      </c>
      <c r="H382" t="s">
        <v>1760</v>
      </c>
      <c r="I382" t="s">
        <v>35</v>
      </c>
      <c r="J382" t="s">
        <v>4141</v>
      </c>
      <c r="K382" t="s">
        <v>3396</v>
      </c>
    </row>
    <row r="383" spans="1:11" x14ac:dyDescent="0.2">
      <c r="A383" t="s">
        <v>1770</v>
      </c>
      <c r="B383">
        <f>VALUE(RIGHT(A383,LEN(A383)-3))</f>
        <v>295</v>
      </c>
      <c r="C383">
        <v>1</v>
      </c>
      <c r="D383" t="s">
        <v>32</v>
      </c>
      <c r="E383" t="s">
        <v>1078</v>
      </c>
      <c r="F383" t="s">
        <v>503</v>
      </c>
      <c r="G383" t="s">
        <v>43</v>
      </c>
      <c r="H383" t="s">
        <v>1765</v>
      </c>
      <c r="I383" t="s">
        <v>35</v>
      </c>
      <c r="J383" t="s">
        <v>4141</v>
      </c>
      <c r="K383" t="s">
        <v>3398</v>
      </c>
    </row>
    <row r="384" spans="1:11" x14ac:dyDescent="0.2">
      <c r="A384" t="s">
        <v>1789</v>
      </c>
      <c r="B384">
        <f>VALUE(RIGHT(A384,LEN(A384)-3))</f>
        <v>299</v>
      </c>
      <c r="C384">
        <v>1</v>
      </c>
      <c r="D384" t="s">
        <v>32</v>
      </c>
      <c r="E384" t="s">
        <v>1791</v>
      </c>
      <c r="F384" t="s">
        <v>602</v>
      </c>
      <c r="G384" t="s">
        <v>43</v>
      </c>
      <c r="H384" t="s">
        <v>1785</v>
      </c>
      <c r="I384" t="s">
        <v>35</v>
      </c>
      <c r="J384" t="s">
        <v>4141</v>
      </c>
      <c r="K384" t="s">
        <v>3403</v>
      </c>
    </row>
    <row r="385" spans="1:11" x14ac:dyDescent="0.2">
      <c r="A385" t="s">
        <v>1794</v>
      </c>
      <c r="B385">
        <f>VALUE(RIGHT(A385,LEN(A385)-3))</f>
        <v>300</v>
      </c>
      <c r="C385">
        <v>1</v>
      </c>
      <c r="D385" t="s">
        <v>32</v>
      </c>
      <c r="E385" t="s">
        <v>1796</v>
      </c>
      <c r="F385" t="s">
        <v>602</v>
      </c>
      <c r="G385" t="s">
        <v>43</v>
      </c>
      <c r="H385" t="s">
        <v>1785</v>
      </c>
      <c r="I385" t="s">
        <v>35</v>
      </c>
      <c r="J385" t="s">
        <v>4141</v>
      </c>
      <c r="K385" t="s">
        <v>3405</v>
      </c>
    </row>
    <row r="386" spans="1:11" x14ac:dyDescent="0.2">
      <c r="A386" t="s">
        <v>1825</v>
      </c>
      <c r="B386">
        <f>VALUE(RIGHT(A386,LEN(A386)-3))</f>
        <v>306</v>
      </c>
      <c r="C386">
        <v>1</v>
      </c>
      <c r="D386" t="s">
        <v>32</v>
      </c>
      <c r="E386" t="s">
        <v>1138</v>
      </c>
      <c r="F386" t="s">
        <v>503</v>
      </c>
      <c r="G386" t="s">
        <v>43</v>
      </c>
      <c r="H386" t="s">
        <v>1826</v>
      </c>
      <c r="I386" t="s">
        <v>35</v>
      </c>
      <c r="J386" t="s">
        <v>4141</v>
      </c>
      <c r="K386" t="s">
        <v>3410</v>
      </c>
    </row>
    <row r="387" spans="1:11" x14ac:dyDescent="0.2">
      <c r="A387" t="s">
        <v>1847</v>
      </c>
      <c r="B387">
        <f>VALUE(RIGHT(A387,LEN(A387)-3))</f>
        <v>310</v>
      </c>
      <c r="C387">
        <v>1</v>
      </c>
      <c r="D387" t="s">
        <v>32</v>
      </c>
      <c r="E387" t="s">
        <v>1078</v>
      </c>
      <c r="F387" t="s">
        <v>503</v>
      </c>
      <c r="G387" t="s">
        <v>43</v>
      </c>
      <c r="H387" t="s">
        <v>1848</v>
      </c>
      <c r="I387" t="s">
        <v>35</v>
      </c>
      <c r="J387" t="s">
        <v>4141</v>
      </c>
      <c r="K387" t="s">
        <v>3413</v>
      </c>
    </row>
    <row r="388" spans="1:11" x14ac:dyDescent="0.2">
      <c r="A388" t="s">
        <v>1899</v>
      </c>
      <c r="B388">
        <f>VALUE(RIGHT(A388,LEN(A388)-3))</f>
        <v>320</v>
      </c>
      <c r="C388">
        <v>1</v>
      </c>
      <c r="D388" t="s">
        <v>32</v>
      </c>
      <c r="E388" t="s">
        <v>1902</v>
      </c>
      <c r="F388" t="s">
        <v>503</v>
      </c>
      <c r="G388" t="s">
        <v>43</v>
      </c>
      <c r="H388" t="s">
        <v>1900</v>
      </c>
      <c r="I388" t="s">
        <v>35</v>
      </c>
      <c r="J388" t="s">
        <v>4141</v>
      </c>
      <c r="K388" t="s">
        <v>3419</v>
      </c>
    </row>
    <row r="389" spans="1:11" x14ac:dyDescent="0.2">
      <c r="A389" t="s">
        <v>1911</v>
      </c>
      <c r="B389">
        <f>VALUE(RIGHT(A389,LEN(A389)-3))</f>
        <v>322</v>
      </c>
      <c r="C389">
        <v>1</v>
      </c>
      <c r="D389" t="s">
        <v>32</v>
      </c>
      <c r="E389" t="s">
        <v>553</v>
      </c>
      <c r="F389" t="s">
        <v>503</v>
      </c>
      <c r="G389" t="s">
        <v>43</v>
      </c>
      <c r="H389" t="s">
        <v>1912</v>
      </c>
      <c r="I389" t="s">
        <v>35</v>
      </c>
      <c r="J389" t="s">
        <v>4141</v>
      </c>
      <c r="K389" t="s">
        <v>3422</v>
      </c>
    </row>
    <row r="390" spans="1:11" x14ac:dyDescent="0.2">
      <c r="A390" t="s">
        <v>1986</v>
      </c>
      <c r="B390">
        <f>VALUE(RIGHT(A390,LEN(A390)-3))</f>
        <v>336</v>
      </c>
      <c r="C390">
        <v>1</v>
      </c>
      <c r="D390" t="s">
        <v>32</v>
      </c>
      <c r="E390" t="s">
        <v>1989</v>
      </c>
      <c r="F390" t="s">
        <v>30</v>
      </c>
      <c r="G390" t="s">
        <v>29</v>
      </c>
      <c r="H390" t="s">
        <v>1987</v>
      </c>
      <c r="I390" t="s">
        <v>35</v>
      </c>
      <c r="J390" t="s">
        <v>4141</v>
      </c>
      <c r="K390" t="s">
        <v>3435</v>
      </c>
    </row>
    <row r="391" spans="1:11" x14ac:dyDescent="0.2">
      <c r="A391" t="s">
        <v>2019</v>
      </c>
      <c r="B391">
        <f>VALUE(RIGHT(A391,LEN(A391)-3))</f>
        <v>341</v>
      </c>
      <c r="C391">
        <v>1</v>
      </c>
      <c r="D391" t="s">
        <v>32</v>
      </c>
      <c r="E391" t="s">
        <v>1663</v>
      </c>
      <c r="F391" t="s">
        <v>503</v>
      </c>
      <c r="G391" t="s">
        <v>43</v>
      </c>
      <c r="H391" t="s">
        <v>2020</v>
      </c>
      <c r="I391" t="s">
        <v>35</v>
      </c>
      <c r="J391" t="s">
        <v>4141</v>
      </c>
      <c r="K391" t="s">
        <v>3441</v>
      </c>
    </row>
    <row r="392" spans="1:11" x14ac:dyDescent="0.2">
      <c r="A392" t="s">
        <v>2034</v>
      </c>
      <c r="B392">
        <f>VALUE(RIGHT(A392,LEN(A392)-3))</f>
        <v>344</v>
      </c>
      <c r="C392">
        <v>1</v>
      </c>
      <c r="D392" t="s">
        <v>32</v>
      </c>
      <c r="E392" t="s">
        <v>2035</v>
      </c>
      <c r="F392" t="s">
        <v>503</v>
      </c>
      <c r="G392" t="s">
        <v>43</v>
      </c>
      <c r="H392" t="s">
        <v>2030</v>
      </c>
      <c r="I392" t="s">
        <v>35</v>
      </c>
      <c r="J392" t="s">
        <v>4141</v>
      </c>
      <c r="K392" t="s">
        <v>3445</v>
      </c>
    </row>
    <row r="393" spans="1:11" x14ac:dyDescent="0.2">
      <c r="A393" t="s">
        <v>2052</v>
      </c>
      <c r="B393">
        <f>VALUE(RIGHT(A393,LEN(A393)-3))</f>
        <v>348</v>
      </c>
      <c r="C393">
        <v>1</v>
      </c>
      <c r="D393" t="s">
        <v>32</v>
      </c>
      <c r="E393" t="s">
        <v>2053</v>
      </c>
      <c r="F393" t="s">
        <v>503</v>
      </c>
      <c r="G393" t="s">
        <v>43</v>
      </c>
      <c r="H393" t="s">
        <v>2049</v>
      </c>
      <c r="I393" t="s">
        <v>35</v>
      </c>
      <c r="J393" t="s">
        <v>4141</v>
      </c>
      <c r="K393" t="s">
        <v>3448</v>
      </c>
    </row>
    <row r="394" spans="1:11" x14ac:dyDescent="0.2">
      <c r="A394" t="s">
        <v>2069</v>
      </c>
      <c r="B394">
        <f>VALUE(RIGHT(A394,LEN(A394)-3))</f>
        <v>351</v>
      </c>
      <c r="C394">
        <v>1</v>
      </c>
      <c r="D394" t="s">
        <v>32</v>
      </c>
      <c r="E394" t="s">
        <v>2071</v>
      </c>
      <c r="F394" t="s">
        <v>503</v>
      </c>
      <c r="G394" t="s">
        <v>43</v>
      </c>
      <c r="H394" t="s">
        <v>2070</v>
      </c>
      <c r="I394" t="s">
        <v>35</v>
      </c>
      <c r="J394" t="s">
        <v>4141</v>
      </c>
      <c r="K394" t="s">
        <v>3450</v>
      </c>
    </row>
    <row r="395" spans="1:11" x14ac:dyDescent="0.2">
      <c r="A395" t="s">
        <v>2101</v>
      </c>
      <c r="B395">
        <f>VALUE(RIGHT(A395,LEN(A395)-3))</f>
        <v>357</v>
      </c>
      <c r="C395">
        <v>1</v>
      </c>
      <c r="D395" t="s">
        <v>32</v>
      </c>
      <c r="E395" t="s">
        <v>2104</v>
      </c>
      <c r="F395" t="s">
        <v>503</v>
      </c>
      <c r="G395" t="s">
        <v>43</v>
      </c>
      <c r="H395" t="s">
        <v>2102</v>
      </c>
      <c r="I395" t="s">
        <v>35</v>
      </c>
      <c r="J395" t="s">
        <v>4141</v>
      </c>
      <c r="K395" t="s">
        <v>3455</v>
      </c>
    </row>
    <row r="396" spans="1:11" x14ac:dyDescent="0.2">
      <c r="A396" t="s">
        <v>2109</v>
      </c>
      <c r="B396">
        <f>VALUE(RIGHT(A396,LEN(A396)-3))</f>
        <v>358</v>
      </c>
      <c r="C396">
        <v>1</v>
      </c>
      <c r="D396" t="s">
        <v>32</v>
      </c>
      <c r="E396" t="s">
        <v>2111</v>
      </c>
      <c r="F396" t="s">
        <v>503</v>
      </c>
      <c r="G396" t="s">
        <v>43</v>
      </c>
      <c r="H396" t="s">
        <v>2110</v>
      </c>
      <c r="I396" t="s">
        <v>35</v>
      </c>
      <c r="J396" t="s">
        <v>4141</v>
      </c>
      <c r="K396" t="s">
        <v>3456</v>
      </c>
    </row>
    <row r="397" spans="1:11" x14ac:dyDescent="0.2">
      <c r="A397" t="s">
        <v>2139</v>
      </c>
      <c r="B397">
        <f>VALUE(RIGHT(A397,LEN(A397)-3))</f>
        <v>364</v>
      </c>
      <c r="C397">
        <v>1</v>
      </c>
      <c r="D397" t="s">
        <v>32</v>
      </c>
      <c r="E397" t="s">
        <v>2142</v>
      </c>
      <c r="F397" t="s">
        <v>602</v>
      </c>
      <c r="G397" t="s">
        <v>43</v>
      </c>
      <c r="H397" t="s">
        <v>2140</v>
      </c>
      <c r="I397" t="s">
        <v>35</v>
      </c>
      <c r="J397" t="s">
        <v>4141</v>
      </c>
      <c r="K397" t="s">
        <v>3460</v>
      </c>
    </row>
    <row r="398" spans="1:11" x14ac:dyDescent="0.2">
      <c r="A398" t="s">
        <v>2268</v>
      </c>
      <c r="B398">
        <f>VALUE(RIGHT(A398,LEN(A398)-3))</f>
        <v>386</v>
      </c>
      <c r="C398">
        <v>1</v>
      </c>
      <c r="D398" t="s">
        <v>32</v>
      </c>
      <c r="E398" t="s">
        <v>2271</v>
      </c>
      <c r="F398" t="s">
        <v>503</v>
      </c>
      <c r="G398" t="s">
        <v>43</v>
      </c>
      <c r="H398" t="s">
        <v>2269</v>
      </c>
      <c r="I398" t="s">
        <v>35</v>
      </c>
      <c r="J398" t="s">
        <v>4141</v>
      </c>
      <c r="K398" t="s">
        <v>3483</v>
      </c>
    </row>
    <row r="399" spans="1:11" x14ac:dyDescent="0.2">
      <c r="A399" t="s">
        <v>2309</v>
      </c>
      <c r="B399">
        <f>VALUE(RIGHT(A399,LEN(A399)-3))</f>
        <v>392</v>
      </c>
      <c r="C399">
        <v>1</v>
      </c>
      <c r="D399" t="s">
        <v>32</v>
      </c>
      <c r="E399" t="s">
        <v>1078</v>
      </c>
      <c r="F399" t="s">
        <v>503</v>
      </c>
      <c r="G399" t="s">
        <v>43</v>
      </c>
      <c r="H399" t="s">
        <v>2310</v>
      </c>
      <c r="I399" t="s">
        <v>35</v>
      </c>
      <c r="J399" t="s">
        <v>4141</v>
      </c>
      <c r="K399" t="s">
        <v>3489</v>
      </c>
    </row>
    <row r="400" spans="1:11" x14ac:dyDescent="0.2">
      <c r="A400" t="s">
        <v>2313</v>
      </c>
      <c r="B400">
        <f>VALUE(RIGHT(A400,LEN(A400)-3))</f>
        <v>393</v>
      </c>
      <c r="C400">
        <v>2</v>
      </c>
      <c r="D400" t="s">
        <v>32</v>
      </c>
      <c r="E400" t="s">
        <v>1748</v>
      </c>
      <c r="F400" t="s">
        <v>503</v>
      </c>
      <c r="G400" t="s">
        <v>43</v>
      </c>
      <c r="H400" t="s">
        <v>2314</v>
      </c>
      <c r="I400" t="s">
        <v>35</v>
      </c>
      <c r="J400" t="s">
        <v>4141</v>
      </c>
      <c r="K400" t="s">
        <v>3491</v>
      </c>
    </row>
    <row r="401" spans="1:11" x14ac:dyDescent="0.2">
      <c r="A401" t="s">
        <v>2319</v>
      </c>
      <c r="B401">
        <f>VALUE(RIGHT(A401,LEN(A401)-3))</f>
        <v>394</v>
      </c>
      <c r="C401">
        <v>2</v>
      </c>
      <c r="D401" t="s">
        <v>32</v>
      </c>
      <c r="E401" t="s">
        <v>1748</v>
      </c>
      <c r="F401" t="s">
        <v>503</v>
      </c>
      <c r="G401" t="s">
        <v>43</v>
      </c>
      <c r="H401" t="s">
        <v>2320</v>
      </c>
      <c r="I401" t="s">
        <v>35</v>
      </c>
      <c r="J401" t="s">
        <v>4141</v>
      </c>
      <c r="K401" t="s">
        <v>3493</v>
      </c>
    </row>
    <row r="402" spans="1:11" x14ac:dyDescent="0.2">
      <c r="A402" t="s">
        <v>2349</v>
      </c>
      <c r="B402">
        <f>VALUE(RIGHT(A402,LEN(A402)-3))</f>
        <v>399</v>
      </c>
      <c r="C402">
        <v>1</v>
      </c>
      <c r="D402" t="s">
        <v>32</v>
      </c>
      <c r="E402" t="s">
        <v>2352</v>
      </c>
      <c r="F402" t="s">
        <v>30</v>
      </c>
      <c r="G402" t="s">
        <v>43</v>
      </c>
      <c r="H402" t="s">
        <v>2350</v>
      </c>
      <c r="I402" t="s">
        <v>35</v>
      </c>
      <c r="J402" t="s">
        <v>4141</v>
      </c>
      <c r="K402" t="s">
        <v>3497</v>
      </c>
    </row>
    <row r="403" spans="1:11" x14ac:dyDescent="0.2">
      <c r="A403" t="s">
        <v>2370</v>
      </c>
      <c r="B403">
        <f>VALUE(RIGHT(A403,LEN(A403)-3))</f>
        <v>402</v>
      </c>
      <c r="C403">
        <v>2</v>
      </c>
      <c r="D403" t="s">
        <v>32</v>
      </c>
      <c r="E403" t="s">
        <v>2372</v>
      </c>
      <c r="F403" t="s">
        <v>30</v>
      </c>
      <c r="G403" t="s">
        <v>54</v>
      </c>
      <c r="H403" t="s">
        <v>2371</v>
      </c>
      <c r="I403" t="s">
        <v>35</v>
      </c>
      <c r="J403" t="s">
        <v>4141</v>
      </c>
      <c r="K403" t="s">
        <v>3501</v>
      </c>
    </row>
    <row r="404" spans="1:11" x14ac:dyDescent="0.2">
      <c r="A404" t="s">
        <v>2387</v>
      </c>
      <c r="B404">
        <f>VALUE(RIGHT(A404,LEN(A404)-3))</f>
        <v>405</v>
      </c>
      <c r="C404">
        <v>1</v>
      </c>
      <c r="D404" t="s">
        <v>32</v>
      </c>
      <c r="E404" t="s">
        <v>2390</v>
      </c>
      <c r="F404" t="s">
        <v>503</v>
      </c>
      <c r="G404" t="s">
        <v>43</v>
      </c>
      <c r="H404" t="s">
        <v>2388</v>
      </c>
      <c r="I404" t="s">
        <v>35</v>
      </c>
      <c r="J404" t="s">
        <v>4141</v>
      </c>
      <c r="K404" t="s">
        <v>3504</v>
      </c>
    </row>
    <row r="405" spans="1:11" x14ac:dyDescent="0.2">
      <c r="A405" t="s">
        <v>2406</v>
      </c>
      <c r="B405">
        <f>VALUE(RIGHT(A405,LEN(A405)-3))</f>
        <v>408</v>
      </c>
      <c r="C405">
        <v>1</v>
      </c>
      <c r="D405" t="s">
        <v>32</v>
      </c>
      <c r="E405" t="s">
        <v>2410</v>
      </c>
      <c r="F405" t="s">
        <v>503</v>
      </c>
      <c r="G405" t="s">
        <v>43</v>
      </c>
      <c r="H405" t="s">
        <v>2407</v>
      </c>
      <c r="I405" t="s">
        <v>35</v>
      </c>
      <c r="J405" t="s">
        <v>4141</v>
      </c>
      <c r="K405" t="s">
        <v>3507</v>
      </c>
    </row>
    <row r="406" spans="1:11" x14ac:dyDescent="0.2">
      <c r="A406" t="s">
        <v>2475</v>
      </c>
      <c r="B406">
        <f>VALUE(RIGHT(A406,LEN(A406)-3))</f>
        <v>420</v>
      </c>
      <c r="C406">
        <v>1</v>
      </c>
      <c r="D406" t="s">
        <v>32</v>
      </c>
      <c r="E406" t="s">
        <v>1138</v>
      </c>
      <c r="F406" t="s">
        <v>503</v>
      </c>
      <c r="G406" t="s">
        <v>43</v>
      </c>
      <c r="H406" t="s">
        <v>2476</v>
      </c>
      <c r="I406" t="s">
        <v>35</v>
      </c>
      <c r="J406" t="s">
        <v>4141</v>
      </c>
      <c r="K406" t="s">
        <v>3518</v>
      </c>
    </row>
    <row r="407" spans="1:11" x14ac:dyDescent="0.2">
      <c r="A407" t="s">
        <v>2498</v>
      </c>
      <c r="B407">
        <f>VALUE(RIGHT(A407,LEN(A407)-3))</f>
        <v>424</v>
      </c>
      <c r="C407">
        <v>1</v>
      </c>
      <c r="D407" t="s">
        <v>32</v>
      </c>
      <c r="E407" t="s">
        <v>1078</v>
      </c>
      <c r="F407" t="s">
        <v>503</v>
      </c>
      <c r="G407" t="s">
        <v>43</v>
      </c>
      <c r="H407" t="s">
        <v>2499</v>
      </c>
      <c r="I407" t="s">
        <v>35</v>
      </c>
      <c r="J407" t="s">
        <v>4141</v>
      </c>
      <c r="K407" t="s">
        <v>3524</v>
      </c>
    </row>
    <row r="408" spans="1:11" x14ac:dyDescent="0.2">
      <c r="A408" t="s">
        <v>2533</v>
      </c>
      <c r="B408">
        <f>VALUE(RIGHT(A408,LEN(A408)-3))</f>
        <v>431</v>
      </c>
      <c r="C408">
        <v>1</v>
      </c>
      <c r="D408" t="s">
        <v>32</v>
      </c>
      <c r="E408" t="s">
        <v>1078</v>
      </c>
      <c r="F408" t="s">
        <v>503</v>
      </c>
      <c r="G408" t="s">
        <v>43</v>
      </c>
      <c r="H408" t="s">
        <v>2534</v>
      </c>
      <c r="I408" t="s">
        <v>35</v>
      </c>
      <c r="J408" t="s">
        <v>4141</v>
      </c>
      <c r="K408" t="s">
        <v>3529</v>
      </c>
    </row>
    <row r="409" spans="1:11" x14ac:dyDescent="0.2">
      <c r="A409" t="s">
        <v>2538</v>
      </c>
      <c r="B409">
        <f>VALUE(RIGHT(A409,LEN(A409)-3))</f>
        <v>432</v>
      </c>
      <c r="C409">
        <v>1</v>
      </c>
      <c r="D409" t="s">
        <v>32</v>
      </c>
      <c r="E409" t="s">
        <v>1314</v>
      </c>
      <c r="F409" t="s">
        <v>602</v>
      </c>
      <c r="G409" t="s">
        <v>43</v>
      </c>
      <c r="H409" t="s">
        <v>2539</v>
      </c>
      <c r="I409" t="s">
        <v>35</v>
      </c>
      <c r="J409" t="s">
        <v>4141</v>
      </c>
      <c r="K409" t="s">
        <v>3530</v>
      </c>
    </row>
    <row r="410" spans="1:11" x14ac:dyDescent="0.2">
      <c r="A410" t="s">
        <v>2566</v>
      </c>
      <c r="B410">
        <f>VALUE(RIGHT(A410,LEN(A410)-3))</f>
        <v>437</v>
      </c>
      <c r="C410">
        <v>1</v>
      </c>
      <c r="D410" t="s">
        <v>32</v>
      </c>
      <c r="E410" t="s">
        <v>2569</v>
      </c>
      <c r="F410" t="s">
        <v>503</v>
      </c>
      <c r="G410" t="s">
        <v>43</v>
      </c>
      <c r="H410" t="s">
        <v>2567</v>
      </c>
      <c r="I410" t="s">
        <v>35</v>
      </c>
      <c r="J410" t="s">
        <v>4141</v>
      </c>
      <c r="K410" t="s">
        <v>3534</v>
      </c>
    </row>
    <row r="411" spans="1:11" x14ac:dyDescent="0.2">
      <c r="A411" t="s">
        <v>2573</v>
      </c>
      <c r="B411">
        <f>VALUE(RIGHT(A411,LEN(A411)-3))</f>
        <v>438</v>
      </c>
      <c r="C411">
        <v>1</v>
      </c>
      <c r="D411" t="s">
        <v>32</v>
      </c>
      <c r="E411" t="s">
        <v>2575</v>
      </c>
      <c r="F411" t="s">
        <v>503</v>
      </c>
      <c r="G411" t="s">
        <v>43</v>
      </c>
      <c r="H411" t="s">
        <v>2574</v>
      </c>
      <c r="I411" t="s">
        <v>35</v>
      </c>
      <c r="J411" t="s">
        <v>4141</v>
      </c>
      <c r="K411" t="s">
        <v>3535</v>
      </c>
    </row>
    <row r="412" spans="1:11" x14ac:dyDescent="0.2">
      <c r="A412" t="s">
        <v>2583</v>
      </c>
      <c r="B412">
        <f>VALUE(RIGHT(A412,LEN(A412)-3))</f>
        <v>440</v>
      </c>
      <c r="C412">
        <v>1</v>
      </c>
      <c r="D412" t="s">
        <v>32</v>
      </c>
      <c r="E412" t="s">
        <v>2585</v>
      </c>
      <c r="F412" t="s">
        <v>30</v>
      </c>
      <c r="G412" t="s">
        <v>43</v>
      </c>
      <c r="H412" t="s">
        <v>2584</v>
      </c>
      <c r="I412" t="s">
        <v>35</v>
      </c>
      <c r="J412" t="s">
        <v>4141</v>
      </c>
      <c r="K412" t="s">
        <v>3537</v>
      </c>
    </row>
    <row r="413" spans="1:11" x14ac:dyDescent="0.2">
      <c r="A413" t="s">
        <v>2730</v>
      </c>
      <c r="B413">
        <f>VALUE(RIGHT(A413,LEN(A413)-3))</f>
        <v>467</v>
      </c>
      <c r="C413">
        <v>1</v>
      </c>
      <c r="D413" t="s">
        <v>32</v>
      </c>
      <c r="E413" t="s">
        <v>2732</v>
      </c>
      <c r="F413" t="s">
        <v>503</v>
      </c>
      <c r="G413" t="s">
        <v>43</v>
      </c>
      <c r="H413" t="s">
        <v>2731</v>
      </c>
      <c r="I413" t="s">
        <v>35</v>
      </c>
      <c r="J413" t="s">
        <v>4141</v>
      </c>
      <c r="K413" t="s">
        <v>3560</v>
      </c>
    </row>
    <row r="414" spans="1:11" x14ac:dyDescent="0.2">
      <c r="A414" t="s">
        <v>2787</v>
      </c>
      <c r="B414">
        <f>VALUE(RIGHT(A414,LEN(A414)-3))</f>
        <v>478</v>
      </c>
      <c r="C414">
        <v>2</v>
      </c>
      <c r="D414" t="s">
        <v>32</v>
      </c>
      <c r="E414" t="s">
        <v>2791</v>
      </c>
      <c r="F414" t="s">
        <v>503</v>
      </c>
      <c r="G414" t="s">
        <v>43</v>
      </c>
      <c r="H414" t="s">
        <v>2788</v>
      </c>
      <c r="I414" t="s">
        <v>35</v>
      </c>
      <c r="J414" t="s">
        <v>4141</v>
      </c>
      <c r="K414" t="s">
        <v>3570</v>
      </c>
    </row>
    <row r="415" spans="1:11" x14ac:dyDescent="0.2">
      <c r="A415" t="s">
        <v>2812</v>
      </c>
      <c r="B415">
        <f>VALUE(RIGHT(A415,LEN(A415)-3))</f>
        <v>482</v>
      </c>
      <c r="C415">
        <v>1</v>
      </c>
      <c r="D415" t="s">
        <v>32</v>
      </c>
      <c r="E415" t="s">
        <v>2815</v>
      </c>
      <c r="F415" t="s">
        <v>602</v>
      </c>
      <c r="G415" t="s">
        <v>43</v>
      </c>
      <c r="H415" t="s">
        <v>2813</v>
      </c>
      <c r="I415" t="s">
        <v>35</v>
      </c>
      <c r="J415" t="s">
        <v>4141</v>
      </c>
      <c r="K415" t="s">
        <v>3573</v>
      </c>
    </row>
    <row r="416" spans="1:11" x14ac:dyDescent="0.2">
      <c r="A416" t="s">
        <v>2824</v>
      </c>
      <c r="B416">
        <f>VALUE(RIGHT(A416,LEN(A416)-3))</f>
        <v>484</v>
      </c>
      <c r="C416">
        <v>1</v>
      </c>
      <c r="D416" t="s">
        <v>32</v>
      </c>
      <c r="E416" t="s">
        <v>2826</v>
      </c>
      <c r="F416" t="s">
        <v>30</v>
      </c>
      <c r="G416" t="s">
        <v>43</v>
      </c>
      <c r="H416" t="s">
        <v>2825</v>
      </c>
      <c r="I416" t="s">
        <v>35</v>
      </c>
      <c r="J416" t="s">
        <v>4141</v>
      </c>
      <c r="K416" t="s">
        <v>3575</v>
      </c>
    </row>
    <row r="417" spans="1:11" x14ac:dyDescent="0.2">
      <c r="A417" t="s">
        <v>2829</v>
      </c>
      <c r="B417">
        <f>VALUE(RIGHT(A417,LEN(A417)-3))</f>
        <v>485</v>
      </c>
      <c r="C417">
        <v>2</v>
      </c>
      <c r="D417" t="s">
        <v>32</v>
      </c>
      <c r="E417" t="s">
        <v>2832</v>
      </c>
      <c r="F417" t="s">
        <v>503</v>
      </c>
      <c r="G417" t="s">
        <v>43</v>
      </c>
      <c r="H417" t="s">
        <v>2830</v>
      </c>
      <c r="I417" t="s">
        <v>35</v>
      </c>
      <c r="J417" t="s">
        <v>4141</v>
      </c>
      <c r="K417" t="s">
        <v>3577</v>
      </c>
    </row>
    <row r="418" spans="1:11" x14ac:dyDescent="0.2">
      <c r="A418" t="s">
        <v>2836</v>
      </c>
      <c r="B418">
        <f>VALUE(RIGHT(A418,LEN(A418)-3))</f>
        <v>486</v>
      </c>
      <c r="C418">
        <v>1</v>
      </c>
      <c r="D418" t="s">
        <v>32</v>
      </c>
      <c r="E418" t="s">
        <v>2839</v>
      </c>
      <c r="F418" t="s">
        <v>503</v>
      </c>
      <c r="G418" t="s">
        <v>43</v>
      </c>
      <c r="H418" t="s">
        <v>2837</v>
      </c>
      <c r="I418" t="s">
        <v>35</v>
      </c>
      <c r="J418" t="s">
        <v>4141</v>
      </c>
      <c r="K418" t="s">
        <v>3578</v>
      </c>
    </row>
    <row r="419" spans="1:11" x14ac:dyDescent="0.2">
      <c r="A419" t="s">
        <v>2879</v>
      </c>
      <c r="B419">
        <f>VALUE(RIGHT(A419,LEN(A419)-3))</f>
        <v>495</v>
      </c>
      <c r="C419">
        <v>1</v>
      </c>
      <c r="D419" t="s">
        <v>32</v>
      </c>
      <c r="E419" t="s">
        <v>2881</v>
      </c>
      <c r="F419" t="s">
        <v>503</v>
      </c>
      <c r="G419" t="s">
        <v>43</v>
      </c>
      <c r="H419" t="s">
        <v>2880</v>
      </c>
      <c r="I419" t="s">
        <v>35</v>
      </c>
      <c r="J419" t="s">
        <v>4141</v>
      </c>
      <c r="K419" t="s">
        <v>3584</v>
      </c>
    </row>
    <row r="420" spans="1:11" x14ac:dyDescent="0.2">
      <c r="A420" t="s">
        <v>2891</v>
      </c>
      <c r="B420">
        <f>VALUE(RIGHT(A420,LEN(A420)-3))</f>
        <v>497</v>
      </c>
      <c r="C420">
        <v>1</v>
      </c>
      <c r="D420" t="s">
        <v>32</v>
      </c>
      <c r="E420" t="s">
        <v>2894</v>
      </c>
      <c r="F420" t="s">
        <v>503</v>
      </c>
      <c r="G420" t="s">
        <v>43</v>
      </c>
      <c r="H420" t="s">
        <v>2892</v>
      </c>
      <c r="I420" t="s">
        <v>35</v>
      </c>
      <c r="J420" t="s">
        <v>4141</v>
      </c>
      <c r="K420" t="s">
        <v>3586</v>
      </c>
    </row>
    <row r="421" spans="1:11" x14ac:dyDescent="0.2">
      <c r="A421" t="s">
        <v>2936</v>
      </c>
      <c r="B421">
        <f>VALUE(RIGHT(A421,LEN(A421)-3))</f>
        <v>505</v>
      </c>
      <c r="C421">
        <v>1</v>
      </c>
      <c r="D421" t="s">
        <v>32</v>
      </c>
      <c r="E421" t="s">
        <v>2938</v>
      </c>
      <c r="F421" t="s">
        <v>503</v>
      </c>
      <c r="G421" t="s">
        <v>43</v>
      </c>
      <c r="H421" t="s">
        <v>2937</v>
      </c>
      <c r="I421" t="s">
        <v>35</v>
      </c>
      <c r="J421" t="s">
        <v>4141</v>
      </c>
      <c r="K421" t="s">
        <v>3591</v>
      </c>
    </row>
    <row r="422" spans="1:11" x14ac:dyDescent="0.2">
      <c r="A422" t="s">
        <v>2947</v>
      </c>
      <c r="B422">
        <f>VALUE(RIGHT(A422,LEN(A422)-3))</f>
        <v>507</v>
      </c>
      <c r="C422">
        <v>1</v>
      </c>
      <c r="D422" t="s">
        <v>32</v>
      </c>
      <c r="E422" t="s">
        <v>2949</v>
      </c>
      <c r="F422" t="s">
        <v>503</v>
      </c>
      <c r="G422" t="s">
        <v>43</v>
      </c>
      <c r="H422" t="s">
        <v>2948</v>
      </c>
      <c r="I422" t="s">
        <v>35</v>
      </c>
      <c r="J422" t="s">
        <v>4141</v>
      </c>
      <c r="K422" t="s">
        <v>3593</v>
      </c>
    </row>
    <row r="423" spans="1:11" x14ac:dyDescent="0.2">
      <c r="A423" t="s">
        <v>2980</v>
      </c>
      <c r="B423">
        <f>VALUE(RIGHT(A423,LEN(A423)-3))</f>
        <v>513</v>
      </c>
      <c r="C423">
        <v>1</v>
      </c>
      <c r="D423" t="s">
        <v>32</v>
      </c>
      <c r="E423" t="s">
        <v>2982</v>
      </c>
      <c r="F423" t="s">
        <v>30</v>
      </c>
      <c r="G423" t="s">
        <v>29</v>
      </c>
      <c r="H423" t="s">
        <v>2981</v>
      </c>
      <c r="I423" t="s">
        <v>35</v>
      </c>
      <c r="J423" t="s">
        <v>4141</v>
      </c>
      <c r="K423" t="s">
        <v>3597</v>
      </c>
    </row>
    <row r="424" spans="1:11" x14ac:dyDescent="0.2">
      <c r="A424" t="s">
        <v>3018</v>
      </c>
      <c r="B424">
        <f>VALUE(RIGHT(A424,LEN(A424)-3))</f>
        <v>521</v>
      </c>
      <c r="C424">
        <v>1</v>
      </c>
      <c r="D424" t="s">
        <v>32</v>
      </c>
      <c r="E424" t="s">
        <v>3021</v>
      </c>
      <c r="F424" t="s">
        <v>503</v>
      </c>
      <c r="G424" t="s">
        <v>43</v>
      </c>
      <c r="H424" t="s">
        <v>3019</v>
      </c>
      <c r="I424" t="s">
        <v>35</v>
      </c>
      <c r="J424" t="s">
        <v>4141</v>
      </c>
      <c r="K424" t="s">
        <v>3603</v>
      </c>
    </row>
    <row r="425" spans="1:11" x14ac:dyDescent="0.2">
      <c r="A425" t="s">
        <v>3065</v>
      </c>
      <c r="B425">
        <f>VALUE(RIGHT(A425,LEN(A425)-3))</f>
        <v>529</v>
      </c>
      <c r="C425">
        <v>1</v>
      </c>
      <c r="D425" t="s">
        <v>32</v>
      </c>
      <c r="E425" t="s">
        <v>3067</v>
      </c>
      <c r="F425" t="s">
        <v>30</v>
      </c>
      <c r="G425" t="s">
        <v>43</v>
      </c>
      <c r="H425" t="s">
        <v>3066</v>
      </c>
      <c r="I425" t="s">
        <v>35</v>
      </c>
      <c r="J425" t="s">
        <v>4141</v>
      </c>
      <c r="K425" t="s">
        <v>3610</v>
      </c>
    </row>
    <row r="426" spans="1:11" x14ac:dyDescent="0.2">
      <c r="A426" t="s">
        <v>3092</v>
      </c>
      <c r="B426">
        <f>VALUE(RIGHT(A426,LEN(A426)-3))</f>
        <v>534</v>
      </c>
      <c r="C426">
        <v>1</v>
      </c>
      <c r="D426" t="s">
        <v>32</v>
      </c>
      <c r="E426" t="s">
        <v>3094</v>
      </c>
      <c r="F426" t="s">
        <v>30</v>
      </c>
      <c r="G426" t="s">
        <v>83</v>
      </c>
      <c r="H426" t="s">
        <v>3093</v>
      </c>
      <c r="I426" t="s">
        <v>35</v>
      </c>
      <c r="J426" t="s">
        <v>4141</v>
      </c>
      <c r="K426" t="s">
        <v>3616</v>
      </c>
    </row>
    <row r="427" spans="1:11" x14ac:dyDescent="0.2">
      <c r="A427" t="s">
        <v>3103</v>
      </c>
      <c r="B427">
        <f>VALUE(RIGHT(A427,LEN(A427)-3))</f>
        <v>536</v>
      </c>
      <c r="C427">
        <v>1</v>
      </c>
      <c r="D427" t="s">
        <v>32</v>
      </c>
      <c r="E427" t="s">
        <v>3104</v>
      </c>
      <c r="F427" t="s">
        <v>503</v>
      </c>
      <c r="G427" t="s">
        <v>83</v>
      </c>
      <c r="H427" t="s">
        <v>3099</v>
      </c>
      <c r="I427" t="s">
        <v>35</v>
      </c>
      <c r="J427" t="s">
        <v>4141</v>
      </c>
      <c r="K427" t="s">
        <v>3617</v>
      </c>
    </row>
    <row r="428" spans="1:11" x14ac:dyDescent="0.2">
      <c r="A428" t="s">
        <v>3103</v>
      </c>
      <c r="B428">
        <f>VALUE(RIGHT(A428,LEN(A428)-3))</f>
        <v>536</v>
      </c>
      <c r="C428">
        <v>2</v>
      </c>
      <c r="D428" t="s">
        <v>32</v>
      </c>
      <c r="E428" t="s">
        <v>3104</v>
      </c>
      <c r="F428" t="s">
        <v>503</v>
      </c>
      <c r="G428" t="s">
        <v>83</v>
      </c>
      <c r="H428" t="s">
        <v>3099</v>
      </c>
      <c r="I428" t="s">
        <v>35</v>
      </c>
      <c r="J428" t="s">
        <v>4141</v>
      </c>
      <c r="K428" t="s">
        <v>3618</v>
      </c>
    </row>
    <row r="429" spans="1:11" x14ac:dyDescent="0.2">
      <c r="A429" t="s">
        <v>25</v>
      </c>
      <c r="B429">
        <f>VALUE(RIGHT(A429,LEN(A429)-3))</f>
        <v>1</v>
      </c>
      <c r="C429">
        <v>1</v>
      </c>
      <c r="D429" t="s">
        <v>32</v>
      </c>
      <c r="E429" t="s">
        <v>33</v>
      </c>
      <c r="F429" t="s">
        <v>30</v>
      </c>
      <c r="G429" t="s">
        <v>29</v>
      </c>
      <c r="H429" t="s">
        <v>26</v>
      </c>
      <c r="I429" t="s">
        <v>35</v>
      </c>
      <c r="J429" t="s">
        <v>4142</v>
      </c>
      <c r="K429" t="s">
        <v>3118</v>
      </c>
    </row>
    <row r="430" spans="1:11" x14ac:dyDescent="0.2">
      <c r="A430" t="s">
        <v>63</v>
      </c>
      <c r="B430">
        <f>VALUE(RIGHT(A430,LEN(A430)-3))</f>
        <v>4</v>
      </c>
      <c r="C430">
        <v>1</v>
      </c>
      <c r="D430" t="s">
        <v>32</v>
      </c>
      <c r="E430" t="s">
        <v>66</v>
      </c>
      <c r="F430" t="s">
        <v>30</v>
      </c>
      <c r="G430" t="s">
        <v>43</v>
      </c>
      <c r="H430" t="s">
        <v>64</v>
      </c>
      <c r="I430" t="s">
        <v>35</v>
      </c>
      <c r="J430" t="s">
        <v>4142</v>
      </c>
      <c r="K430" t="s">
        <v>3120</v>
      </c>
    </row>
    <row r="431" spans="1:11" x14ac:dyDescent="0.2">
      <c r="A431" t="s">
        <v>161</v>
      </c>
      <c r="B431">
        <f>VALUE(RIGHT(A431,LEN(A431)-3))</f>
        <v>17</v>
      </c>
      <c r="C431">
        <v>1</v>
      </c>
      <c r="D431" t="s">
        <v>32</v>
      </c>
      <c r="E431" t="s">
        <v>164</v>
      </c>
      <c r="F431" t="s">
        <v>30</v>
      </c>
      <c r="G431" t="s">
        <v>54</v>
      </c>
      <c r="H431" t="s">
        <v>162</v>
      </c>
      <c r="I431" t="s">
        <v>35</v>
      </c>
      <c r="J431" t="s">
        <v>4142</v>
      </c>
      <c r="K431" t="s">
        <v>3134</v>
      </c>
    </row>
    <row r="432" spans="1:11" x14ac:dyDescent="0.2">
      <c r="A432" t="s">
        <v>336</v>
      </c>
      <c r="B432">
        <f>VALUE(RIGHT(A432,LEN(A432)-3))</f>
        <v>44</v>
      </c>
      <c r="C432">
        <v>1</v>
      </c>
      <c r="D432" t="s">
        <v>32</v>
      </c>
      <c r="E432" t="s">
        <v>339</v>
      </c>
      <c r="F432" t="s">
        <v>30</v>
      </c>
      <c r="G432" t="s">
        <v>43</v>
      </c>
      <c r="H432" t="s">
        <v>337</v>
      </c>
      <c r="I432" t="s">
        <v>35</v>
      </c>
      <c r="J432" t="s">
        <v>4142</v>
      </c>
      <c r="K432" t="s">
        <v>3158</v>
      </c>
    </row>
    <row r="433" spans="1:11" x14ac:dyDescent="0.2">
      <c r="A433" t="s">
        <v>371</v>
      </c>
      <c r="B433">
        <f>VALUE(RIGHT(A433,LEN(A433)-3))</f>
        <v>49</v>
      </c>
      <c r="C433">
        <v>1</v>
      </c>
      <c r="D433" t="s">
        <v>32</v>
      </c>
      <c r="E433" t="s">
        <v>374</v>
      </c>
      <c r="F433" t="s">
        <v>30</v>
      </c>
      <c r="G433" t="s">
        <v>83</v>
      </c>
      <c r="H433" t="s">
        <v>372</v>
      </c>
      <c r="I433" t="s">
        <v>35</v>
      </c>
      <c r="J433" t="s">
        <v>4142</v>
      </c>
      <c r="K433" t="s">
        <v>3162</v>
      </c>
    </row>
    <row r="434" spans="1:11" x14ac:dyDescent="0.2">
      <c r="A434" t="s">
        <v>400</v>
      </c>
      <c r="B434">
        <f>VALUE(RIGHT(A434,LEN(A434)-3))</f>
        <v>54</v>
      </c>
      <c r="C434">
        <v>1</v>
      </c>
      <c r="D434" t="s">
        <v>32</v>
      </c>
      <c r="E434" t="s">
        <v>403</v>
      </c>
      <c r="F434" t="s">
        <v>30</v>
      </c>
      <c r="G434" t="s">
        <v>43</v>
      </c>
      <c r="H434" t="s">
        <v>401</v>
      </c>
      <c r="I434" t="s">
        <v>35</v>
      </c>
      <c r="J434" t="s">
        <v>4142</v>
      </c>
      <c r="K434" t="s">
        <v>3167</v>
      </c>
    </row>
    <row r="435" spans="1:11" x14ac:dyDescent="0.2">
      <c r="A435" t="s">
        <v>755</v>
      </c>
      <c r="B435">
        <f>VALUE(RIGHT(A435,LEN(A435)-3))</f>
        <v>112</v>
      </c>
      <c r="C435">
        <v>1</v>
      </c>
      <c r="D435" t="s">
        <v>32</v>
      </c>
      <c r="E435" t="s">
        <v>757</v>
      </c>
      <c r="F435" t="s">
        <v>30</v>
      </c>
      <c r="G435" t="s">
        <v>83</v>
      </c>
      <c r="H435" t="s">
        <v>756</v>
      </c>
      <c r="I435" t="s">
        <v>35</v>
      </c>
      <c r="J435" t="s">
        <v>4142</v>
      </c>
      <c r="K435" t="s">
        <v>3216</v>
      </c>
    </row>
    <row r="436" spans="1:11" x14ac:dyDescent="0.2">
      <c r="A436" t="s">
        <v>773</v>
      </c>
      <c r="B436">
        <f>VALUE(RIGHT(A436,LEN(A436)-3))</f>
        <v>115</v>
      </c>
      <c r="C436">
        <v>1</v>
      </c>
      <c r="D436" t="s">
        <v>32</v>
      </c>
      <c r="E436" t="s">
        <v>776</v>
      </c>
      <c r="F436" t="s">
        <v>30</v>
      </c>
      <c r="G436" t="s">
        <v>43</v>
      </c>
      <c r="H436" t="s">
        <v>774</v>
      </c>
      <c r="I436" t="s">
        <v>35</v>
      </c>
      <c r="J436" t="s">
        <v>4142</v>
      </c>
      <c r="K436" t="s">
        <v>3220</v>
      </c>
    </row>
    <row r="437" spans="1:11" x14ac:dyDescent="0.2">
      <c r="A437" t="s">
        <v>863</v>
      </c>
      <c r="B437">
        <f>VALUE(RIGHT(A437,LEN(A437)-3))</f>
        <v>131</v>
      </c>
      <c r="C437">
        <v>1</v>
      </c>
      <c r="D437" t="s">
        <v>32</v>
      </c>
      <c r="E437" t="s">
        <v>865</v>
      </c>
      <c r="F437" t="s">
        <v>30</v>
      </c>
      <c r="G437" t="s">
        <v>29</v>
      </c>
      <c r="H437" t="s">
        <v>864</v>
      </c>
      <c r="I437" t="s">
        <v>35</v>
      </c>
      <c r="J437" t="s">
        <v>4142</v>
      </c>
      <c r="K437" t="s">
        <v>3234</v>
      </c>
    </row>
    <row r="438" spans="1:11" x14ac:dyDescent="0.2">
      <c r="A438" t="s">
        <v>1276</v>
      </c>
      <c r="B438">
        <f>VALUE(RIGHT(A438,LEN(A438)-3))</f>
        <v>203</v>
      </c>
      <c r="C438">
        <v>1</v>
      </c>
      <c r="D438" t="s">
        <v>32</v>
      </c>
      <c r="E438" t="s">
        <v>1279</v>
      </c>
      <c r="F438" t="s">
        <v>503</v>
      </c>
      <c r="G438" t="s">
        <v>43</v>
      </c>
      <c r="H438" t="s">
        <v>1277</v>
      </c>
      <c r="I438" t="s">
        <v>35</v>
      </c>
      <c r="J438" t="s">
        <v>4142</v>
      </c>
      <c r="K438" t="s">
        <v>3301</v>
      </c>
    </row>
    <row r="439" spans="1:11" x14ac:dyDescent="0.2">
      <c r="A439" t="s">
        <v>1455</v>
      </c>
      <c r="B439">
        <f>VALUE(RIGHT(A439,LEN(A439)-3))</f>
        <v>236</v>
      </c>
      <c r="C439">
        <v>1</v>
      </c>
      <c r="D439" t="s">
        <v>32</v>
      </c>
      <c r="E439" t="s">
        <v>1457</v>
      </c>
      <c r="F439" t="s">
        <v>602</v>
      </c>
      <c r="G439" t="s">
        <v>43</v>
      </c>
      <c r="H439" t="s">
        <v>1456</v>
      </c>
      <c r="I439" t="s">
        <v>35</v>
      </c>
      <c r="J439" t="s">
        <v>4142</v>
      </c>
      <c r="K439" t="s">
        <v>3336</v>
      </c>
    </row>
    <row r="440" spans="1:11" x14ac:dyDescent="0.2">
      <c r="A440" t="s">
        <v>1639</v>
      </c>
      <c r="B440">
        <f>VALUE(RIGHT(A440,LEN(A440)-3))</f>
        <v>272</v>
      </c>
      <c r="C440">
        <v>1</v>
      </c>
      <c r="D440" t="s">
        <v>32</v>
      </c>
      <c r="E440" t="s">
        <v>1641</v>
      </c>
      <c r="F440" t="s">
        <v>503</v>
      </c>
      <c r="G440" t="s">
        <v>43</v>
      </c>
      <c r="H440" t="s">
        <v>1640</v>
      </c>
      <c r="I440" t="s">
        <v>35</v>
      </c>
      <c r="J440" t="s">
        <v>4142</v>
      </c>
      <c r="K440" t="s">
        <v>3373</v>
      </c>
    </row>
    <row r="441" spans="1:11" x14ac:dyDescent="0.2">
      <c r="A441" t="s">
        <v>1682</v>
      </c>
      <c r="B441">
        <f>VALUE(RIGHT(A441,LEN(A441)-3))</f>
        <v>280</v>
      </c>
      <c r="C441">
        <v>1</v>
      </c>
      <c r="D441" t="s">
        <v>32</v>
      </c>
      <c r="E441" t="s">
        <v>1684</v>
      </c>
      <c r="F441" t="s">
        <v>503</v>
      </c>
      <c r="G441" t="s">
        <v>43</v>
      </c>
      <c r="H441" t="s">
        <v>1683</v>
      </c>
      <c r="I441" t="s">
        <v>35</v>
      </c>
      <c r="J441" t="s">
        <v>4142</v>
      </c>
      <c r="K441" t="s">
        <v>3381</v>
      </c>
    </row>
    <row r="442" spans="1:11" x14ac:dyDescent="0.2">
      <c r="A442" t="s">
        <v>1688</v>
      </c>
      <c r="B442">
        <f>VALUE(RIGHT(A442,LEN(A442)-3))</f>
        <v>281</v>
      </c>
      <c r="C442">
        <v>1</v>
      </c>
      <c r="D442" t="s">
        <v>32</v>
      </c>
      <c r="E442" t="s">
        <v>865</v>
      </c>
      <c r="F442" t="s">
        <v>30</v>
      </c>
      <c r="G442" t="s">
        <v>29</v>
      </c>
      <c r="H442" t="s">
        <v>1689</v>
      </c>
      <c r="I442" t="s">
        <v>35</v>
      </c>
      <c r="J442" t="s">
        <v>4142</v>
      </c>
      <c r="K442" t="s">
        <v>3382</v>
      </c>
    </row>
    <row r="443" spans="1:11" x14ac:dyDescent="0.2">
      <c r="A443" t="s">
        <v>1711</v>
      </c>
      <c r="B443">
        <f>VALUE(RIGHT(A443,LEN(A443)-3))</f>
        <v>285</v>
      </c>
      <c r="C443">
        <v>2</v>
      </c>
      <c r="D443" t="s">
        <v>32</v>
      </c>
      <c r="E443" t="s">
        <v>1713</v>
      </c>
      <c r="F443" t="s">
        <v>503</v>
      </c>
      <c r="G443" t="s">
        <v>43</v>
      </c>
      <c r="H443" t="s">
        <v>1712</v>
      </c>
      <c r="I443" t="s">
        <v>35</v>
      </c>
      <c r="J443" t="s">
        <v>4142</v>
      </c>
      <c r="K443" t="s">
        <v>3386</v>
      </c>
    </row>
    <row r="444" spans="1:11" x14ac:dyDescent="0.2">
      <c r="A444" t="s">
        <v>1855</v>
      </c>
      <c r="B444">
        <f>VALUE(RIGHT(A444,LEN(A444)-3))</f>
        <v>312</v>
      </c>
      <c r="C444">
        <v>1</v>
      </c>
      <c r="D444" t="s">
        <v>32</v>
      </c>
      <c r="E444" t="s">
        <v>1857</v>
      </c>
      <c r="F444" t="s">
        <v>503</v>
      </c>
      <c r="G444" t="s">
        <v>43</v>
      </c>
      <c r="H444" t="s">
        <v>1856</v>
      </c>
      <c r="I444" t="s">
        <v>35</v>
      </c>
      <c r="J444" t="s">
        <v>4142</v>
      </c>
      <c r="K444" t="s">
        <v>3414</v>
      </c>
    </row>
    <row r="445" spans="1:11" x14ac:dyDescent="0.2">
      <c r="A445" t="s">
        <v>2177</v>
      </c>
      <c r="B445">
        <f>VALUE(RIGHT(A445,LEN(A445)-3))</f>
        <v>371</v>
      </c>
      <c r="C445">
        <v>1</v>
      </c>
      <c r="D445" t="s">
        <v>32</v>
      </c>
      <c r="E445" t="s">
        <v>2180</v>
      </c>
      <c r="F445" t="s">
        <v>602</v>
      </c>
      <c r="G445" t="s">
        <v>43</v>
      </c>
      <c r="H445" t="s">
        <v>2178</v>
      </c>
      <c r="I445" t="s">
        <v>35</v>
      </c>
      <c r="J445" t="s">
        <v>4142</v>
      </c>
      <c r="K445" t="s">
        <v>3465</v>
      </c>
    </row>
    <row r="446" spans="1:11" x14ac:dyDescent="0.2">
      <c r="A446" t="s">
        <v>2382</v>
      </c>
      <c r="B446">
        <f>VALUE(RIGHT(A446,LEN(A446)-3))</f>
        <v>404</v>
      </c>
      <c r="C446">
        <v>1</v>
      </c>
      <c r="D446" t="s">
        <v>32</v>
      </c>
      <c r="E446" t="s">
        <v>2384</v>
      </c>
      <c r="F446" t="s">
        <v>30</v>
      </c>
      <c r="G446" t="s">
        <v>43</v>
      </c>
      <c r="H446" t="s">
        <v>2383</v>
      </c>
      <c r="I446" t="s">
        <v>35</v>
      </c>
      <c r="J446" t="s">
        <v>4142</v>
      </c>
      <c r="K446" t="s">
        <v>3503</v>
      </c>
    </row>
    <row r="447" spans="1:11" x14ac:dyDescent="0.2">
      <c r="A447" t="s">
        <v>2795</v>
      </c>
      <c r="B447">
        <f>VALUE(RIGHT(A447,LEN(A447)-3))</f>
        <v>479</v>
      </c>
      <c r="C447">
        <v>1</v>
      </c>
      <c r="D447" t="s">
        <v>32</v>
      </c>
      <c r="E447" t="s">
        <v>2798</v>
      </c>
      <c r="F447" t="s">
        <v>503</v>
      </c>
      <c r="G447" t="s">
        <v>43</v>
      </c>
      <c r="H447" t="s">
        <v>2796</v>
      </c>
      <c r="I447" t="s">
        <v>35</v>
      </c>
      <c r="J447" t="s">
        <v>4142</v>
      </c>
      <c r="K447" t="s">
        <v>3571</v>
      </c>
    </row>
    <row r="448" spans="1:11" x14ac:dyDescent="0.2">
      <c r="A448" t="s">
        <v>809</v>
      </c>
      <c r="B448">
        <f>VALUE(RIGHT(A448,LEN(A448)-3))</f>
        <v>121</v>
      </c>
      <c r="C448">
        <v>1</v>
      </c>
      <c r="D448" t="s">
        <v>32</v>
      </c>
      <c r="E448" t="s">
        <v>812</v>
      </c>
      <c r="F448" t="s">
        <v>30</v>
      </c>
      <c r="G448" t="s">
        <v>54</v>
      </c>
      <c r="H448" t="s">
        <v>810</v>
      </c>
      <c r="I448" t="s">
        <v>35</v>
      </c>
      <c r="J448" t="s">
        <v>4138</v>
      </c>
      <c r="K448" t="s">
        <v>3227</v>
      </c>
    </row>
    <row r="449" spans="1:11" x14ac:dyDescent="0.2">
      <c r="A449" t="s">
        <v>1208</v>
      </c>
      <c r="B449">
        <f>VALUE(RIGHT(A449,LEN(A449)-3))</f>
        <v>191</v>
      </c>
      <c r="C449">
        <v>1</v>
      </c>
      <c r="D449" t="s">
        <v>32</v>
      </c>
      <c r="E449" t="s">
        <v>1211</v>
      </c>
      <c r="F449" t="s">
        <v>503</v>
      </c>
      <c r="G449" t="s">
        <v>43</v>
      </c>
      <c r="H449" t="s">
        <v>1209</v>
      </c>
      <c r="I449" t="s">
        <v>57</v>
      </c>
      <c r="J449" t="s">
        <v>4138</v>
      </c>
      <c r="K449" t="s">
        <v>3288</v>
      </c>
    </row>
    <row r="450" spans="1:11" x14ac:dyDescent="0.2">
      <c r="A450" t="s">
        <v>80</v>
      </c>
      <c r="B450">
        <f>VALUE(RIGHT(A450,LEN(A450)-3))</f>
        <v>6</v>
      </c>
      <c r="C450">
        <v>1</v>
      </c>
      <c r="D450" t="s">
        <v>32</v>
      </c>
      <c r="E450" t="s">
        <v>84</v>
      </c>
      <c r="F450" t="s">
        <v>30</v>
      </c>
      <c r="G450" t="s">
        <v>83</v>
      </c>
      <c r="H450" t="s">
        <v>81</v>
      </c>
      <c r="I450" t="s">
        <v>57</v>
      </c>
      <c r="J450" t="s">
        <v>4138</v>
      </c>
      <c r="K450" t="s">
        <v>3122</v>
      </c>
    </row>
    <row r="451" spans="1:11" x14ac:dyDescent="0.2">
      <c r="A451" t="s">
        <v>946</v>
      </c>
      <c r="B451">
        <f>VALUE(RIGHT(A451,LEN(A451)-3))</f>
        <v>145</v>
      </c>
      <c r="C451">
        <v>1</v>
      </c>
      <c r="D451" t="s">
        <v>32</v>
      </c>
      <c r="E451" t="s">
        <v>949</v>
      </c>
      <c r="F451" t="s">
        <v>30</v>
      </c>
      <c r="G451" t="s">
        <v>746</v>
      </c>
      <c r="H451" t="s">
        <v>947</v>
      </c>
      <c r="I451" t="s">
        <v>57</v>
      </c>
      <c r="J451" t="s">
        <v>4138</v>
      </c>
      <c r="K451" t="s">
        <v>3248</v>
      </c>
    </row>
    <row r="452" spans="1:11" x14ac:dyDescent="0.2">
      <c r="A452" t="s">
        <v>2631</v>
      </c>
      <c r="B452">
        <f>VALUE(RIGHT(A452,LEN(A452)-3))</f>
        <v>449</v>
      </c>
      <c r="C452">
        <v>1</v>
      </c>
      <c r="D452" t="s">
        <v>32</v>
      </c>
      <c r="E452" t="s">
        <v>2634</v>
      </c>
      <c r="F452" t="s">
        <v>30</v>
      </c>
      <c r="G452" t="s">
        <v>43</v>
      </c>
      <c r="H452" t="s">
        <v>2632</v>
      </c>
      <c r="I452" t="s">
        <v>57</v>
      </c>
      <c r="J452" t="s">
        <v>4138</v>
      </c>
      <c r="K452" t="s">
        <v>3545</v>
      </c>
    </row>
    <row r="453" spans="1:11" x14ac:dyDescent="0.2">
      <c r="A453" t="s">
        <v>50</v>
      </c>
      <c r="B453">
        <f>VALUE(RIGHT(A453,LEN(A453)-3))</f>
        <v>3</v>
      </c>
      <c r="C453">
        <v>1</v>
      </c>
      <c r="D453" t="s">
        <v>32</v>
      </c>
      <c r="E453" t="s">
        <v>55</v>
      </c>
      <c r="F453" t="s">
        <v>30</v>
      </c>
      <c r="G453" t="s">
        <v>54</v>
      </c>
      <c r="H453" t="s">
        <v>51</v>
      </c>
      <c r="I453" t="s">
        <v>57</v>
      </c>
      <c r="J453" t="s">
        <v>4146</v>
      </c>
      <c r="K453" t="s">
        <v>3119</v>
      </c>
    </row>
    <row r="454" spans="1:11" x14ac:dyDescent="0.2">
      <c r="A454" t="s">
        <v>72</v>
      </c>
      <c r="B454">
        <f>VALUE(RIGHT(A454,LEN(A454)-3))</f>
        <v>5</v>
      </c>
      <c r="C454">
        <v>1</v>
      </c>
      <c r="D454" t="s">
        <v>32</v>
      </c>
      <c r="E454" t="s">
        <v>76</v>
      </c>
      <c r="F454" t="s">
        <v>30</v>
      </c>
      <c r="G454" t="s">
        <v>29</v>
      </c>
      <c r="H454" t="s">
        <v>73</v>
      </c>
      <c r="I454" t="s">
        <v>57</v>
      </c>
      <c r="J454" t="s">
        <v>4146</v>
      </c>
      <c r="K454" t="s">
        <v>3121</v>
      </c>
    </row>
    <row r="455" spans="1:11" x14ac:dyDescent="0.2">
      <c r="A455" t="s">
        <v>141</v>
      </c>
      <c r="B455">
        <f>VALUE(RIGHT(A455,LEN(A455)-3))</f>
        <v>14</v>
      </c>
      <c r="C455">
        <v>1</v>
      </c>
      <c r="D455" t="s">
        <v>32</v>
      </c>
      <c r="E455" t="s">
        <v>144</v>
      </c>
      <c r="F455" t="s">
        <v>30</v>
      </c>
      <c r="G455" t="s">
        <v>43</v>
      </c>
      <c r="H455" t="s">
        <v>142</v>
      </c>
      <c r="I455" t="s">
        <v>57</v>
      </c>
      <c r="J455" t="s">
        <v>4146</v>
      </c>
      <c r="K455" t="s">
        <v>3130</v>
      </c>
    </row>
    <row r="456" spans="1:11" x14ac:dyDescent="0.2">
      <c r="A456" t="s">
        <v>222</v>
      </c>
      <c r="B456">
        <f>VALUE(RIGHT(A456,LEN(A456)-3))</f>
        <v>26</v>
      </c>
      <c r="C456">
        <v>1</v>
      </c>
      <c r="D456" t="s">
        <v>32</v>
      </c>
      <c r="E456" t="s">
        <v>224</v>
      </c>
      <c r="F456" t="s">
        <v>30</v>
      </c>
      <c r="G456" t="s">
        <v>43</v>
      </c>
      <c r="H456" t="s">
        <v>223</v>
      </c>
      <c r="I456" t="s">
        <v>57</v>
      </c>
      <c r="J456" t="s">
        <v>4146</v>
      </c>
      <c r="K456" t="s">
        <v>3141</v>
      </c>
    </row>
    <row r="457" spans="1:11" x14ac:dyDescent="0.2">
      <c r="A457" t="s">
        <v>415</v>
      </c>
      <c r="B457">
        <f>VALUE(RIGHT(A457,LEN(A457)-3))</f>
        <v>56</v>
      </c>
      <c r="C457">
        <v>1</v>
      </c>
      <c r="D457" t="s">
        <v>32</v>
      </c>
      <c r="E457" t="s">
        <v>417</v>
      </c>
      <c r="F457" t="s">
        <v>30</v>
      </c>
      <c r="G457" t="s">
        <v>43</v>
      </c>
      <c r="H457" t="s">
        <v>416</v>
      </c>
      <c r="I457" t="s">
        <v>57</v>
      </c>
      <c r="J457" t="s">
        <v>4146</v>
      </c>
      <c r="K457" t="s">
        <v>3171</v>
      </c>
    </row>
    <row r="458" spans="1:11" x14ac:dyDescent="0.2">
      <c r="A458" t="s">
        <v>528</v>
      </c>
      <c r="B458">
        <f>VALUE(RIGHT(A458,LEN(A458)-3))</f>
        <v>74</v>
      </c>
      <c r="C458">
        <v>1</v>
      </c>
      <c r="D458" t="s">
        <v>32</v>
      </c>
      <c r="E458" t="s">
        <v>531</v>
      </c>
      <c r="F458" t="s">
        <v>30</v>
      </c>
      <c r="G458" t="s">
        <v>43</v>
      </c>
      <c r="H458" t="s">
        <v>529</v>
      </c>
      <c r="I458" t="s">
        <v>57</v>
      </c>
      <c r="J458" t="s">
        <v>4146</v>
      </c>
      <c r="K458" t="s">
        <v>3187</v>
      </c>
    </row>
    <row r="459" spans="1:11" x14ac:dyDescent="0.2">
      <c r="A459" t="s">
        <v>563</v>
      </c>
      <c r="B459">
        <f>VALUE(RIGHT(A459,LEN(A459)-3))</f>
        <v>80</v>
      </c>
      <c r="C459">
        <v>2</v>
      </c>
      <c r="D459" t="s">
        <v>32</v>
      </c>
      <c r="E459" t="s">
        <v>566</v>
      </c>
      <c r="F459" t="s">
        <v>30</v>
      </c>
      <c r="G459" t="s">
        <v>83</v>
      </c>
      <c r="H459" t="s">
        <v>564</v>
      </c>
      <c r="I459" t="s">
        <v>57</v>
      </c>
      <c r="J459" t="s">
        <v>4146</v>
      </c>
      <c r="K459" t="s">
        <v>3192</v>
      </c>
    </row>
    <row r="460" spans="1:11" x14ac:dyDescent="0.2">
      <c r="A460" t="s">
        <v>658</v>
      </c>
      <c r="B460">
        <f>VALUE(RIGHT(A460,LEN(A460)-3))</f>
        <v>95</v>
      </c>
      <c r="C460">
        <v>1</v>
      </c>
      <c r="D460" t="s">
        <v>32</v>
      </c>
      <c r="E460" t="s">
        <v>661</v>
      </c>
      <c r="F460" t="s">
        <v>30</v>
      </c>
      <c r="G460" t="s">
        <v>29</v>
      </c>
      <c r="H460" t="s">
        <v>659</v>
      </c>
      <c r="I460" t="s">
        <v>57</v>
      </c>
      <c r="J460" t="s">
        <v>4146</v>
      </c>
      <c r="K460" t="s">
        <v>3203</v>
      </c>
    </row>
    <row r="461" spans="1:11" x14ac:dyDescent="0.2">
      <c r="A461" t="s">
        <v>688</v>
      </c>
      <c r="B461">
        <f>VALUE(RIGHT(A461,LEN(A461)-3))</f>
        <v>101</v>
      </c>
      <c r="C461">
        <v>1</v>
      </c>
      <c r="D461" t="s">
        <v>32</v>
      </c>
      <c r="E461" t="s">
        <v>692</v>
      </c>
      <c r="F461" t="s">
        <v>30</v>
      </c>
      <c r="G461" t="s">
        <v>29</v>
      </c>
      <c r="H461" t="s">
        <v>689</v>
      </c>
      <c r="I461" t="s">
        <v>57</v>
      </c>
      <c r="J461" t="s">
        <v>4146</v>
      </c>
      <c r="K461" t="s">
        <v>3207</v>
      </c>
    </row>
    <row r="462" spans="1:11" x14ac:dyDescent="0.2">
      <c r="A462" t="s">
        <v>793</v>
      </c>
      <c r="B462">
        <f>VALUE(RIGHT(A462,LEN(A462)-3))</f>
        <v>118</v>
      </c>
      <c r="C462">
        <v>1</v>
      </c>
      <c r="D462" t="s">
        <v>32</v>
      </c>
      <c r="E462" t="s">
        <v>144</v>
      </c>
      <c r="F462" t="s">
        <v>30</v>
      </c>
      <c r="G462" t="s">
        <v>29</v>
      </c>
      <c r="H462" t="s">
        <v>794</v>
      </c>
      <c r="I462" t="s">
        <v>57</v>
      </c>
      <c r="J462" t="s">
        <v>4146</v>
      </c>
      <c r="K462" t="s">
        <v>3225</v>
      </c>
    </row>
    <row r="463" spans="1:11" x14ac:dyDescent="0.2">
      <c r="A463" t="s">
        <v>982</v>
      </c>
      <c r="B463">
        <f>VALUE(RIGHT(A463,LEN(A463)-3))</f>
        <v>151</v>
      </c>
      <c r="C463">
        <v>1</v>
      </c>
      <c r="D463" t="s">
        <v>32</v>
      </c>
      <c r="E463" t="s">
        <v>985</v>
      </c>
      <c r="F463" t="s">
        <v>30</v>
      </c>
      <c r="G463" t="s">
        <v>29</v>
      </c>
      <c r="H463" t="s">
        <v>983</v>
      </c>
      <c r="I463" t="s">
        <v>57</v>
      </c>
      <c r="J463" t="s">
        <v>4146</v>
      </c>
      <c r="K463" t="s">
        <v>3254</v>
      </c>
    </row>
    <row r="464" spans="1:11" x14ac:dyDescent="0.2">
      <c r="A464" t="s">
        <v>1299</v>
      </c>
      <c r="B464">
        <f>VALUE(RIGHT(A464,LEN(A464)-3))</f>
        <v>207</v>
      </c>
      <c r="C464">
        <v>1</v>
      </c>
      <c r="D464" t="s">
        <v>32</v>
      </c>
      <c r="E464" t="s">
        <v>1302</v>
      </c>
      <c r="F464" t="s">
        <v>30</v>
      </c>
      <c r="G464" t="s">
        <v>43</v>
      </c>
      <c r="H464" t="s">
        <v>1300</v>
      </c>
      <c r="I464" t="s">
        <v>57</v>
      </c>
      <c r="J464" t="s">
        <v>4146</v>
      </c>
      <c r="K464" t="s">
        <v>3306</v>
      </c>
    </row>
    <row r="465" spans="1:11" x14ac:dyDescent="0.2">
      <c r="A465" t="s">
        <v>1540</v>
      </c>
      <c r="B465">
        <f>VALUE(RIGHT(A465,LEN(A465)-3))</f>
        <v>252</v>
      </c>
      <c r="C465">
        <v>1</v>
      </c>
      <c r="D465" t="s">
        <v>32</v>
      </c>
      <c r="E465" t="s">
        <v>1542</v>
      </c>
      <c r="F465" t="s">
        <v>30</v>
      </c>
      <c r="G465" t="s">
        <v>83</v>
      </c>
      <c r="H465" t="s">
        <v>1541</v>
      </c>
      <c r="I465" t="s">
        <v>57</v>
      </c>
      <c r="J465" t="s">
        <v>4146</v>
      </c>
      <c r="K465" t="s">
        <v>3352</v>
      </c>
    </row>
    <row r="466" spans="1:11" x14ac:dyDescent="0.2">
      <c r="A466" t="s">
        <v>1726</v>
      </c>
      <c r="B466">
        <f>VALUE(RIGHT(A466,LEN(A466)-3))</f>
        <v>288</v>
      </c>
      <c r="C466">
        <v>1</v>
      </c>
      <c r="D466" t="s">
        <v>32</v>
      </c>
      <c r="E466" t="s">
        <v>1728</v>
      </c>
      <c r="F466" t="s">
        <v>503</v>
      </c>
      <c r="G466" t="s">
        <v>43</v>
      </c>
      <c r="H466" t="s">
        <v>1727</v>
      </c>
      <c r="I466" t="s">
        <v>57</v>
      </c>
      <c r="J466" t="s">
        <v>4146</v>
      </c>
      <c r="K466" t="s">
        <v>3388</v>
      </c>
    </row>
    <row r="467" spans="1:11" x14ac:dyDescent="0.2">
      <c r="A467" t="s">
        <v>1751</v>
      </c>
      <c r="B467">
        <f>VALUE(RIGHT(A467,LEN(A467)-3))</f>
        <v>292</v>
      </c>
      <c r="C467">
        <v>1</v>
      </c>
      <c r="D467" t="s">
        <v>32</v>
      </c>
      <c r="E467" t="s">
        <v>1755</v>
      </c>
      <c r="F467" t="s">
        <v>30</v>
      </c>
      <c r="G467" t="s">
        <v>746</v>
      </c>
      <c r="H467" t="s">
        <v>1752</v>
      </c>
      <c r="I467" t="s">
        <v>57</v>
      </c>
      <c r="J467" t="s">
        <v>4146</v>
      </c>
      <c r="K467" t="s">
        <v>3395</v>
      </c>
    </row>
    <row r="468" spans="1:11" x14ac:dyDescent="0.2">
      <c r="A468" t="s">
        <v>1980</v>
      </c>
      <c r="B468">
        <f>VALUE(RIGHT(A468,LEN(A468)-3))</f>
        <v>335</v>
      </c>
      <c r="C468">
        <v>1</v>
      </c>
      <c r="D468" t="s">
        <v>32</v>
      </c>
      <c r="E468" t="s">
        <v>1983</v>
      </c>
      <c r="F468" t="s">
        <v>30</v>
      </c>
      <c r="G468" t="s">
        <v>29</v>
      </c>
      <c r="H468" t="s">
        <v>1981</v>
      </c>
      <c r="I468" t="s">
        <v>57</v>
      </c>
      <c r="J468" t="s">
        <v>4146</v>
      </c>
      <c r="K468" t="s">
        <v>3434</v>
      </c>
    </row>
    <row r="469" spans="1:11" x14ac:dyDescent="0.2">
      <c r="A469" t="s">
        <v>2190</v>
      </c>
      <c r="B469">
        <f>VALUE(RIGHT(A469,LEN(A469)-3))</f>
        <v>373</v>
      </c>
      <c r="C469">
        <v>1</v>
      </c>
      <c r="D469" t="s">
        <v>32</v>
      </c>
      <c r="E469" t="s">
        <v>276</v>
      </c>
      <c r="F469" t="s">
        <v>30</v>
      </c>
      <c r="G469" t="s">
        <v>54</v>
      </c>
      <c r="H469" t="s">
        <v>2191</v>
      </c>
      <c r="I469" t="s">
        <v>57</v>
      </c>
      <c r="J469" t="s">
        <v>4146</v>
      </c>
      <c r="K469" t="s">
        <v>3468</v>
      </c>
    </row>
    <row r="470" spans="1:11" x14ac:dyDescent="0.2">
      <c r="A470" t="s">
        <v>2250</v>
      </c>
      <c r="B470">
        <f>VALUE(RIGHT(A470,LEN(A470)-3))</f>
        <v>383</v>
      </c>
      <c r="C470">
        <v>1</v>
      </c>
      <c r="D470" t="s">
        <v>32</v>
      </c>
      <c r="E470" t="s">
        <v>2253</v>
      </c>
      <c r="F470" t="s">
        <v>30</v>
      </c>
      <c r="G470" t="s">
        <v>83</v>
      </c>
      <c r="H470" t="s">
        <v>2251</v>
      </c>
      <c r="I470" t="s">
        <v>57</v>
      </c>
      <c r="J470" t="s">
        <v>4146</v>
      </c>
      <c r="K470" t="s">
        <v>3479</v>
      </c>
    </row>
    <row r="471" spans="1:11" x14ac:dyDescent="0.2">
      <c r="A471" t="s">
        <v>2375</v>
      </c>
      <c r="B471">
        <f>VALUE(RIGHT(A471,LEN(A471)-3))</f>
        <v>403</v>
      </c>
      <c r="C471">
        <v>1</v>
      </c>
      <c r="D471" t="s">
        <v>32</v>
      </c>
      <c r="E471" t="s">
        <v>2378</v>
      </c>
      <c r="F471" t="s">
        <v>30</v>
      </c>
      <c r="G471" t="s">
        <v>43</v>
      </c>
      <c r="H471" t="s">
        <v>2376</v>
      </c>
      <c r="I471" t="s">
        <v>57</v>
      </c>
      <c r="J471" t="s">
        <v>4146</v>
      </c>
      <c r="K471" t="s">
        <v>3502</v>
      </c>
    </row>
    <row r="472" spans="1:11" x14ac:dyDescent="0.2">
      <c r="A472" t="s">
        <v>2514</v>
      </c>
      <c r="B472">
        <f>VALUE(RIGHT(A472,LEN(A472)-3))</f>
        <v>428</v>
      </c>
      <c r="C472">
        <v>1</v>
      </c>
      <c r="D472" t="s">
        <v>32</v>
      </c>
      <c r="E472" t="s">
        <v>2517</v>
      </c>
      <c r="F472" t="s">
        <v>30</v>
      </c>
      <c r="G472" t="s">
        <v>29</v>
      </c>
      <c r="H472" t="s">
        <v>2515</v>
      </c>
      <c r="I472" t="s">
        <v>57</v>
      </c>
      <c r="J472" t="s">
        <v>4146</v>
      </c>
      <c r="K472" t="s">
        <v>3526</v>
      </c>
    </row>
    <row r="473" spans="1:11" x14ac:dyDescent="0.2">
      <c r="A473" t="s">
        <v>2620</v>
      </c>
      <c r="B473">
        <f>VALUE(RIGHT(A473,LEN(A473)-3))</f>
        <v>447</v>
      </c>
      <c r="C473">
        <v>1</v>
      </c>
      <c r="D473" t="s">
        <v>32</v>
      </c>
      <c r="E473" t="s">
        <v>2623</v>
      </c>
      <c r="F473" t="s">
        <v>503</v>
      </c>
      <c r="G473" t="s">
        <v>43</v>
      </c>
      <c r="H473" t="s">
        <v>2621</v>
      </c>
      <c r="I473" t="s">
        <v>57</v>
      </c>
      <c r="J473" t="s">
        <v>4146</v>
      </c>
      <c r="K473" t="s">
        <v>3543</v>
      </c>
    </row>
    <row r="474" spans="1:11" x14ac:dyDescent="0.2">
      <c r="A474" t="s">
        <v>2756</v>
      </c>
      <c r="B474">
        <f>VALUE(RIGHT(A474,LEN(A474)-3))</f>
        <v>472</v>
      </c>
      <c r="C474">
        <v>1</v>
      </c>
      <c r="D474" t="s">
        <v>32</v>
      </c>
      <c r="E474" t="s">
        <v>2759</v>
      </c>
      <c r="F474" t="s">
        <v>30</v>
      </c>
      <c r="G474" t="s">
        <v>54</v>
      </c>
      <c r="H474" t="s">
        <v>2757</v>
      </c>
      <c r="I474" t="s">
        <v>57</v>
      </c>
      <c r="J474" t="s">
        <v>4146</v>
      </c>
      <c r="K474" t="s">
        <v>3565</v>
      </c>
    </row>
    <row r="475" spans="1:11" x14ac:dyDescent="0.2">
      <c r="A475" t="s">
        <v>125</v>
      </c>
      <c r="B475">
        <f>VALUE(RIGHT(A475,LEN(A475)-3))</f>
        <v>12</v>
      </c>
      <c r="C475">
        <v>1</v>
      </c>
      <c r="D475" t="s">
        <v>32</v>
      </c>
      <c r="E475" t="s">
        <v>128</v>
      </c>
      <c r="F475" t="s">
        <v>30</v>
      </c>
      <c r="G475" t="s">
        <v>83</v>
      </c>
      <c r="H475" t="s">
        <v>126</v>
      </c>
      <c r="I475" t="s">
        <v>130</v>
      </c>
      <c r="J475" t="s">
        <v>4145</v>
      </c>
      <c r="K475" t="s">
        <v>3128</v>
      </c>
    </row>
    <row r="476" spans="1:11" x14ac:dyDescent="0.2">
      <c r="A476" t="s">
        <v>190</v>
      </c>
      <c r="B476">
        <f>VALUE(RIGHT(A476,LEN(A476)-3))</f>
        <v>21</v>
      </c>
      <c r="C476">
        <v>1</v>
      </c>
      <c r="D476" t="s">
        <v>32</v>
      </c>
      <c r="E476" t="s">
        <v>192</v>
      </c>
      <c r="F476" t="s">
        <v>30</v>
      </c>
      <c r="G476" t="s">
        <v>54</v>
      </c>
      <c r="H476" t="s">
        <v>191</v>
      </c>
      <c r="I476" t="s">
        <v>130</v>
      </c>
      <c r="J476" t="s">
        <v>4145</v>
      </c>
      <c r="K476" t="s">
        <v>3138</v>
      </c>
    </row>
    <row r="477" spans="1:11" x14ac:dyDescent="0.2">
      <c r="A477" t="s">
        <v>557</v>
      </c>
      <c r="B477">
        <f>VALUE(RIGHT(A477,LEN(A477)-3))</f>
        <v>79</v>
      </c>
      <c r="C477">
        <v>1</v>
      </c>
      <c r="D477" t="s">
        <v>32</v>
      </c>
      <c r="E477" t="s">
        <v>559</v>
      </c>
      <c r="F477" t="s">
        <v>30</v>
      </c>
      <c r="G477" t="s">
        <v>83</v>
      </c>
      <c r="H477" t="s">
        <v>558</v>
      </c>
      <c r="I477" t="s">
        <v>130</v>
      </c>
      <c r="J477" t="s">
        <v>4145</v>
      </c>
      <c r="K477" t="s">
        <v>3190</v>
      </c>
    </row>
    <row r="478" spans="1:11" x14ac:dyDescent="0.2">
      <c r="A478" t="s">
        <v>571</v>
      </c>
      <c r="B478">
        <f>VALUE(RIGHT(A478,LEN(A478)-3))</f>
        <v>81</v>
      </c>
      <c r="C478">
        <v>1</v>
      </c>
      <c r="D478" t="s">
        <v>32</v>
      </c>
      <c r="E478" t="s">
        <v>574</v>
      </c>
      <c r="F478" t="s">
        <v>30</v>
      </c>
      <c r="G478" t="s">
        <v>29</v>
      </c>
      <c r="H478" t="s">
        <v>572</v>
      </c>
      <c r="I478" t="s">
        <v>130</v>
      </c>
      <c r="J478" t="s">
        <v>4145</v>
      </c>
      <c r="K478" t="s">
        <v>3193</v>
      </c>
    </row>
    <row r="479" spans="1:11" x14ac:dyDescent="0.2">
      <c r="A479" t="s">
        <v>677</v>
      </c>
      <c r="B479">
        <f>VALUE(RIGHT(A479,LEN(A479)-3))</f>
        <v>99</v>
      </c>
      <c r="C479">
        <v>1</v>
      </c>
      <c r="D479" t="s">
        <v>32</v>
      </c>
      <c r="E479" t="s">
        <v>679</v>
      </c>
      <c r="F479" t="s">
        <v>602</v>
      </c>
      <c r="G479" t="s">
        <v>43</v>
      </c>
      <c r="H479" t="s">
        <v>678</v>
      </c>
      <c r="I479" t="s">
        <v>130</v>
      </c>
      <c r="J479" t="s">
        <v>4145</v>
      </c>
      <c r="K479" t="s">
        <v>3205</v>
      </c>
    </row>
    <row r="480" spans="1:11" x14ac:dyDescent="0.2">
      <c r="A480" t="s">
        <v>715</v>
      </c>
      <c r="B480">
        <f>VALUE(RIGHT(A480,LEN(A480)-3))</f>
        <v>105</v>
      </c>
      <c r="C480">
        <v>1</v>
      </c>
      <c r="D480" t="s">
        <v>32</v>
      </c>
      <c r="E480" t="s">
        <v>717</v>
      </c>
      <c r="F480" t="s">
        <v>30</v>
      </c>
      <c r="G480" t="s">
        <v>83</v>
      </c>
      <c r="H480" t="s">
        <v>716</v>
      </c>
      <c r="I480" t="s">
        <v>130</v>
      </c>
      <c r="J480" t="s">
        <v>4145</v>
      </c>
      <c r="K480" t="s">
        <v>3210</v>
      </c>
    </row>
    <row r="481" spans="1:11" x14ac:dyDescent="0.2">
      <c r="A481" t="s">
        <v>749</v>
      </c>
      <c r="B481">
        <f>VALUE(RIGHT(A481,LEN(A481)-3))</f>
        <v>111</v>
      </c>
      <c r="C481">
        <v>1</v>
      </c>
      <c r="D481" t="s">
        <v>32</v>
      </c>
      <c r="E481" t="s">
        <v>751</v>
      </c>
      <c r="F481" t="s">
        <v>30</v>
      </c>
      <c r="G481" t="s">
        <v>29</v>
      </c>
      <c r="H481" t="s">
        <v>750</v>
      </c>
      <c r="I481" t="s">
        <v>130</v>
      </c>
      <c r="J481" t="s">
        <v>4145</v>
      </c>
      <c r="K481" t="s">
        <v>3215</v>
      </c>
    </row>
    <row r="482" spans="1:11" x14ac:dyDescent="0.2">
      <c r="A482" t="s">
        <v>815</v>
      </c>
      <c r="B482">
        <f>VALUE(RIGHT(A482,LEN(A482)-3))</f>
        <v>122</v>
      </c>
      <c r="C482">
        <v>1</v>
      </c>
      <c r="D482" t="s">
        <v>32</v>
      </c>
      <c r="E482" t="s">
        <v>817</v>
      </c>
      <c r="F482" t="s">
        <v>30</v>
      </c>
      <c r="G482" t="s">
        <v>43</v>
      </c>
      <c r="H482" t="s">
        <v>816</v>
      </c>
      <c r="I482" t="s">
        <v>130</v>
      </c>
      <c r="J482" t="s">
        <v>4145</v>
      </c>
      <c r="K482" t="s">
        <v>3228</v>
      </c>
    </row>
    <row r="483" spans="1:11" x14ac:dyDescent="0.2">
      <c r="A483" t="s">
        <v>936</v>
      </c>
      <c r="B483">
        <f>VALUE(RIGHT(A483,LEN(A483)-3))</f>
        <v>143</v>
      </c>
      <c r="C483">
        <v>1</v>
      </c>
      <c r="D483" t="s">
        <v>32</v>
      </c>
      <c r="E483" t="s">
        <v>938</v>
      </c>
      <c r="F483" t="s">
        <v>30</v>
      </c>
      <c r="G483" t="s">
        <v>29</v>
      </c>
      <c r="H483" t="s">
        <v>937</v>
      </c>
      <c r="I483" t="s">
        <v>130</v>
      </c>
      <c r="J483" t="s">
        <v>4145</v>
      </c>
      <c r="K483" t="s">
        <v>3247</v>
      </c>
    </row>
    <row r="484" spans="1:11" x14ac:dyDescent="0.2">
      <c r="A484" t="s">
        <v>1000</v>
      </c>
      <c r="B484">
        <f>VALUE(RIGHT(A484,LEN(A484)-3))</f>
        <v>154</v>
      </c>
      <c r="C484">
        <v>1</v>
      </c>
      <c r="D484" t="s">
        <v>32</v>
      </c>
      <c r="E484" t="s">
        <v>790</v>
      </c>
      <c r="F484" t="s">
        <v>30</v>
      </c>
      <c r="G484" t="s">
        <v>43</v>
      </c>
      <c r="H484" t="s">
        <v>1001</v>
      </c>
      <c r="I484" t="s">
        <v>130</v>
      </c>
      <c r="J484" t="s">
        <v>4145</v>
      </c>
      <c r="K484" t="s">
        <v>3257</v>
      </c>
    </row>
    <row r="485" spans="1:11" x14ac:dyDescent="0.2">
      <c r="A485" t="s">
        <v>1076</v>
      </c>
      <c r="B485">
        <f>VALUE(RIGHT(A485,LEN(A485)-3))</f>
        <v>168</v>
      </c>
      <c r="C485">
        <v>1</v>
      </c>
      <c r="D485" t="s">
        <v>32</v>
      </c>
      <c r="E485" t="s">
        <v>1078</v>
      </c>
      <c r="F485" t="s">
        <v>602</v>
      </c>
      <c r="G485" t="s">
        <v>43</v>
      </c>
      <c r="H485" t="s">
        <v>1077</v>
      </c>
      <c r="I485" t="s">
        <v>130</v>
      </c>
      <c r="J485" t="s">
        <v>4145</v>
      </c>
      <c r="K485" t="s">
        <v>3270</v>
      </c>
    </row>
    <row r="486" spans="1:11" x14ac:dyDescent="0.2">
      <c r="A486" t="s">
        <v>1179</v>
      </c>
      <c r="B486">
        <f>VALUE(RIGHT(A486,LEN(A486)-3))</f>
        <v>186</v>
      </c>
      <c r="C486">
        <v>1</v>
      </c>
      <c r="D486" t="s">
        <v>32</v>
      </c>
      <c r="E486" t="s">
        <v>1181</v>
      </c>
      <c r="F486" t="s">
        <v>503</v>
      </c>
      <c r="G486" t="s">
        <v>43</v>
      </c>
      <c r="H486" t="s">
        <v>1180</v>
      </c>
      <c r="I486" t="s">
        <v>130</v>
      </c>
      <c r="J486" t="s">
        <v>4145</v>
      </c>
      <c r="K486" t="s">
        <v>3284</v>
      </c>
    </row>
    <row r="487" spans="1:11" x14ac:dyDescent="0.2">
      <c r="A487" t="s">
        <v>1216</v>
      </c>
      <c r="B487">
        <f>VALUE(RIGHT(A487,LEN(A487)-3))</f>
        <v>192</v>
      </c>
      <c r="C487">
        <v>1</v>
      </c>
      <c r="D487" t="s">
        <v>32</v>
      </c>
      <c r="E487" t="s">
        <v>1218</v>
      </c>
      <c r="F487" t="s">
        <v>602</v>
      </c>
      <c r="G487" t="s">
        <v>43</v>
      </c>
      <c r="H487" t="s">
        <v>1217</v>
      </c>
      <c r="I487" t="s">
        <v>130</v>
      </c>
      <c r="J487" t="s">
        <v>4145</v>
      </c>
      <c r="K487" t="s">
        <v>3290</v>
      </c>
    </row>
    <row r="488" spans="1:11" x14ac:dyDescent="0.2">
      <c r="A488" t="s">
        <v>1559</v>
      </c>
      <c r="B488">
        <f>VALUE(RIGHT(A488,LEN(A488)-3))</f>
        <v>256</v>
      </c>
      <c r="C488">
        <v>2</v>
      </c>
      <c r="D488" t="s">
        <v>32</v>
      </c>
      <c r="E488" t="s">
        <v>1078</v>
      </c>
      <c r="F488" t="s">
        <v>503</v>
      </c>
      <c r="G488" t="s">
        <v>43</v>
      </c>
      <c r="H488" t="s">
        <v>1560</v>
      </c>
      <c r="I488" t="s">
        <v>130</v>
      </c>
      <c r="J488" t="s">
        <v>4145</v>
      </c>
      <c r="K488" t="s">
        <v>3357</v>
      </c>
    </row>
    <row r="489" spans="1:11" x14ac:dyDescent="0.2">
      <c r="A489" t="s">
        <v>1559</v>
      </c>
      <c r="B489">
        <f>VALUE(RIGHT(A489,LEN(A489)-3))</f>
        <v>256</v>
      </c>
      <c r="C489">
        <v>3</v>
      </c>
      <c r="D489" t="s">
        <v>32</v>
      </c>
      <c r="E489" t="s">
        <v>1078</v>
      </c>
      <c r="F489" t="s">
        <v>503</v>
      </c>
      <c r="G489" t="s">
        <v>43</v>
      </c>
      <c r="H489" t="s">
        <v>1560</v>
      </c>
      <c r="I489" t="s">
        <v>130</v>
      </c>
      <c r="J489" t="s">
        <v>4145</v>
      </c>
      <c r="K489" t="s">
        <v>3358</v>
      </c>
    </row>
    <row r="490" spans="1:11" x14ac:dyDescent="0.2">
      <c r="A490" t="s">
        <v>1564</v>
      </c>
      <c r="B490">
        <f>VALUE(RIGHT(A490,LEN(A490)-3))</f>
        <v>257</v>
      </c>
      <c r="C490">
        <v>2</v>
      </c>
      <c r="D490" t="s">
        <v>32</v>
      </c>
      <c r="E490" t="s">
        <v>1078</v>
      </c>
      <c r="F490" t="s">
        <v>503</v>
      </c>
      <c r="G490" t="s">
        <v>43</v>
      </c>
      <c r="H490" t="s">
        <v>1560</v>
      </c>
      <c r="I490" t="s">
        <v>130</v>
      </c>
      <c r="J490" t="s">
        <v>4145</v>
      </c>
      <c r="K490" t="s">
        <v>3360</v>
      </c>
    </row>
    <row r="491" spans="1:11" x14ac:dyDescent="0.2">
      <c r="A491" t="s">
        <v>1594</v>
      </c>
      <c r="B491">
        <f>VALUE(RIGHT(A491,LEN(A491)-3))</f>
        <v>263</v>
      </c>
      <c r="C491">
        <v>1</v>
      </c>
      <c r="D491" t="s">
        <v>32</v>
      </c>
      <c r="E491" t="s">
        <v>1138</v>
      </c>
      <c r="F491" t="s">
        <v>503</v>
      </c>
      <c r="G491" t="s">
        <v>43</v>
      </c>
      <c r="H491" t="s">
        <v>1595</v>
      </c>
      <c r="I491" t="s">
        <v>130</v>
      </c>
      <c r="J491" t="s">
        <v>4145</v>
      </c>
      <c r="K491" t="s">
        <v>3365</v>
      </c>
    </row>
    <row r="492" spans="1:11" x14ac:dyDescent="0.2">
      <c r="A492" t="s">
        <v>1706</v>
      </c>
      <c r="B492">
        <f>VALUE(RIGHT(A492,LEN(A492)-3))</f>
        <v>284</v>
      </c>
      <c r="C492">
        <v>1</v>
      </c>
      <c r="D492" t="s">
        <v>32</v>
      </c>
      <c r="E492" t="s">
        <v>1708</v>
      </c>
      <c r="F492" t="s">
        <v>30</v>
      </c>
      <c r="G492" t="s">
        <v>83</v>
      </c>
      <c r="H492" t="s">
        <v>1707</v>
      </c>
      <c r="I492" t="s">
        <v>130</v>
      </c>
      <c r="J492" t="s">
        <v>4145</v>
      </c>
      <c r="K492" t="s">
        <v>3384</v>
      </c>
    </row>
    <row r="493" spans="1:11" x14ac:dyDescent="0.2">
      <c r="A493" t="s">
        <v>1764</v>
      </c>
      <c r="B493">
        <f>VALUE(RIGHT(A493,LEN(A493)-3))</f>
        <v>294</v>
      </c>
      <c r="C493">
        <v>1</v>
      </c>
      <c r="D493" t="s">
        <v>32</v>
      </c>
      <c r="E493" t="s">
        <v>1767</v>
      </c>
      <c r="F493" t="s">
        <v>602</v>
      </c>
      <c r="G493" t="s">
        <v>43</v>
      </c>
      <c r="H493" t="s">
        <v>1765</v>
      </c>
      <c r="I493" t="s">
        <v>130</v>
      </c>
      <c r="J493" t="s">
        <v>4145</v>
      </c>
      <c r="K493" t="s">
        <v>3397</v>
      </c>
    </row>
    <row r="494" spans="1:11" x14ac:dyDescent="0.2">
      <c r="A494" t="s">
        <v>1975</v>
      </c>
      <c r="B494">
        <f>VALUE(RIGHT(A494,LEN(A494)-3))</f>
        <v>334</v>
      </c>
      <c r="C494">
        <v>1</v>
      </c>
      <c r="D494" t="s">
        <v>32</v>
      </c>
      <c r="E494" t="s">
        <v>1613</v>
      </c>
      <c r="F494" t="s">
        <v>503</v>
      </c>
      <c r="G494" t="s">
        <v>43</v>
      </c>
      <c r="H494" t="s">
        <v>1976</v>
      </c>
      <c r="I494" t="s">
        <v>130</v>
      </c>
      <c r="J494" t="s">
        <v>4145</v>
      </c>
      <c r="K494" t="s">
        <v>3433</v>
      </c>
    </row>
    <row r="495" spans="1:11" x14ac:dyDescent="0.2">
      <c r="A495" t="s">
        <v>2057</v>
      </c>
      <c r="B495">
        <f>VALUE(RIGHT(A495,LEN(A495)-3))</f>
        <v>349</v>
      </c>
      <c r="C495">
        <v>1</v>
      </c>
      <c r="D495" t="s">
        <v>32</v>
      </c>
      <c r="E495" t="s">
        <v>2060</v>
      </c>
      <c r="F495" t="s">
        <v>503</v>
      </c>
      <c r="G495" t="s">
        <v>43</v>
      </c>
      <c r="H495" t="s">
        <v>2058</v>
      </c>
      <c r="I495" t="s">
        <v>130</v>
      </c>
      <c r="J495" t="s">
        <v>4145</v>
      </c>
      <c r="K495" t="s">
        <v>3449</v>
      </c>
    </row>
    <row r="496" spans="1:11" x14ac:dyDescent="0.2">
      <c r="A496" t="s">
        <v>2095</v>
      </c>
      <c r="B496">
        <f>VALUE(RIGHT(A496,LEN(A496)-3))</f>
        <v>356</v>
      </c>
      <c r="C496">
        <v>1</v>
      </c>
      <c r="D496" t="s">
        <v>32</v>
      </c>
      <c r="E496" t="s">
        <v>2098</v>
      </c>
      <c r="F496" t="s">
        <v>602</v>
      </c>
      <c r="G496" t="s">
        <v>43</v>
      </c>
      <c r="H496" t="s">
        <v>2096</v>
      </c>
      <c r="I496" t="s">
        <v>130</v>
      </c>
      <c r="J496" t="s">
        <v>4145</v>
      </c>
      <c r="K496" t="s">
        <v>3454</v>
      </c>
    </row>
    <row r="497" spans="1:11" x14ac:dyDescent="0.2">
      <c r="A497" t="s">
        <v>2160</v>
      </c>
      <c r="B497">
        <f>VALUE(RIGHT(A497,LEN(A497)-3))</f>
        <v>367</v>
      </c>
      <c r="C497">
        <v>1</v>
      </c>
      <c r="D497" t="s">
        <v>32</v>
      </c>
      <c r="E497" t="s">
        <v>679</v>
      </c>
      <c r="F497" t="s">
        <v>503</v>
      </c>
      <c r="G497" t="s">
        <v>43</v>
      </c>
      <c r="H497" t="s">
        <v>2161</v>
      </c>
      <c r="I497" t="s">
        <v>130</v>
      </c>
      <c r="J497" t="s">
        <v>4145</v>
      </c>
      <c r="K497" t="s">
        <v>3464</v>
      </c>
    </row>
    <row r="498" spans="1:11" x14ac:dyDescent="0.2">
      <c r="A498" t="s">
        <v>2177</v>
      </c>
      <c r="B498">
        <f>VALUE(RIGHT(A498,LEN(A498)-3))</f>
        <v>371</v>
      </c>
      <c r="C498">
        <v>2</v>
      </c>
      <c r="D498" t="s">
        <v>32</v>
      </c>
      <c r="E498" t="s">
        <v>2180</v>
      </c>
      <c r="F498" t="s">
        <v>602</v>
      </c>
      <c r="G498" t="s">
        <v>43</v>
      </c>
      <c r="H498" t="s">
        <v>2178</v>
      </c>
      <c r="I498" t="s">
        <v>130</v>
      </c>
      <c r="J498" t="s">
        <v>4145</v>
      </c>
      <c r="K498" t="s">
        <v>3466</v>
      </c>
    </row>
    <row r="499" spans="1:11" x14ac:dyDescent="0.2">
      <c r="A499" t="s">
        <v>2275</v>
      </c>
      <c r="B499">
        <f>VALUE(RIGHT(A499,LEN(A499)-3))</f>
        <v>387</v>
      </c>
      <c r="C499">
        <v>1</v>
      </c>
      <c r="D499" t="s">
        <v>32</v>
      </c>
      <c r="E499" t="s">
        <v>2278</v>
      </c>
      <c r="F499" t="s">
        <v>30</v>
      </c>
      <c r="G499" t="s">
        <v>29</v>
      </c>
      <c r="H499" t="s">
        <v>2276</v>
      </c>
      <c r="I499" t="s">
        <v>130</v>
      </c>
      <c r="J499" t="s">
        <v>4145</v>
      </c>
      <c r="K499" t="s">
        <v>3484</v>
      </c>
    </row>
    <row r="500" spans="1:11" x14ac:dyDescent="0.2">
      <c r="A500" t="s">
        <v>2303</v>
      </c>
      <c r="B500">
        <f>VALUE(RIGHT(A500,LEN(A500)-3))</f>
        <v>391</v>
      </c>
      <c r="C500">
        <v>1</v>
      </c>
      <c r="D500" t="s">
        <v>32</v>
      </c>
      <c r="E500" t="s">
        <v>2306</v>
      </c>
      <c r="F500" t="s">
        <v>2305</v>
      </c>
      <c r="G500" t="s">
        <v>43</v>
      </c>
      <c r="H500" t="s">
        <v>2304</v>
      </c>
      <c r="I500" t="s">
        <v>130</v>
      </c>
      <c r="J500" t="s">
        <v>4145</v>
      </c>
      <c r="K500" t="s">
        <v>3488</v>
      </c>
    </row>
    <row r="501" spans="1:11" x14ac:dyDescent="0.2">
      <c r="A501" t="s">
        <v>3030</v>
      </c>
      <c r="B501">
        <f>VALUE(RIGHT(A501,LEN(A501)-3))</f>
        <v>523</v>
      </c>
      <c r="C501">
        <v>1</v>
      </c>
      <c r="D501" t="s">
        <v>32</v>
      </c>
      <c r="E501" t="s">
        <v>3032</v>
      </c>
      <c r="F501" t="s">
        <v>503</v>
      </c>
      <c r="G501" t="s">
        <v>43</v>
      </c>
      <c r="H501" t="s">
        <v>3031</v>
      </c>
      <c r="I501" t="s">
        <v>130</v>
      </c>
      <c r="J501" t="s">
        <v>4145</v>
      </c>
      <c r="K501" t="s">
        <v>3605</v>
      </c>
    </row>
    <row r="502" spans="1:11" x14ac:dyDescent="0.2">
      <c r="A502" t="s">
        <v>3050</v>
      </c>
      <c r="B502">
        <f>VALUE(RIGHT(A502,LEN(A502)-3))</f>
        <v>526</v>
      </c>
      <c r="C502">
        <v>1</v>
      </c>
      <c r="D502" t="s">
        <v>32</v>
      </c>
      <c r="E502" t="s">
        <v>1138</v>
      </c>
      <c r="F502" t="s">
        <v>503</v>
      </c>
      <c r="G502" t="s">
        <v>43</v>
      </c>
      <c r="H502" t="s">
        <v>3051</v>
      </c>
      <c r="I502" t="s">
        <v>130</v>
      </c>
      <c r="J502" t="s">
        <v>4145</v>
      </c>
      <c r="K502" t="s">
        <v>3608</v>
      </c>
    </row>
  </sheetData>
  <autoFilter ref="A1:K502" xr:uid="{00000000-0009-0000-0000-000001000000}">
    <sortState xmlns:xlrd2="http://schemas.microsoft.com/office/spreadsheetml/2017/richdata2" ref="A2:K502">
      <sortCondition ref="J1:J502"/>
    </sortState>
  </autoFilter>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62"/>
  <sheetViews>
    <sheetView tabSelected="1" topLeftCell="E1" workbookViewId="0">
      <pane ySplit="1" topLeftCell="A451" activePane="bottomLeft" state="frozen"/>
      <selection pane="bottomLeft" activeCell="K466" sqref="K466"/>
    </sheetView>
  </sheetViews>
  <sheetFormatPr baseColWidth="10" defaultColWidth="8.83203125" defaultRowHeight="15" x14ac:dyDescent="0.2"/>
  <cols>
    <col min="1" max="2" width="11" customWidth="1"/>
    <col min="3" max="3" width="20" customWidth="1"/>
    <col min="4" max="4" width="19" customWidth="1"/>
    <col min="5" max="5" width="58" customWidth="1"/>
    <col min="6" max="6" width="12" customWidth="1"/>
    <col min="7" max="7" width="13" customWidth="1"/>
    <col min="8" max="8" width="12" customWidth="1"/>
    <col min="9" max="9" width="13" customWidth="1"/>
    <col min="10" max="10" width="16" customWidth="1"/>
    <col min="11" max="11" width="53" customWidth="1"/>
    <col min="12" max="12" width="60" customWidth="1"/>
    <col min="13" max="13" width="11" customWidth="1"/>
  </cols>
  <sheetData>
    <row r="1" spans="1:13" x14ac:dyDescent="0.2">
      <c r="A1" t="s">
        <v>0</v>
      </c>
      <c r="B1" t="s">
        <v>4155</v>
      </c>
      <c r="C1" t="s">
        <v>3620</v>
      </c>
      <c r="D1" t="s">
        <v>13</v>
      </c>
      <c r="E1" t="s">
        <v>14</v>
      </c>
      <c r="F1" t="s">
        <v>6</v>
      </c>
      <c r="G1" t="s">
        <v>5</v>
      </c>
      <c r="H1" t="s">
        <v>1</v>
      </c>
      <c r="I1" t="s">
        <v>3621</v>
      </c>
      <c r="J1" t="s">
        <v>3622</v>
      </c>
      <c r="K1" t="s">
        <v>3623</v>
      </c>
      <c r="L1" t="s">
        <v>3624</v>
      </c>
      <c r="M1" t="s">
        <v>3625</v>
      </c>
    </row>
    <row r="2" spans="1:13" x14ac:dyDescent="0.2">
      <c r="A2" t="s">
        <v>63</v>
      </c>
      <c r="B2">
        <f>VALUE(RIGHT(A2,LEN(A2)-3))</f>
        <v>4</v>
      </c>
      <c r="C2">
        <v>1</v>
      </c>
      <c r="D2" t="s">
        <v>32</v>
      </c>
      <c r="E2" t="s">
        <v>66</v>
      </c>
      <c r="F2" t="s">
        <v>30</v>
      </c>
      <c r="G2" t="s">
        <v>43</v>
      </c>
      <c r="H2" t="s">
        <v>64</v>
      </c>
      <c r="I2" t="s">
        <v>68</v>
      </c>
      <c r="K2" t="s">
        <v>4139</v>
      </c>
      <c r="L2" t="s">
        <v>3628</v>
      </c>
      <c r="M2" t="s">
        <v>35</v>
      </c>
    </row>
    <row r="3" spans="1:13" x14ac:dyDescent="0.2">
      <c r="A3" t="s">
        <v>534</v>
      </c>
      <c r="B3">
        <f>VALUE(RIGHT(A3,LEN(A3)-3))</f>
        <v>75</v>
      </c>
      <c r="C3">
        <v>1</v>
      </c>
      <c r="D3" t="s">
        <v>32</v>
      </c>
      <c r="E3" t="s">
        <v>536</v>
      </c>
      <c r="F3" t="s">
        <v>30</v>
      </c>
      <c r="G3" t="s">
        <v>43</v>
      </c>
      <c r="H3" t="s">
        <v>535</v>
      </c>
      <c r="I3" t="s">
        <v>68</v>
      </c>
      <c r="K3" t="s">
        <v>4139</v>
      </c>
      <c r="L3" t="s">
        <v>3714</v>
      </c>
      <c r="M3" t="s">
        <v>35</v>
      </c>
    </row>
    <row r="4" spans="1:13" x14ac:dyDescent="0.2">
      <c r="A4" t="s">
        <v>615</v>
      </c>
      <c r="B4">
        <f>VALUE(RIGHT(A4,LEN(A4)-3))</f>
        <v>88</v>
      </c>
      <c r="C4">
        <v>1</v>
      </c>
      <c r="D4" t="s">
        <v>32</v>
      </c>
      <c r="E4" t="s">
        <v>617</v>
      </c>
      <c r="F4" t="s">
        <v>30</v>
      </c>
      <c r="G4" t="s">
        <v>43</v>
      </c>
      <c r="H4" t="s">
        <v>616</v>
      </c>
      <c r="I4" t="s">
        <v>68</v>
      </c>
      <c r="K4" t="s">
        <v>4139</v>
      </c>
      <c r="L4" t="s">
        <v>3724</v>
      </c>
      <c r="M4" t="s">
        <v>57</v>
      </c>
    </row>
    <row r="5" spans="1:13" x14ac:dyDescent="0.2">
      <c r="A5" t="s">
        <v>627</v>
      </c>
      <c r="B5">
        <f>VALUE(RIGHT(A5,LEN(A5)-3))</f>
        <v>90</v>
      </c>
      <c r="C5">
        <v>2</v>
      </c>
      <c r="D5" t="s">
        <v>32</v>
      </c>
      <c r="E5" t="s">
        <v>631</v>
      </c>
      <c r="F5" t="s">
        <v>503</v>
      </c>
      <c r="G5" t="s">
        <v>43</v>
      </c>
      <c r="H5" t="s">
        <v>628</v>
      </c>
      <c r="I5" t="s">
        <v>68</v>
      </c>
      <c r="K5" t="s">
        <v>4139</v>
      </c>
      <c r="L5" t="s">
        <v>3726</v>
      </c>
      <c r="M5" t="s">
        <v>57</v>
      </c>
    </row>
    <row r="6" spans="1:13" x14ac:dyDescent="0.2">
      <c r="A6" t="s">
        <v>755</v>
      </c>
      <c r="B6">
        <f>VALUE(RIGHT(A6,LEN(A6)-3))</f>
        <v>112</v>
      </c>
      <c r="C6">
        <v>1</v>
      </c>
      <c r="D6" t="s">
        <v>32</v>
      </c>
      <c r="E6" t="s">
        <v>757</v>
      </c>
      <c r="F6" t="s">
        <v>30</v>
      </c>
      <c r="G6" t="s">
        <v>83</v>
      </c>
      <c r="H6" t="s">
        <v>756</v>
      </c>
      <c r="I6" t="s">
        <v>68</v>
      </c>
      <c r="K6" t="s">
        <v>4139</v>
      </c>
      <c r="L6" t="s">
        <v>3741</v>
      </c>
      <c r="M6" t="s">
        <v>57</v>
      </c>
    </row>
    <row r="7" spans="1:13" x14ac:dyDescent="0.2">
      <c r="A7" t="s">
        <v>847</v>
      </c>
      <c r="B7">
        <f>VALUE(RIGHT(A7,LEN(A7)-3))</f>
        <v>128</v>
      </c>
      <c r="C7">
        <v>1</v>
      </c>
      <c r="D7" t="s">
        <v>32</v>
      </c>
      <c r="E7" t="s">
        <v>849</v>
      </c>
      <c r="F7" t="s">
        <v>503</v>
      </c>
      <c r="G7" t="s">
        <v>43</v>
      </c>
      <c r="H7" t="s">
        <v>848</v>
      </c>
      <c r="I7" t="s">
        <v>68</v>
      </c>
      <c r="K7" t="s">
        <v>4139</v>
      </c>
      <c r="L7" t="s">
        <v>3755</v>
      </c>
      <c r="M7" t="s">
        <v>57</v>
      </c>
    </row>
    <row r="8" spans="1:13" x14ac:dyDescent="0.2">
      <c r="A8" t="s">
        <v>863</v>
      </c>
      <c r="B8">
        <f>VALUE(RIGHT(A8,LEN(A8)-3))</f>
        <v>131</v>
      </c>
      <c r="C8">
        <v>1</v>
      </c>
      <c r="D8" t="s">
        <v>32</v>
      </c>
      <c r="E8" t="s">
        <v>865</v>
      </c>
      <c r="F8" t="s">
        <v>30</v>
      </c>
      <c r="G8" t="s">
        <v>29</v>
      </c>
      <c r="H8" t="s">
        <v>864</v>
      </c>
      <c r="I8" t="s">
        <v>68</v>
      </c>
      <c r="K8" t="s">
        <v>4139</v>
      </c>
      <c r="L8" t="s">
        <v>3756</v>
      </c>
      <c r="M8" t="s">
        <v>57</v>
      </c>
    </row>
    <row r="9" spans="1:13" x14ac:dyDescent="0.2">
      <c r="A9" t="s">
        <v>1276</v>
      </c>
      <c r="B9">
        <f>VALUE(RIGHT(A9,LEN(A9)-3))</f>
        <v>203</v>
      </c>
      <c r="C9">
        <v>5</v>
      </c>
      <c r="D9" t="s">
        <v>32</v>
      </c>
      <c r="E9" t="s">
        <v>1279</v>
      </c>
      <c r="F9" t="s">
        <v>503</v>
      </c>
      <c r="G9" t="s">
        <v>43</v>
      </c>
      <c r="H9" t="s">
        <v>1277</v>
      </c>
      <c r="I9" t="s">
        <v>68</v>
      </c>
      <c r="K9" t="s">
        <v>4139</v>
      </c>
      <c r="L9" t="s">
        <v>3814</v>
      </c>
      <c r="M9" t="s">
        <v>57</v>
      </c>
    </row>
    <row r="10" spans="1:13" x14ac:dyDescent="0.2">
      <c r="A10" t="s">
        <v>1317</v>
      </c>
      <c r="B10">
        <f>VALUE(RIGHT(A10,LEN(A10)-3))</f>
        <v>210</v>
      </c>
      <c r="C10">
        <v>1</v>
      </c>
      <c r="D10" t="s">
        <v>32</v>
      </c>
      <c r="E10" t="s">
        <v>553</v>
      </c>
      <c r="F10" t="s">
        <v>503</v>
      </c>
      <c r="G10" t="s">
        <v>43</v>
      </c>
      <c r="H10" t="s">
        <v>1318</v>
      </c>
      <c r="I10" t="s">
        <v>68</v>
      </c>
      <c r="K10" t="s">
        <v>4139</v>
      </c>
      <c r="L10" t="s">
        <v>3818</v>
      </c>
      <c r="M10" t="s">
        <v>57</v>
      </c>
    </row>
    <row r="11" spans="1:13" x14ac:dyDescent="0.2">
      <c r="A11" t="s">
        <v>1455</v>
      </c>
      <c r="B11">
        <f>VALUE(RIGHT(A11,LEN(A11)-3))</f>
        <v>236</v>
      </c>
      <c r="C11">
        <v>2</v>
      </c>
      <c r="D11" t="s">
        <v>32</v>
      </c>
      <c r="E11" t="s">
        <v>1457</v>
      </c>
      <c r="F11" t="s">
        <v>602</v>
      </c>
      <c r="G11" t="s">
        <v>43</v>
      </c>
      <c r="H11" t="s">
        <v>1456</v>
      </c>
      <c r="I11" t="s">
        <v>68</v>
      </c>
      <c r="K11" t="s">
        <v>4139</v>
      </c>
      <c r="L11" t="s">
        <v>3844</v>
      </c>
      <c r="M11" t="s">
        <v>57</v>
      </c>
    </row>
    <row r="12" spans="1:13" x14ac:dyDescent="0.2">
      <c r="A12" t="s">
        <v>1639</v>
      </c>
      <c r="B12">
        <f>VALUE(RIGHT(A12,LEN(A12)-3))</f>
        <v>272</v>
      </c>
      <c r="C12">
        <v>1</v>
      </c>
      <c r="D12" t="s">
        <v>32</v>
      </c>
      <c r="E12" t="s">
        <v>1641</v>
      </c>
      <c r="F12" t="s">
        <v>503</v>
      </c>
      <c r="G12" t="s">
        <v>43</v>
      </c>
      <c r="H12" t="s">
        <v>1640</v>
      </c>
      <c r="I12" t="s">
        <v>68</v>
      </c>
      <c r="K12" t="s">
        <v>4139</v>
      </c>
      <c r="L12" t="s">
        <v>3864</v>
      </c>
      <c r="M12" t="s">
        <v>57</v>
      </c>
    </row>
    <row r="13" spans="1:13" x14ac:dyDescent="0.2">
      <c r="A13" t="s">
        <v>1661</v>
      </c>
      <c r="B13">
        <f>VALUE(RIGHT(A13,LEN(A13)-3))</f>
        <v>276</v>
      </c>
      <c r="C13">
        <v>1</v>
      </c>
      <c r="D13" t="s">
        <v>32</v>
      </c>
      <c r="E13" t="s">
        <v>1663</v>
      </c>
      <c r="F13" t="s">
        <v>503</v>
      </c>
      <c r="G13" t="s">
        <v>43</v>
      </c>
      <c r="H13" t="s">
        <v>1662</v>
      </c>
      <c r="I13" t="s">
        <v>68</v>
      </c>
      <c r="K13" t="s">
        <v>4139</v>
      </c>
      <c r="L13" t="s">
        <v>3868</v>
      </c>
      <c r="M13" t="s">
        <v>57</v>
      </c>
    </row>
    <row r="14" spans="1:13" x14ac:dyDescent="0.2">
      <c r="A14" t="s">
        <v>1711</v>
      </c>
      <c r="B14">
        <f>VALUE(RIGHT(A14,LEN(A14)-3))</f>
        <v>285</v>
      </c>
      <c r="C14">
        <v>1</v>
      </c>
      <c r="D14" t="s">
        <v>32</v>
      </c>
      <c r="E14" t="s">
        <v>1713</v>
      </c>
      <c r="F14" t="s">
        <v>503</v>
      </c>
      <c r="G14" t="s">
        <v>43</v>
      </c>
      <c r="H14" t="s">
        <v>1712</v>
      </c>
      <c r="I14" t="s">
        <v>68</v>
      </c>
      <c r="K14" t="s">
        <v>4139</v>
      </c>
      <c r="L14" t="s">
        <v>3877</v>
      </c>
      <c r="M14" t="s">
        <v>57</v>
      </c>
    </row>
    <row r="15" spans="1:13" x14ac:dyDescent="0.2">
      <c r="A15" t="s">
        <v>1770</v>
      </c>
      <c r="B15">
        <f>VALUE(RIGHT(A15,LEN(A15)-3))</f>
        <v>295</v>
      </c>
      <c r="C15">
        <v>1</v>
      </c>
      <c r="D15" t="s">
        <v>32</v>
      </c>
      <c r="E15" t="s">
        <v>1078</v>
      </c>
      <c r="F15" t="s">
        <v>503</v>
      </c>
      <c r="G15" t="s">
        <v>43</v>
      </c>
      <c r="H15" t="s">
        <v>1765</v>
      </c>
      <c r="I15" t="s">
        <v>68</v>
      </c>
      <c r="K15" t="s">
        <v>4139</v>
      </c>
      <c r="L15" t="s">
        <v>3890</v>
      </c>
      <c r="M15" t="s">
        <v>57</v>
      </c>
    </row>
    <row r="16" spans="1:13" x14ac:dyDescent="0.2">
      <c r="A16" t="s">
        <v>1784</v>
      </c>
      <c r="B16">
        <f>VALUE(RIGHT(A16,LEN(A16)-3))</f>
        <v>298</v>
      </c>
      <c r="C16">
        <v>1</v>
      </c>
      <c r="D16" t="s">
        <v>32</v>
      </c>
      <c r="E16" t="s">
        <v>1786</v>
      </c>
      <c r="F16" t="s">
        <v>503</v>
      </c>
      <c r="G16" t="s">
        <v>43</v>
      </c>
      <c r="H16" t="s">
        <v>1785</v>
      </c>
      <c r="I16" t="s">
        <v>68</v>
      </c>
      <c r="K16" t="s">
        <v>4139</v>
      </c>
      <c r="L16" t="s">
        <v>3892</v>
      </c>
      <c r="M16" t="s">
        <v>57</v>
      </c>
    </row>
    <row r="17" spans="1:13" x14ac:dyDescent="0.2">
      <c r="A17" t="s">
        <v>1830</v>
      </c>
      <c r="B17">
        <f>VALUE(RIGHT(A17,LEN(A17)-3))</f>
        <v>307</v>
      </c>
      <c r="C17">
        <v>3</v>
      </c>
      <c r="D17" t="s">
        <v>32</v>
      </c>
      <c r="E17" t="s">
        <v>497</v>
      </c>
      <c r="F17" t="s">
        <v>503</v>
      </c>
      <c r="G17" t="s">
        <v>43</v>
      </c>
      <c r="H17" t="s">
        <v>1831</v>
      </c>
      <c r="I17" t="s">
        <v>68</v>
      </c>
      <c r="K17" t="s">
        <v>4139</v>
      </c>
      <c r="L17" t="s">
        <v>3898</v>
      </c>
      <c r="M17" t="s">
        <v>57</v>
      </c>
    </row>
    <row r="18" spans="1:13" x14ac:dyDescent="0.2">
      <c r="A18" t="s">
        <v>1855</v>
      </c>
      <c r="B18">
        <f>VALUE(RIGHT(A18,LEN(A18)-3))</f>
        <v>312</v>
      </c>
      <c r="C18">
        <v>1</v>
      </c>
      <c r="D18" t="s">
        <v>32</v>
      </c>
      <c r="E18" t="s">
        <v>1857</v>
      </c>
      <c r="F18" t="s">
        <v>503</v>
      </c>
      <c r="G18" t="s">
        <v>43</v>
      </c>
      <c r="H18" t="s">
        <v>1856</v>
      </c>
      <c r="I18" t="s">
        <v>68</v>
      </c>
      <c r="K18" t="s">
        <v>4139</v>
      </c>
      <c r="L18" t="s">
        <v>3901</v>
      </c>
      <c r="M18" t="s">
        <v>35</v>
      </c>
    </row>
    <row r="19" spans="1:13" x14ac:dyDescent="0.2">
      <c r="A19" t="s">
        <v>1888</v>
      </c>
      <c r="B19">
        <f>VALUE(RIGHT(A19,LEN(A19)-3))</f>
        <v>318</v>
      </c>
      <c r="C19">
        <v>1</v>
      </c>
      <c r="D19" t="s">
        <v>32</v>
      </c>
      <c r="E19" t="s">
        <v>842</v>
      </c>
      <c r="F19" t="s">
        <v>503</v>
      </c>
      <c r="G19" t="s">
        <v>43</v>
      </c>
      <c r="H19" t="s">
        <v>1889</v>
      </c>
      <c r="I19" t="s">
        <v>68</v>
      </c>
      <c r="K19" t="s">
        <v>4139</v>
      </c>
      <c r="L19" t="s">
        <v>3903</v>
      </c>
      <c r="M19" t="s">
        <v>57</v>
      </c>
    </row>
    <row r="20" spans="1:13" x14ac:dyDescent="0.2">
      <c r="A20" t="s">
        <v>1899</v>
      </c>
      <c r="B20">
        <f>VALUE(RIGHT(A20,LEN(A20)-3))</f>
        <v>320</v>
      </c>
      <c r="C20">
        <v>1</v>
      </c>
      <c r="D20" t="s">
        <v>32</v>
      </c>
      <c r="E20" t="s">
        <v>1902</v>
      </c>
      <c r="F20" t="s">
        <v>503</v>
      </c>
      <c r="G20" t="s">
        <v>43</v>
      </c>
      <c r="H20" t="s">
        <v>1900</v>
      </c>
      <c r="I20" t="s">
        <v>68</v>
      </c>
      <c r="K20" t="s">
        <v>4139</v>
      </c>
      <c r="L20" t="s">
        <v>3904</v>
      </c>
      <c r="M20" t="s">
        <v>57</v>
      </c>
    </row>
    <row r="21" spans="1:13" x14ac:dyDescent="0.2">
      <c r="A21" t="s">
        <v>1958</v>
      </c>
      <c r="B21">
        <f>VALUE(RIGHT(A21,LEN(A21)-3))</f>
        <v>331</v>
      </c>
      <c r="C21">
        <v>1</v>
      </c>
      <c r="D21" t="s">
        <v>32</v>
      </c>
      <c r="E21" t="s">
        <v>1961</v>
      </c>
      <c r="F21" t="s">
        <v>503</v>
      </c>
      <c r="G21" t="s">
        <v>43</v>
      </c>
      <c r="H21" t="s">
        <v>1959</v>
      </c>
      <c r="I21" t="s">
        <v>68</v>
      </c>
      <c r="K21" t="s">
        <v>4139</v>
      </c>
      <c r="L21" t="s">
        <v>3910</v>
      </c>
      <c r="M21" t="s">
        <v>57</v>
      </c>
    </row>
    <row r="22" spans="1:13" x14ac:dyDescent="0.2">
      <c r="A22" t="s">
        <v>2177</v>
      </c>
      <c r="B22">
        <f>VALUE(RIGHT(A22,LEN(A22)-3))</f>
        <v>371</v>
      </c>
      <c r="C22">
        <v>2</v>
      </c>
      <c r="D22" t="s">
        <v>32</v>
      </c>
      <c r="E22" t="s">
        <v>2180</v>
      </c>
      <c r="F22" t="s">
        <v>602</v>
      </c>
      <c r="G22" t="s">
        <v>43</v>
      </c>
      <c r="H22" t="s">
        <v>2178</v>
      </c>
      <c r="I22" t="s">
        <v>68</v>
      </c>
      <c r="K22" t="s">
        <v>4139</v>
      </c>
      <c r="L22" t="s">
        <v>3941</v>
      </c>
      <c r="M22" t="s">
        <v>130</v>
      </c>
    </row>
    <row r="23" spans="1:13" x14ac:dyDescent="0.2">
      <c r="A23" t="s">
        <v>2313</v>
      </c>
      <c r="B23">
        <f>VALUE(RIGHT(A23,LEN(A23)-3))</f>
        <v>393</v>
      </c>
      <c r="C23">
        <v>3</v>
      </c>
      <c r="D23" t="s">
        <v>32</v>
      </c>
      <c r="E23" t="s">
        <v>1748</v>
      </c>
      <c r="F23" t="s">
        <v>503</v>
      </c>
      <c r="G23" t="s">
        <v>43</v>
      </c>
      <c r="H23" t="s">
        <v>2314</v>
      </c>
      <c r="I23" t="s">
        <v>68</v>
      </c>
      <c r="K23" t="s">
        <v>4139</v>
      </c>
      <c r="L23" t="s">
        <v>3961</v>
      </c>
      <c r="M23" t="s">
        <v>57</v>
      </c>
    </row>
    <row r="24" spans="1:13" x14ac:dyDescent="0.2">
      <c r="A24" t="s">
        <v>2324</v>
      </c>
      <c r="B24">
        <f>VALUE(RIGHT(A24,LEN(A24)-3))</f>
        <v>395</v>
      </c>
      <c r="C24">
        <v>1</v>
      </c>
      <c r="D24" t="s">
        <v>32</v>
      </c>
      <c r="E24" t="s">
        <v>2326</v>
      </c>
      <c r="F24" t="s">
        <v>30</v>
      </c>
      <c r="G24" t="s">
        <v>43</v>
      </c>
      <c r="H24" t="s">
        <v>2325</v>
      </c>
      <c r="I24" t="s">
        <v>68</v>
      </c>
      <c r="K24" t="s">
        <v>4139</v>
      </c>
      <c r="L24" t="s">
        <v>3963</v>
      </c>
      <c r="M24" t="s">
        <v>57</v>
      </c>
    </row>
    <row r="25" spans="1:13" x14ac:dyDescent="0.2">
      <c r="A25" t="s">
        <v>2356</v>
      </c>
      <c r="B25">
        <f>VALUE(RIGHT(A25,LEN(A25)-3))</f>
        <v>400</v>
      </c>
      <c r="C25">
        <v>3</v>
      </c>
      <c r="D25" t="s">
        <v>32</v>
      </c>
      <c r="E25" t="s">
        <v>2359</v>
      </c>
      <c r="F25" t="s">
        <v>30</v>
      </c>
      <c r="G25" t="s">
        <v>29</v>
      </c>
      <c r="H25" t="s">
        <v>2357</v>
      </c>
      <c r="I25" t="s">
        <v>68</v>
      </c>
      <c r="K25" t="s">
        <v>4139</v>
      </c>
      <c r="L25" t="s">
        <v>3973</v>
      </c>
      <c r="M25" t="s">
        <v>57</v>
      </c>
    </row>
    <row r="26" spans="1:13" x14ac:dyDescent="0.2">
      <c r="A26" t="s">
        <v>2447</v>
      </c>
      <c r="B26">
        <f>VALUE(RIGHT(A26,LEN(A26)-3))</f>
        <v>415</v>
      </c>
      <c r="C26">
        <v>1</v>
      </c>
      <c r="D26" t="s">
        <v>32</v>
      </c>
      <c r="E26" t="s">
        <v>1078</v>
      </c>
      <c r="F26" t="s">
        <v>602</v>
      </c>
      <c r="G26" t="s">
        <v>43</v>
      </c>
      <c r="H26" t="s">
        <v>2448</v>
      </c>
      <c r="I26" t="s">
        <v>68</v>
      </c>
      <c r="K26" t="s">
        <v>4139</v>
      </c>
      <c r="L26" t="s">
        <v>3991</v>
      </c>
      <c r="M26" t="s">
        <v>57</v>
      </c>
    </row>
    <row r="27" spans="1:13" x14ac:dyDescent="0.2">
      <c r="A27" t="s">
        <v>2487</v>
      </c>
      <c r="B27">
        <f>VALUE(RIGHT(A27,LEN(A27)-3))</f>
        <v>422</v>
      </c>
      <c r="C27">
        <v>2</v>
      </c>
      <c r="D27" t="s">
        <v>32</v>
      </c>
      <c r="E27" t="s">
        <v>2489</v>
      </c>
      <c r="F27" t="s">
        <v>602</v>
      </c>
      <c r="G27" t="s">
        <v>43</v>
      </c>
      <c r="H27" t="s">
        <v>2488</v>
      </c>
      <c r="I27" t="s">
        <v>68</v>
      </c>
      <c r="K27" t="s">
        <v>4139</v>
      </c>
      <c r="L27" t="s">
        <v>3997</v>
      </c>
      <c r="M27" t="s">
        <v>57</v>
      </c>
    </row>
    <row r="28" spans="1:13" x14ac:dyDescent="0.2">
      <c r="A28" t="s">
        <v>2555</v>
      </c>
      <c r="B28">
        <f>VALUE(RIGHT(A28,LEN(A28)-3))</f>
        <v>435</v>
      </c>
      <c r="C28">
        <v>1</v>
      </c>
      <c r="D28" t="s">
        <v>32</v>
      </c>
      <c r="E28" t="s">
        <v>1078</v>
      </c>
      <c r="F28" t="s">
        <v>503</v>
      </c>
      <c r="G28" t="s">
        <v>43</v>
      </c>
      <c r="H28" t="s">
        <v>2556</v>
      </c>
      <c r="I28" t="s">
        <v>68</v>
      </c>
      <c r="K28" t="s">
        <v>4139</v>
      </c>
      <c r="L28" t="s">
        <v>4008</v>
      </c>
      <c r="M28" t="s">
        <v>35</v>
      </c>
    </row>
    <row r="29" spans="1:13" x14ac:dyDescent="0.2">
      <c r="A29" t="s">
        <v>2566</v>
      </c>
      <c r="B29">
        <f>VALUE(RIGHT(A29,LEN(A29)-3))</f>
        <v>437</v>
      </c>
      <c r="C29">
        <v>2</v>
      </c>
      <c r="D29" t="s">
        <v>32</v>
      </c>
      <c r="E29" t="s">
        <v>2569</v>
      </c>
      <c r="F29" t="s">
        <v>503</v>
      </c>
      <c r="G29" t="s">
        <v>43</v>
      </c>
      <c r="H29" t="s">
        <v>2567</v>
      </c>
      <c r="I29" t="s">
        <v>68</v>
      </c>
      <c r="K29" t="s">
        <v>4139</v>
      </c>
      <c r="L29" t="s">
        <v>4011</v>
      </c>
      <c r="M29" t="s">
        <v>35</v>
      </c>
    </row>
    <row r="30" spans="1:13" x14ac:dyDescent="0.2">
      <c r="A30" t="s">
        <v>2683</v>
      </c>
      <c r="B30">
        <f>VALUE(RIGHT(A30,LEN(A30)-3))</f>
        <v>458</v>
      </c>
      <c r="C30">
        <v>1</v>
      </c>
      <c r="D30" t="s">
        <v>32</v>
      </c>
      <c r="E30" t="s">
        <v>1078</v>
      </c>
      <c r="F30" t="s">
        <v>503</v>
      </c>
      <c r="G30" t="s">
        <v>43</v>
      </c>
      <c r="H30" t="s">
        <v>2684</v>
      </c>
      <c r="I30" t="s">
        <v>68</v>
      </c>
      <c r="K30" t="s">
        <v>4139</v>
      </c>
      <c r="L30" t="s">
        <v>4034</v>
      </c>
      <c r="M30" t="s">
        <v>35</v>
      </c>
    </row>
    <row r="31" spans="1:13" x14ac:dyDescent="0.2">
      <c r="A31" t="s">
        <v>2730</v>
      </c>
      <c r="B31">
        <f>VALUE(RIGHT(A31,LEN(A31)-3))</f>
        <v>467</v>
      </c>
      <c r="C31">
        <v>1</v>
      </c>
      <c r="D31" t="s">
        <v>32</v>
      </c>
      <c r="E31" t="s">
        <v>2732</v>
      </c>
      <c r="F31" t="s">
        <v>503</v>
      </c>
      <c r="G31" t="s">
        <v>43</v>
      </c>
      <c r="H31" t="s">
        <v>2731</v>
      </c>
      <c r="I31" t="s">
        <v>68</v>
      </c>
      <c r="K31" t="s">
        <v>4139</v>
      </c>
      <c r="L31" t="s">
        <v>4036</v>
      </c>
      <c r="M31" t="s">
        <v>35</v>
      </c>
    </row>
    <row r="32" spans="1:13" x14ac:dyDescent="0.2">
      <c r="A32" t="s">
        <v>2903</v>
      </c>
      <c r="B32">
        <f>VALUE(RIGHT(A32,LEN(A32)-3))</f>
        <v>499</v>
      </c>
      <c r="C32">
        <v>1</v>
      </c>
      <c r="D32" t="s">
        <v>32</v>
      </c>
      <c r="E32" t="s">
        <v>790</v>
      </c>
      <c r="F32" t="s">
        <v>602</v>
      </c>
      <c r="G32" t="s">
        <v>43</v>
      </c>
      <c r="H32" t="s">
        <v>2904</v>
      </c>
      <c r="I32" t="s">
        <v>68</v>
      </c>
      <c r="K32" t="s">
        <v>4139</v>
      </c>
      <c r="L32" t="s">
        <v>4070</v>
      </c>
      <c r="M32" t="s">
        <v>57</v>
      </c>
    </row>
    <row r="33" spans="1:13" x14ac:dyDescent="0.2">
      <c r="A33" t="s">
        <v>2927</v>
      </c>
      <c r="B33">
        <f>VALUE(RIGHT(A33,LEN(A33)-3))</f>
        <v>504</v>
      </c>
      <c r="C33">
        <v>3</v>
      </c>
      <c r="D33" t="s">
        <v>32</v>
      </c>
      <c r="E33" t="s">
        <v>2931</v>
      </c>
      <c r="F33" t="s">
        <v>503</v>
      </c>
      <c r="G33" t="s">
        <v>43</v>
      </c>
      <c r="H33" t="s">
        <v>2928</v>
      </c>
      <c r="I33" t="s">
        <v>68</v>
      </c>
      <c r="K33" t="s">
        <v>4139</v>
      </c>
      <c r="L33" t="s">
        <v>4074</v>
      </c>
      <c r="M33" t="s">
        <v>35</v>
      </c>
    </row>
    <row r="34" spans="1:13" x14ac:dyDescent="0.2">
      <c r="A34" t="s">
        <v>2991</v>
      </c>
      <c r="B34">
        <f>VALUE(RIGHT(A34,LEN(A34)-3))</f>
        <v>515</v>
      </c>
      <c r="C34">
        <v>1</v>
      </c>
      <c r="D34" t="s">
        <v>32</v>
      </c>
      <c r="E34" t="s">
        <v>1078</v>
      </c>
      <c r="F34" t="s">
        <v>503</v>
      </c>
      <c r="G34" t="s">
        <v>43</v>
      </c>
      <c r="H34" t="s">
        <v>2992</v>
      </c>
      <c r="I34" t="s">
        <v>68</v>
      </c>
      <c r="K34" t="s">
        <v>4139</v>
      </c>
      <c r="L34" t="s">
        <v>4090</v>
      </c>
      <c r="M34" t="s">
        <v>57</v>
      </c>
    </row>
    <row r="35" spans="1:13" x14ac:dyDescent="0.2">
      <c r="A35" t="s">
        <v>970</v>
      </c>
      <c r="B35">
        <f>VALUE(RIGHT(A35,LEN(A35)-3))</f>
        <v>149</v>
      </c>
      <c r="C35">
        <v>2</v>
      </c>
      <c r="D35" t="s">
        <v>32</v>
      </c>
      <c r="E35" t="s">
        <v>973</v>
      </c>
      <c r="F35" t="s">
        <v>30</v>
      </c>
      <c r="G35" t="s">
        <v>43</v>
      </c>
      <c r="H35" t="s">
        <v>971</v>
      </c>
      <c r="I35" t="s">
        <v>291</v>
      </c>
      <c r="J35" t="s">
        <v>1105</v>
      </c>
      <c r="K35" t="s">
        <v>3769</v>
      </c>
      <c r="L35" t="s">
        <v>3770</v>
      </c>
      <c r="M35" t="s">
        <v>57</v>
      </c>
    </row>
    <row r="36" spans="1:13" x14ac:dyDescent="0.2">
      <c r="A36" t="s">
        <v>237</v>
      </c>
      <c r="B36">
        <f>VALUE(RIGHT(A36,LEN(A36)-3))</f>
        <v>28</v>
      </c>
      <c r="C36">
        <v>3</v>
      </c>
      <c r="D36" t="s">
        <v>32</v>
      </c>
      <c r="E36" t="s">
        <v>239</v>
      </c>
      <c r="F36" t="s">
        <v>30</v>
      </c>
      <c r="G36" t="s">
        <v>43</v>
      </c>
      <c r="H36" t="s">
        <v>238</v>
      </c>
      <c r="I36" t="s">
        <v>291</v>
      </c>
      <c r="J36" t="s">
        <v>1354</v>
      </c>
      <c r="K36" t="s">
        <v>3676</v>
      </c>
      <c r="L36" t="s">
        <v>3658</v>
      </c>
      <c r="M36" t="s">
        <v>57</v>
      </c>
    </row>
    <row r="37" spans="1:13" x14ac:dyDescent="0.2">
      <c r="A37" t="s">
        <v>286</v>
      </c>
      <c r="B37">
        <f>VALUE(RIGHT(A37,LEN(A37)-3))</f>
        <v>36</v>
      </c>
      <c r="C37">
        <v>1</v>
      </c>
      <c r="D37" t="s">
        <v>32</v>
      </c>
      <c r="E37" t="s">
        <v>289</v>
      </c>
      <c r="F37" t="s">
        <v>30</v>
      </c>
      <c r="G37" t="s">
        <v>43</v>
      </c>
      <c r="H37" t="s">
        <v>287</v>
      </c>
      <c r="I37" t="s">
        <v>291</v>
      </c>
      <c r="J37" t="s">
        <v>1354</v>
      </c>
      <c r="K37" t="s">
        <v>3676</v>
      </c>
      <c r="L37" t="s">
        <v>3667</v>
      </c>
      <c r="M37" t="s">
        <v>57</v>
      </c>
    </row>
    <row r="38" spans="1:13" x14ac:dyDescent="0.2">
      <c r="A38" t="s">
        <v>310</v>
      </c>
      <c r="B38">
        <f>VALUE(RIGHT(A38,LEN(A38)-3))</f>
        <v>40</v>
      </c>
      <c r="C38">
        <v>1</v>
      </c>
      <c r="D38" t="s">
        <v>32</v>
      </c>
      <c r="E38" t="s">
        <v>312</v>
      </c>
      <c r="F38" t="s">
        <v>30</v>
      </c>
      <c r="G38" t="s">
        <v>43</v>
      </c>
      <c r="H38" t="s">
        <v>311</v>
      </c>
      <c r="I38" t="s">
        <v>291</v>
      </c>
      <c r="J38" t="s">
        <v>1354</v>
      </c>
      <c r="K38" t="s">
        <v>3676</v>
      </c>
      <c r="L38" t="s">
        <v>3668</v>
      </c>
      <c r="M38" t="s">
        <v>57</v>
      </c>
    </row>
    <row r="39" spans="1:13" x14ac:dyDescent="0.2">
      <c r="A39" t="s">
        <v>383</v>
      </c>
      <c r="B39">
        <f>VALUE(RIGHT(A39,LEN(A39)-3))</f>
        <v>51</v>
      </c>
      <c r="C39">
        <v>1</v>
      </c>
      <c r="D39" t="s">
        <v>32</v>
      </c>
      <c r="E39" t="s">
        <v>386</v>
      </c>
      <c r="F39" t="s">
        <v>30</v>
      </c>
      <c r="G39" t="s">
        <v>43</v>
      </c>
      <c r="H39" t="s">
        <v>384</v>
      </c>
      <c r="I39" t="s">
        <v>291</v>
      </c>
      <c r="J39" t="s">
        <v>1354</v>
      </c>
      <c r="K39" t="s">
        <v>3676</v>
      </c>
      <c r="L39" t="s">
        <v>3682</v>
      </c>
      <c r="M39" t="s">
        <v>57</v>
      </c>
    </row>
    <row r="40" spans="1:13" x14ac:dyDescent="0.2">
      <c r="A40" t="s">
        <v>483</v>
      </c>
      <c r="B40">
        <f>VALUE(RIGHT(A40,LEN(A40)-3))</f>
        <v>67</v>
      </c>
      <c r="C40">
        <v>1</v>
      </c>
      <c r="D40" t="s">
        <v>32</v>
      </c>
      <c r="E40" t="s">
        <v>485</v>
      </c>
      <c r="F40" t="s">
        <v>30</v>
      </c>
      <c r="G40" t="s">
        <v>43</v>
      </c>
      <c r="H40" t="s">
        <v>484</v>
      </c>
      <c r="I40" t="s">
        <v>291</v>
      </c>
      <c r="J40" t="s">
        <v>1354</v>
      </c>
      <c r="K40" t="s">
        <v>3676</v>
      </c>
      <c r="L40" t="s">
        <v>3705</v>
      </c>
      <c r="M40" t="s">
        <v>57</v>
      </c>
    </row>
    <row r="41" spans="1:13" x14ac:dyDescent="0.2">
      <c r="A41" t="s">
        <v>726</v>
      </c>
      <c r="B41">
        <f>VALUE(RIGHT(A41,LEN(A41)-3))</f>
        <v>107</v>
      </c>
      <c r="C41">
        <v>1</v>
      </c>
      <c r="D41" t="s">
        <v>32</v>
      </c>
      <c r="E41" t="s">
        <v>728</v>
      </c>
      <c r="F41" t="s">
        <v>30</v>
      </c>
      <c r="G41" t="s">
        <v>43</v>
      </c>
      <c r="H41" t="s">
        <v>727</v>
      </c>
      <c r="I41" t="s">
        <v>291</v>
      </c>
      <c r="J41" t="s">
        <v>1354</v>
      </c>
      <c r="K41" t="s">
        <v>3676</v>
      </c>
      <c r="L41" t="s">
        <v>3738</v>
      </c>
      <c r="M41" t="s">
        <v>57</v>
      </c>
    </row>
    <row r="42" spans="1:13" x14ac:dyDescent="0.2">
      <c r="A42" t="s">
        <v>830</v>
      </c>
      <c r="B42">
        <f>VALUE(RIGHT(A42,LEN(A42)-3))</f>
        <v>125</v>
      </c>
      <c r="C42">
        <v>1</v>
      </c>
      <c r="D42" t="s">
        <v>32</v>
      </c>
      <c r="E42" t="s">
        <v>832</v>
      </c>
      <c r="F42" t="s">
        <v>503</v>
      </c>
      <c r="G42" t="s">
        <v>43</v>
      </c>
      <c r="H42" t="s">
        <v>831</v>
      </c>
      <c r="I42" t="s">
        <v>291</v>
      </c>
      <c r="J42" t="s">
        <v>1354</v>
      </c>
      <c r="K42" t="s">
        <v>3676</v>
      </c>
      <c r="L42" t="s">
        <v>3750</v>
      </c>
      <c r="M42" t="s">
        <v>57</v>
      </c>
    </row>
    <row r="43" spans="1:13" x14ac:dyDescent="0.2">
      <c r="A43" t="s">
        <v>873</v>
      </c>
      <c r="B43">
        <f>VALUE(RIGHT(A43,LEN(A43)-3))</f>
        <v>133</v>
      </c>
      <c r="C43">
        <v>1</v>
      </c>
      <c r="D43" t="s">
        <v>32</v>
      </c>
      <c r="E43" t="s">
        <v>875</v>
      </c>
      <c r="F43" t="s">
        <v>503</v>
      </c>
      <c r="G43" t="s">
        <v>43</v>
      </c>
      <c r="H43" t="s">
        <v>874</v>
      </c>
      <c r="I43" t="s">
        <v>291</v>
      </c>
      <c r="J43" t="s">
        <v>1354</v>
      </c>
      <c r="K43" t="s">
        <v>3676</v>
      </c>
      <c r="L43" t="s">
        <v>3757</v>
      </c>
      <c r="M43" t="s">
        <v>57</v>
      </c>
    </row>
    <row r="44" spans="1:13" x14ac:dyDescent="0.2">
      <c r="A44" t="s">
        <v>1246</v>
      </c>
      <c r="B44">
        <f>VALUE(RIGHT(A44,LEN(A44)-3))</f>
        <v>198</v>
      </c>
      <c r="C44">
        <v>2</v>
      </c>
      <c r="D44" t="s">
        <v>32</v>
      </c>
      <c r="E44" t="s">
        <v>1249</v>
      </c>
      <c r="F44" t="s">
        <v>503</v>
      </c>
      <c r="G44" t="s">
        <v>43</v>
      </c>
      <c r="H44" t="s">
        <v>1247</v>
      </c>
      <c r="I44" t="s">
        <v>291</v>
      </c>
      <c r="J44" t="s">
        <v>1354</v>
      </c>
      <c r="K44" t="s">
        <v>3676</v>
      </c>
      <c r="L44" t="s">
        <v>3803</v>
      </c>
      <c r="M44" t="s">
        <v>57</v>
      </c>
    </row>
    <row r="45" spans="1:13" x14ac:dyDescent="0.2">
      <c r="A45" t="s">
        <v>1356</v>
      </c>
      <c r="B45">
        <f>VALUE(RIGHT(A45,LEN(A45)-3))</f>
        <v>218</v>
      </c>
      <c r="C45">
        <v>1</v>
      </c>
      <c r="D45" t="s">
        <v>32</v>
      </c>
      <c r="E45" t="s">
        <v>679</v>
      </c>
      <c r="F45" t="s">
        <v>503</v>
      </c>
      <c r="G45" t="s">
        <v>43</v>
      </c>
      <c r="H45" t="s">
        <v>1357</v>
      </c>
      <c r="I45" t="s">
        <v>291</v>
      </c>
      <c r="J45" t="s">
        <v>1354</v>
      </c>
      <c r="K45" t="s">
        <v>3676</v>
      </c>
      <c r="L45" t="s">
        <v>3822</v>
      </c>
      <c r="M45" t="s">
        <v>57</v>
      </c>
    </row>
    <row r="46" spans="1:13" x14ac:dyDescent="0.2">
      <c r="A46" t="s">
        <v>1395</v>
      </c>
      <c r="B46">
        <f>VALUE(RIGHT(A46,LEN(A46)-3))</f>
        <v>225</v>
      </c>
      <c r="C46">
        <v>1</v>
      </c>
      <c r="D46" t="s">
        <v>32</v>
      </c>
      <c r="E46" t="s">
        <v>1398</v>
      </c>
      <c r="F46" t="s">
        <v>30</v>
      </c>
      <c r="G46" t="s">
        <v>29</v>
      </c>
      <c r="H46" t="s">
        <v>1396</v>
      </c>
      <c r="I46" t="s">
        <v>291</v>
      </c>
      <c r="J46" t="s">
        <v>1354</v>
      </c>
      <c r="K46" t="s">
        <v>3676</v>
      </c>
      <c r="L46" t="s">
        <v>3830</v>
      </c>
      <c r="M46" t="s">
        <v>57</v>
      </c>
    </row>
    <row r="47" spans="1:13" x14ac:dyDescent="0.2">
      <c r="A47" t="s">
        <v>1413</v>
      </c>
      <c r="B47">
        <f>VALUE(RIGHT(A47,LEN(A47)-3))</f>
        <v>228</v>
      </c>
      <c r="C47">
        <v>2</v>
      </c>
      <c r="D47" t="s">
        <v>32</v>
      </c>
      <c r="E47" t="s">
        <v>1415</v>
      </c>
      <c r="F47" t="s">
        <v>30</v>
      </c>
      <c r="G47" t="s">
        <v>43</v>
      </c>
      <c r="H47" t="s">
        <v>1414</v>
      </c>
      <c r="I47" t="s">
        <v>291</v>
      </c>
      <c r="J47" t="s">
        <v>1354</v>
      </c>
      <c r="K47" t="s">
        <v>3676</v>
      </c>
      <c r="L47" t="s">
        <v>3835</v>
      </c>
      <c r="M47" t="s">
        <v>57</v>
      </c>
    </row>
    <row r="48" spans="1:13" x14ac:dyDescent="0.2">
      <c r="A48" t="s">
        <v>1449</v>
      </c>
      <c r="B48">
        <f>VALUE(RIGHT(A48,LEN(A48)-3))</f>
        <v>235</v>
      </c>
      <c r="C48">
        <v>1</v>
      </c>
      <c r="D48" t="s">
        <v>32</v>
      </c>
      <c r="E48" t="s">
        <v>1451</v>
      </c>
      <c r="F48" t="s">
        <v>503</v>
      </c>
      <c r="G48" t="s">
        <v>43</v>
      </c>
      <c r="H48" t="s">
        <v>1445</v>
      </c>
      <c r="I48" t="s">
        <v>291</v>
      </c>
      <c r="J48" t="s">
        <v>1354</v>
      </c>
      <c r="K48" t="s">
        <v>3676</v>
      </c>
      <c r="L48" t="s">
        <v>3841</v>
      </c>
      <c r="M48" t="s">
        <v>35</v>
      </c>
    </row>
    <row r="49" spans="1:13" x14ac:dyDescent="0.2">
      <c r="A49" t="s">
        <v>1699</v>
      </c>
      <c r="B49">
        <f>VALUE(RIGHT(A49,LEN(A49)-3))</f>
        <v>283</v>
      </c>
      <c r="C49">
        <v>1</v>
      </c>
      <c r="D49" t="s">
        <v>32</v>
      </c>
      <c r="E49" t="s">
        <v>1702</v>
      </c>
      <c r="F49" t="s">
        <v>602</v>
      </c>
      <c r="G49" t="s">
        <v>43</v>
      </c>
      <c r="H49" t="s">
        <v>1700</v>
      </c>
      <c r="I49" t="s">
        <v>291</v>
      </c>
      <c r="J49" t="s">
        <v>1354</v>
      </c>
      <c r="K49" t="s">
        <v>3676</v>
      </c>
      <c r="L49" t="s">
        <v>3875</v>
      </c>
      <c r="M49" t="s">
        <v>57</v>
      </c>
    </row>
    <row r="50" spans="1:13" x14ac:dyDescent="0.2">
      <c r="A50" t="s">
        <v>1789</v>
      </c>
      <c r="B50">
        <f>VALUE(RIGHT(A50,LEN(A50)-3))</f>
        <v>299</v>
      </c>
      <c r="C50">
        <v>2</v>
      </c>
      <c r="D50" t="s">
        <v>32</v>
      </c>
      <c r="E50" t="s">
        <v>1791</v>
      </c>
      <c r="F50" t="s">
        <v>602</v>
      </c>
      <c r="G50" t="s">
        <v>43</v>
      </c>
      <c r="H50" t="s">
        <v>1785</v>
      </c>
      <c r="I50" t="s">
        <v>291</v>
      </c>
      <c r="J50" t="s">
        <v>1354</v>
      </c>
      <c r="K50" t="s">
        <v>3676</v>
      </c>
      <c r="L50" t="s">
        <v>3894</v>
      </c>
      <c r="M50" t="s">
        <v>57</v>
      </c>
    </row>
    <row r="51" spans="1:13" x14ac:dyDescent="0.2">
      <c r="A51" t="s">
        <v>1837</v>
      </c>
      <c r="B51">
        <f>VALUE(RIGHT(A51,LEN(A51)-3))</f>
        <v>308</v>
      </c>
      <c r="C51">
        <v>1</v>
      </c>
      <c r="D51" t="s">
        <v>32</v>
      </c>
      <c r="E51" t="s">
        <v>1839</v>
      </c>
      <c r="F51" t="s">
        <v>503</v>
      </c>
      <c r="G51" t="s">
        <v>43</v>
      </c>
      <c r="H51" t="s">
        <v>1838</v>
      </c>
      <c r="I51" t="s">
        <v>291</v>
      </c>
      <c r="J51" t="s">
        <v>1354</v>
      </c>
      <c r="K51" t="s">
        <v>3676</v>
      </c>
      <c r="L51" t="s">
        <v>3899</v>
      </c>
      <c r="M51" t="s">
        <v>57</v>
      </c>
    </row>
    <row r="52" spans="1:13" x14ac:dyDescent="0.2">
      <c r="A52" t="s">
        <v>1911</v>
      </c>
      <c r="B52">
        <f>VALUE(RIGHT(A52,LEN(A52)-3))</f>
        <v>322</v>
      </c>
      <c r="C52">
        <v>1</v>
      </c>
      <c r="D52" t="s">
        <v>32</v>
      </c>
      <c r="E52" t="s">
        <v>553</v>
      </c>
      <c r="F52" t="s">
        <v>503</v>
      </c>
      <c r="G52" t="s">
        <v>43</v>
      </c>
      <c r="H52" t="s">
        <v>1912</v>
      </c>
      <c r="I52" t="s">
        <v>291</v>
      </c>
      <c r="J52" t="s">
        <v>1354</v>
      </c>
      <c r="K52" t="s">
        <v>3676</v>
      </c>
      <c r="L52" t="s">
        <v>3905</v>
      </c>
      <c r="M52" t="s">
        <v>35</v>
      </c>
    </row>
    <row r="53" spans="1:13" x14ac:dyDescent="0.2">
      <c r="A53" t="s">
        <v>2000</v>
      </c>
      <c r="B53">
        <f>VALUE(RIGHT(A53,LEN(A53)-3))</f>
        <v>338</v>
      </c>
      <c r="C53">
        <v>1</v>
      </c>
      <c r="D53" t="s">
        <v>32</v>
      </c>
      <c r="E53" t="s">
        <v>2004</v>
      </c>
      <c r="F53" t="s">
        <v>503</v>
      </c>
      <c r="G53" t="s">
        <v>43</v>
      </c>
      <c r="H53" t="s">
        <v>2001</v>
      </c>
      <c r="I53" t="s">
        <v>291</v>
      </c>
      <c r="J53" t="s">
        <v>1354</v>
      </c>
      <c r="K53" t="s">
        <v>3676</v>
      </c>
      <c r="L53" t="s">
        <v>3918</v>
      </c>
      <c r="M53" t="s">
        <v>57</v>
      </c>
    </row>
    <row r="54" spans="1:13" x14ac:dyDescent="0.2">
      <c r="A54" t="s">
        <v>2013</v>
      </c>
      <c r="B54">
        <f>VALUE(RIGHT(A54,LEN(A54)-3))</f>
        <v>340</v>
      </c>
      <c r="C54">
        <v>1</v>
      </c>
      <c r="D54" t="s">
        <v>32</v>
      </c>
      <c r="E54" t="s">
        <v>2015</v>
      </c>
      <c r="F54" t="s">
        <v>602</v>
      </c>
      <c r="G54" t="s">
        <v>43</v>
      </c>
      <c r="H54" t="s">
        <v>2014</v>
      </c>
      <c r="I54" t="s">
        <v>291</v>
      </c>
      <c r="J54" t="s">
        <v>1354</v>
      </c>
      <c r="K54" t="s">
        <v>3676</v>
      </c>
      <c r="L54" t="s">
        <v>3919</v>
      </c>
      <c r="M54" t="s">
        <v>57</v>
      </c>
    </row>
    <row r="55" spans="1:13" x14ac:dyDescent="0.2">
      <c r="A55" t="s">
        <v>2038</v>
      </c>
      <c r="B55">
        <f>VALUE(RIGHT(A55,LEN(A55)-3))</f>
        <v>345</v>
      </c>
      <c r="C55">
        <v>1</v>
      </c>
      <c r="D55" t="s">
        <v>32</v>
      </c>
      <c r="E55" t="s">
        <v>2039</v>
      </c>
      <c r="F55" t="s">
        <v>30</v>
      </c>
      <c r="G55" t="s">
        <v>43</v>
      </c>
      <c r="H55" t="s">
        <v>2030</v>
      </c>
      <c r="I55" t="s">
        <v>291</v>
      </c>
      <c r="J55" t="s">
        <v>1354</v>
      </c>
      <c r="K55" t="s">
        <v>3676</v>
      </c>
      <c r="L55" t="s">
        <v>3925</v>
      </c>
      <c r="M55" t="s">
        <v>57</v>
      </c>
    </row>
    <row r="56" spans="1:13" x14ac:dyDescent="0.2">
      <c r="A56" t="s">
        <v>2153</v>
      </c>
      <c r="B56">
        <f>VALUE(RIGHT(A56,LEN(A56)-3))</f>
        <v>368</v>
      </c>
      <c r="C56">
        <v>1</v>
      </c>
      <c r="D56" t="s">
        <v>32</v>
      </c>
      <c r="E56" t="s">
        <v>2156</v>
      </c>
      <c r="F56" t="s">
        <v>503</v>
      </c>
      <c r="G56" t="s">
        <v>43</v>
      </c>
      <c r="H56" t="s">
        <v>2154</v>
      </c>
      <c r="I56" t="s">
        <v>291</v>
      </c>
      <c r="J56" t="s">
        <v>1354</v>
      </c>
      <c r="K56" t="s">
        <v>3676</v>
      </c>
      <c r="L56" t="s">
        <v>3939</v>
      </c>
      <c r="M56" t="s">
        <v>57</v>
      </c>
    </row>
    <row r="57" spans="1:13" x14ac:dyDescent="0.2">
      <c r="A57" t="s">
        <v>2309</v>
      </c>
      <c r="B57">
        <f>VALUE(RIGHT(A57,LEN(A57)-3))</f>
        <v>392</v>
      </c>
      <c r="C57">
        <v>2</v>
      </c>
      <c r="D57" t="s">
        <v>32</v>
      </c>
      <c r="E57" t="s">
        <v>1078</v>
      </c>
      <c r="F57" t="s">
        <v>503</v>
      </c>
      <c r="G57" t="s">
        <v>43</v>
      </c>
      <c r="H57" t="s">
        <v>2310</v>
      </c>
      <c r="I57" t="s">
        <v>291</v>
      </c>
      <c r="J57" t="s">
        <v>1354</v>
      </c>
      <c r="K57" t="s">
        <v>3676</v>
      </c>
      <c r="L57" t="s">
        <v>3957</v>
      </c>
      <c r="M57" t="s">
        <v>35</v>
      </c>
    </row>
    <row r="58" spans="1:13" x14ac:dyDescent="0.2">
      <c r="A58" t="s">
        <v>2330</v>
      </c>
      <c r="B58">
        <f>VALUE(RIGHT(A58,LEN(A58)-3))</f>
        <v>396</v>
      </c>
      <c r="C58">
        <v>1</v>
      </c>
      <c r="D58" t="s">
        <v>32</v>
      </c>
      <c r="E58" t="s">
        <v>2332</v>
      </c>
      <c r="F58" t="s">
        <v>602</v>
      </c>
      <c r="G58" t="s">
        <v>43</v>
      </c>
      <c r="H58" t="s">
        <v>2325</v>
      </c>
      <c r="I58" t="s">
        <v>291</v>
      </c>
      <c r="J58" t="s">
        <v>1354</v>
      </c>
      <c r="K58" t="s">
        <v>3676</v>
      </c>
      <c r="L58" t="s">
        <v>3964</v>
      </c>
      <c r="M58" t="s">
        <v>57</v>
      </c>
    </row>
    <row r="59" spans="1:13" x14ac:dyDescent="0.2">
      <c r="A59" t="s">
        <v>2356</v>
      </c>
      <c r="B59">
        <f>VALUE(RIGHT(A59,LEN(A59)-3))</f>
        <v>400</v>
      </c>
      <c r="C59">
        <v>1</v>
      </c>
      <c r="D59" t="s">
        <v>32</v>
      </c>
      <c r="E59" t="s">
        <v>2359</v>
      </c>
      <c r="F59" t="s">
        <v>30</v>
      </c>
      <c r="G59" t="s">
        <v>29</v>
      </c>
      <c r="H59" t="s">
        <v>2357</v>
      </c>
      <c r="I59" t="s">
        <v>291</v>
      </c>
      <c r="J59" t="s">
        <v>1354</v>
      </c>
      <c r="K59" t="s">
        <v>3676</v>
      </c>
      <c r="L59" t="s">
        <v>3971</v>
      </c>
      <c r="M59" t="s">
        <v>57</v>
      </c>
    </row>
    <row r="60" spans="1:13" x14ac:dyDescent="0.2">
      <c r="A60" t="s">
        <v>2593</v>
      </c>
      <c r="B60">
        <f>VALUE(RIGHT(A60,LEN(A60)-3))</f>
        <v>442</v>
      </c>
      <c r="C60">
        <v>2</v>
      </c>
      <c r="D60" t="s">
        <v>32</v>
      </c>
      <c r="E60" t="s">
        <v>2596</v>
      </c>
      <c r="F60" t="s">
        <v>30</v>
      </c>
      <c r="G60" t="s">
        <v>43</v>
      </c>
      <c r="H60" t="s">
        <v>2594</v>
      </c>
      <c r="I60" t="s">
        <v>291</v>
      </c>
      <c r="J60" t="s">
        <v>1354</v>
      </c>
      <c r="K60" t="s">
        <v>3676</v>
      </c>
      <c r="L60" t="s">
        <v>4021</v>
      </c>
      <c r="M60" t="s">
        <v>57</v>
      </c>
    </row>
    <row r="61" spans="1:13" x14ac:dyDescent="0.2">
      <c r="A61" t="s">
        <v>2649</v>
      </c>
      <c r="B61">
        <f>VALUE(RIGHT(A61,LEN(A61)-3))</f>
        <v>452</v>
      </c>
      <c r="C61">
        <v>1</v>
      </c>
      <c r="D61" t="s">
        <v>32</v>
      </c>
      <c r="E61" t="s">
        <v>2651</v>
      </c>
      <c r="F61" t="s">
        <v>503</v>
      </c>
      <c r="G61" t="s">
        <v>43</v>
      </c>
      <c r="H61" t="s">
        <v>2650</v>
      </c>
      <c r="I61" t="s">
        <v>291</v>
      </c>
      <c r="J61" t="s">
        <v>1354</v>
      </c>
      <c r="K61" t="s">
        <v>3676</v>
      </c>
      <c r="L61" t="s">
        <v>4030</v>
      </c>
      <c r="M61" t="s">
        <v>57</v>
      </c>
    </row>
    <row r="62" spans="1:13" x14ac:dyDescent="0.2">
      <c r="A62" t="s">
        <v>2670</v>
      </c>
      <c r="B62">
        <f>VALUE(RIGHT(A62,LEN(A62)-3))</f>
        <v>456</v>
      </c>
      <c r="C62">
        <v>1</v>
      </c>
      <c r="D62" t="s">
        <v>32</v>
      </c>
      <c r="E62" t="s">
        <v>2673</v>
      </c>
      <c r="F62" t="s">
        <v>503</v>
      </c>
      <c r="G62" t="s">
        <v>43</v>
      </c>
      <c r="H62" t="s">
        <v>2671</v>
      </c>
      <c r="I62" t="s">
        <v>291</v>
      </c>
      <c r="J62" t="s">
        <v>1354</v>
      </c>
      <c r="K62" t="s">
        <v>3676</v>
      </c>
      <c r="L62" t="s">
        <v>4033</v>
      </c>
      <c r="M62" t="s">
        <v>57</v>
      </c>
    </row>
    <row r="63" spans="1:13" x14ac:dyDescent="0.2">
      <c r="A63" t="s">
        <v>2718</v>
      </c>
      <c r="B63">
        <f>VALUE(RIGHT(A63,LEN(A63)-3))</f>
        <v>465</v>
      </c>
      <c r="C63">
        <v>1</v>
      </c>
      <c r="D63" t="s">
        <v>32</v>
      </c>
      <c r="E63" t="s">
        <v>2721</v>
      </c>
      <c r="F63" t="s">
        <v>602</v>
      </c>
      <c r="G63" t="s">
        <v>43</v>
      </c>
      <c r="H63" t="s">
        <v>2719</v>
      </c>
      <c r="I63" t="s">
        <v>291</v>
      </c>
      <c r="J63" t="s">
        <v>1354</v>
      </c>
      <c r="K63" t="s">
        <v>3676</v>
      </c>
      <c r="L63" t="s">
        <v>4035</v>
      </c>
      <c r="M63" t="s">
        <v>57</v>
      </c>
    </row>
    <row r="64" spans="1:13" x14ac:dyDescent="0.2">
      <c r="A64" t="s">
        <v>2855</v>
      </c>
      <c r="B64">
        <f>VALUE(RIGHT(A64,LEN(A64)-3))</f>
        <v>490</v>
      </c>
      <c r="C64">
        <v>1</v>
      </c>
      <c r="D64" t="s">
        <v>32</v>
      </c>
      <c r="E64" t="s">
        <v>2857</v>
      </c>
      <c r="F64" t="s">
        <v>503</v>
      </c>
      <c r="G64" t="s">
        <v>43</v>
      </c>
      <c r="H64" t="s">
        <v>2848</v>
      </c>
      <c r="I64" t="s">
        <v>291</v>
      </c>
      <c r="J64" t="s">
        <v>1354</v>
      </c>
      <c r="K64" t="s">
        <v>3676</v>
      </c>
      <c r="L64" t="s">
        <v>4059</v>
      </c>
      <c r="M64" t="s">
        <v>57</v>
      </c>
    </row>
    <row r="65" spans="1:13" x14ac:dyDescent="0.2">
      <c r="A65" t="s">
        <v>3018</v>
      </c>
      <c r="B65">
        <f>VALUE(RIGHT(A65,LEN(A65)-3))</f>
        <v>521</v>
      </c>
      <c r="C65">
        <v>1</v>
      </c>
      <c r="D65" t="s">
        <v>32</v>
      </c>
      <c r="E65" t="s">
        <v>3021</v>
      </c>
      <c r="F65" t="s">
        <v>503</v>
      </c>
      <c r="G65" t="s">
        <v>43</v>
      </c>
      <c r="H65" t="s">
        <v>3019</v>
      </c>
      <c r="I65" t="s">
        <v>291</v>
      </c>
      <c r="J65" t="s">
        <v>1354</v>
      </c>
      <c r="K65" t="s">
        <v>3676</v>
      </c>
      <c r="L65" t="s">
        <v>4093</v>
      </c>
      <c r="M65" t="s">
        <v>35</v>
      </c>
    </row>
    <row r="66" spans="1:13" x14ac:dyDescent="0.2">
      <c r="A66" t="s">
        <v>3059</v>
      </c>
      <c r="B66">
        <f>VALUE(RIGHT(A66,LEN(A66)-3))</f>
        <v>528</v>
      </c>
      <c r="C66">
        <v>1</v>
      </c>
      <c r="D66" t="s">
        <v>32</v>
      </c>
      <c r="E66" t="s">
        <v>3061</v>
      </c>
      <c r="F66" t="s">
        <v>503</v>
      </c>
      <c r="G66" t="s">
        <v>43</v>
      </c>
      <c r="H66" t="s">
        <v>3060</v>
      </c>
      <c r="I66" t="s">
        <v>291</v>
      </c>
      <c r="J66" t="s">
        <v>1354</v>
      </c>
      <c r="K66" t="s">
        <v>3676</v>
      </c>
      <c r="L66" t="s">
        <v>4097</v>
      </c>
      <c r="M66" t="s">
        <v>57</v>
      </c>
    </row>
    <row r="67" spans="1:13" x14ac:dyDescent="0.2">
      <c r="A67" t="s">
        <v>3072</v>
      </c>
      <c r="B67">
        <f>VALUE(RIGHT(A67,LEN(A67)-3))</f>
        <v>530</v>
      </c>
      <c r="C67">
        <v>1</v>
      </c>
      <c r="D67" t="s">
        <v>32</v>
      </c>
      <c r="E67" t="s">
        <v>1879</v>
      </c>
      <c r="F67" t="s">
        <v>503</v>
      </c>
      <c r="G67" t="s">
        <v>43</v>
      </c>
      <c r="H67" t="s">
        <v>3073</v>
      </c>
      <c r="I67" t="s">
        <v>291</v>
      </c>
      <c r="J67" t="s">
        <v>1354</v>
      </c>
      <c r="K67" t="s">
        <v>3676</v>
      </c>
      <c r="L67" t="s">
        <v>4102</v>
      </c>
      <c r="M67" t="s">
        <v>57</v>
      </c>
    </row>
    <row r="68" spans="1:13" x14ac:dyDescent="0.2">
      <c r="A68" t="s">
        <v>1101</v>
      </c>
      <c r="B68">
        <f>VALUE(RIGHT(A68,LEN(A68)-3))</f>
        <v>172</v>
      </c>
      <c r="C68">
        <v>1</v>
      </c>
      <c r="D68" t="s">
        <v>32</v>
      </c>
      <c r="E68" t="s">
        <v>1103</v>
      </c>
      <c r="F68" t="s">
        <v>503</v>
      </c>
      <c r="G68" t="s">
        <v>43</v>
      </c>
      <c r="H68" t="s">
        <v>1102</v>
      </c>
      <c r="I68" t="s">
        <v>68</v>
      </c>
      <c r="K68" t="s">
        <v>4157</v>
      </c>
      <c r="L68" t="s">
        <v>3783</v>
      </c>
      <c r="M68" t="s">
        <v>57</v>
      </c>
    </row>
    <row r="69" spans="1:13" x14ac:dyDescent="0.2">
      <c r="A69" t="s">
        <v>1152</v>
      </c>
      <c r="B69">
        <f>VALUE(RIGHT(A69,LEN(A69)-3))</f>
        <v>181</v>
      </c>
      <c r="C69">
        <v>2</v>
      </c>
      <c r="D69" t="s">
        <v>32</v>
      </c>
      <c r="E69" t="s">
        <v>1155</v>
      </c>
      <c r="F69" t="s">
        <v>30</v>
      </c>
      <c r="G69" t="s">
        <v>29</v>
      </c>
      <c r="H69" t="s">
        <v>1153</v>
      </c>
      <c r="I69" t="s">
        <v>68</v>
      </c>
      <c r="K69" t="s">
        <v>4157</v>
      </c>
      <c r="L69" t="s">
        <v>3788</v>
      </c>
      <c r="M69" t="s">
        <v>57</v>
      </c>
    </row>
    <row r="70" spans="1:13" x14ac:dyDescent="0.2">
      <c r="A70" t="s">
        <v>1965</v>
      </c>
      <c r="B70">
        <f>VALUE(RIGHT(A70,LEN(A70)-3))</f>
        <v>332</v>
      </c>
      <c r="C70">
        <v>1</v>
      </c>
      <c r="D70" t="s">
        <v>32</v>
      </c>
      <c r="E70" t="s">
        <v>1968</v>
      </c>
      <c r="F70" t="s">
        <v>503</v>
      </c>
      <c r="G70" t="s">
        <v>43</v>
      </c>
      <c r="H70" t="s">
        <v>1966</v>
      </c>
      <c r="I70" t="s">
        <v>68</v>
      </c>
      <c r="K70" t="s">
        <v>4157</v>
      </c>
      <c r="L70" t="s">
        <v>3911</v>
      </c>
      <c r="M70" t="s">
        <v>57</v>
      </c>
    </row>
    <row r="71" spans="1:13" x14ac:dyDescent="0.2">
      <c r="A71" t="s">
        <v>336</v>
      </c>
      <c r="B71">
        <f>VALUE(RIGHT(A71,LEN(A71)-3))</f>
        <v>44</v>
      </c>
      <c r="C71">
        <v>1</v>
      </c>
      <c r="D71" t="s">
        <v>32</v>
      </c>
      <c r="E71" t="s">
        <v>339</v>
      </c>
      <c r="F71" t="s">
        <v>30</v>
      </c>
      <c r="G71" t="s">
        <v>43</v>
      </c>
      <c r="H71" t="s">
        <v>337</v>
      </c>
      <c r="I71" t="s">
        <v>68</v>
      </c>
      <c r="K71" t="s">
        <v>3722</v>
      </c>
      <c r="L71" t="s">
        <v>3675</v>
      </c>
      <c r="M71" t="s">
        <v>35</v>
      </c>
    </row>
    <row r="72" spans="1:13" x14ac:dyDescent="0.2">
      <c r="A72" t="s">
        <v>459</v>
      </c>
      <c r="B72">
        <f>VALUE(RIGHT(A72,LEN(A72)-3))</f>
        <v>63</v>
      </c>
      <c r="C72">
        <v>2</v>
      </c>
      <c r="D72" t="s">
        <v>32</v>
      </c>
      <c r="E72" t="s">
        <v>462</v>
      </c>
      <c r="F72" t="s">
        <v>30</v>
      </c>
      <c r="G72" t="s">
        <v>29</v>
      </c>
      <c r="H72" t="s">
        <v>460</v>
      </c>
      <c r="I72" t="s">
        <v>68</v>
      </c>
      <c r="K72" t="s">
        <v>3722</v>
      </c>
      <c r="L72" t="s">
        <v>3700</v>
      </c>
      <c r="M72" t="s">
        <v>57</v>
      </c>
    </row>
    <row r="73" spans="1:13" x14ac:dyDescent="0.2">
      <c r="A73" t="s">
        <v>563</v>
      </c>
      <c r="B73">
        <f>VALUE(RIGHT(A73,LEN(A73)-3))</f>
        <v>80</v>
      </c>
      <c r="C73">
        <v>3</v>
      </c>
      <c r="D73" t="s">
        <v>32</v>
      </c>
      <c r="E73" t="s">
        <v>566</v>
      </c>
      <c r="F73" t="s">
        <v>30</v>
      </c>
      <c r="G73" t="s">
        <v>83</v>
      </c>
      <c r="H73" t="s">
        <v>564</v>
      </c>
      <c r="I73" t="s">
        <v>68</v>
      </c>
      <c r="K73" t="s">
        <v>3722</v>
      </c>
      <c r="L73" t="s">
        <v>3717</v>
      </c>
      <c r="M73" t="s">
        <v>57</v>
      </c>
    </row>
    <row r="74" spans="1:13" x14ac:dyDescent="0.2">
      <c r="A74" t="s">
        <v>608</v>
      </c>
      <c r="B74">
        <f>VALUE(RIGHT(A74,LEN(A74)-3))</f>
        <v>87</v>
      </c>
      <c r="C74">
        <v>1</v>
      </c>
      <c r="D74" t="s">
        <v>32</v>
      </c>
      <c r="E74" t="s">
        <v>611</v>
      </c>
      <c r="F74" t="s">
        <v>30</v>
      </c>
      <c r="G74" t="s">
        <v>29</v>
      </c>
      <c r="H74" t="s">
        <v>609</v>
      </c>
      <c r="I74" t="s">
        <v>68</v>
      </c>
      <c r="K74" t="s">
        <v>3722</v>
      </c>
      <c r="L74" t="s">
        <v>3723</v>
      </c>
      <c r="M74" t="s">
        <v>57</v>
      </c>
    </row>
    <row r="75" spans="1:13" x14ac:dyDescent="0.2">
      <c r="A75" t="s">
        <v>1433</v>
      </c>
      <c r="B75">
        <f>VALUE(RIGHT(A75,LEN(A75)-3))</f>
        <v>232</v>
      </c>
      <c r="C75">
        <v>3</v>
      </c>
      <c r="D75" t="s">
        <v>32</v>
      </c>
      <c r="E75" t="s">
        <v>1435</v>
      </c>
      <c r="F75" t="s">
        <v>30</v>
      </c>
      <c r="G75" t="s">
        <v>29</v>
      </c>
      <c r="H75" t="s">
        <v>1434</v>
      </c>
      <c r="I75" t="s">
        <v>68</v>
      </c>
      <c r="K75" t="s">
        <v>3722</v>
      </c>
      <c r="L75" t="s">
        <v>3840</v>
      </c>
      <c r="M75" t="s">
        <v>57</v>
      </c>
    </row>
    <row r="76" spans="1:13" x14ac:dyDescent="0.2">
      <c r="A76" t="s">
        <v>1555</v>
      </c>
      <c r="B76">
        <f>VALUE(RIGHT(A76,LEN(A76)-3))</f>
        <v>255</v>
      </c>
      <c r="C76">
        <v>1</v>
      </c>
      <c r="D76" t="s">
        <v>32</v>
      </c>
      <c r="E76" t="s">
        <v>312</v>
      </c>
      <c r="F76" t="s">
        <v>602</v>
      </c>
      <c r="G76" t="s">
        <v>43</v>
      </c>
      <c r="H76" t="s">
        <v>1556</v>
      </c>
      <c r="I76" t="s">
        <v>68</v>
      </c>
      <c r="K76" t="s">
        <v>3722</v>
      </c>
      <c r="L76" t="s">
        <v>3854</v>
      </c>
      <c r="M76" t="s">
        <v>57</v>
      </c>
    </row>
    <row r="77" spans="1:13" x14ac:dyDescent="0.2">
      <c r="A77" t="s">
        <v>1682</v>
      </c>
      <c r="B77">
        <f>VALUE(RIGHT(A77,LEN(A77)-3))</f>
        <v>280</v>
      </c>
      <c r="C77">
        <v>1</v>
      </c>
      <c r="D77" t="s">
        <v>32</v>
      </c>
      <c r="E77" t="s">
        <v>1684</v>
      </c>
      <c r="F77" t="s">
        <v>503</v>
      </c>
      <c r="G77" t="s">
        <v>43</v>
      </c>
      <c r="H77" t="s">
        <v>1683</v>
      </c>
      <c r="I77" t="s">
        <v>68</v>
      </c>
      <c r="K77" t="s">
        <v>3722</v>
      </c>
      <c r="L77" t="s">
        <v>3874</v>
      </c>
      <c r="M77" t="s">
        <v>35</v>
      </c>
    </row>
    <row r="78" spans="1:13" x14ac:dyDescent="0.2">
      <c r="A78" t="s">
        <v>1699</v>
      </c>
      <c r="B78">
        <f>VALUE(RIGHT(A78,LEN(A78)-3))</f>
        <v>283</v>
      </c>
      <c r="C78">
        <v>2</v>
      </c>
      <c r="D78" t="s">
        <v>32</v>
      </c>
      <c r="E78" t="s">
        <v>1702</v>
      </c>
      <c r="F78" t="s">
        <v>602</v>
      </c>
      <c r="G78" t="s">
        <v>43</v>
      </c>
      <c r="H78" t="s">
        <v>1700</v>
      </c>
      <c r="I78" t="s">
        <v>68</v>
      </c>
      <c r="K78" t="s">
        <v>3722</v>
      </c>
      <c r="L78" t="s">
        <v>3876</v>
      </c>
      <c r="M78" t="s">
        <v>57</v>
      </c>
    </row>
    <row r="79" spans="1:13" x14ac:dyDescent="0.2">
      <c r="A79" t="s">
        <v>2588</v>
      </c>
      <c r="B79">
        <f>VALUE(RIGHT(A79,LEN(A79)-3))</f>
        <v>441</v>
      </c>
      <c r="C79">
        <v>1</v>
      </c>
      <c r="D79" t="s">
        <v>32</v>
      </c>
      <c r="E79" t="s">
        <v>2590</v>
      </c>
      <c r="F79" t="s">
        <v>503</v>
      </c>
      <c r="G79" t="s">
        <v>43</v>
      </c>
      <c r="H79" t="s">
        <v>2589</v>
      </c>
      <c r="I79" t="s">
        <v>68</v>
      </c>
      <c r="K79" t="s">
        <v>3722</v>
      </c>
      <c r="L79" t="s">
        <v>4018</v>
      </c>
      <c r="M79" t="s">
        <v>35</v>
      </c>
    </row>
    <row r="80" spans="1:13" x14ac:dyDescent="0.2">
      <c r="A80" t="s">
        <v>2637</v>
      </c>
      <c r="B80">
        <f>VALUE(RIGHT(A80,LEN(A80)-3))</f>
        <v>450</v>
      </c>
      <c r="C80">
        <v>1</v>
      </c>
      <c r="D80" t="s">
        <v>32</v>
      </c>
      <c r="E80" t="s">
        <v>2640</v>
      </c>
      <c r="F80" t="s">
        <v>30</v>
      </c>
      <c r="G80" t="s">
        <v>746</v>
      </c>
      <c r="H80" t="s">
        <v>2638</v>
      </c>
      <c r="I80" t="s">
        <v>68</v>
      </c>
      <c r="K80" t="s">
        <v>3722</v>
      </c>
      <c r="L80" t="s">
        <v>4029</v>
      </c>
      <c r="M80" t="s">
        <v>57</v>
      </c>
    </row>
    <row r="81" spans="1:13" x14ac:dyDescent="0.2">
      <c r="A81" t="s">
        <v>3065</v>
      </c>
      <c r="B81">
        <f>VALUE(RIGHT(A81,LEN(A81)-3))</f>
        <v>529</v>
      </c>
      <c r="C81">
        <v>4</v>
      </c>
      <c r="D81" t="s">
        <v>32</v>
      </c>
      <c r="E81" t="s">
        <v>3067</v>
      </c>
      <c r="F81" t="s">
        <v>30</v>
      </c>
      <c r="G81" t="s">
        <v>43</v>
      </c>
      <c r="H81" t="s">
        <v>3066</v>
      </c>
      <c r="I81" t="s">
        <v>68</v>
      </c>
      <c r="K81" t="s">
        <v>3722</v>
      </c>
      <c r="L81" t="s">
        <v>4101</v>
      </c>
      <c r="M81" t="s">
        <v>57</v>
      </c>
    </row>
    <row r="82" spans="1:13" x14ac:dyDescent="0.2">
      <c r="A82" t="s">
        <v>528</v>
      </c>
      <c r="B82">
        <f>VALUE(RIGHT(A82,LEN(A82)-3))</f>
        <v>74</v>
      </c>
      <c r="C82">
        <v>1</v>
      </c>
      <c r="D82" t="s">
        <v>32</v>
      </c>
      <c r="E82" t="s">
        <v>531</v>
      </c>
      <c r="F82" t="s">
        <v>30</v>
      </c>
      <c r="G82" t="s">
        <v>43</v>
      </c>
      <c r="H82" t="s">
        <v>529</v>
      </c>
      <c r="I82" t="s">
        <v>291</v>
      </c>
      <c r="J82" t="s">
        <v>1354</v>
      </c>
      <c r="K82" t="s">
        <v>3849</v>
      </c>
      <c r="L82" t="s">
        <v>3712</v>
      </c>
      <c r="M82" t="s">
        <v>57</v>
      </c>
    </row>
    <row r="83" spans="1:13" x14ac:dyDescent="0.2">
      <c r="A83" t="s">
        <v>1519</v>
      </c>
      <c r="B83">
        <f>VALUE(RIGHT(A83,LEN(A83)-3))</f>
        <v>248</v>
      </c>
      <c r="C83">
        <v>2</v>
      </c>
      <c r="D83" t="s">
        <v>32</v>
      </c>
      <c r="E83" t="s">
        <v>1521</v>
      </c>
      <c r="F83" t="s">
        <v>503</v>
      </c>
      <c r="G83" t="s">
        <v>43</v>
      </c>
      <c r="H83" t="s">
        <v>1520</v>
      </c>
      <c r="I83" t="s">
        <v>291</v>
      </c>
      <c r="J83" t="s">
        <v>1354</v>
      </c>
      <c r="K83" t="s">
        <v>3849</v>
      </c>
      <c r="L83" t="s">
        <v>3850</v>
      </c>
      <c r="M83" t="s">
        <v>57</v>
      </c>
    </row>
    <row r="84" spans="1:13" x14ac:dyDescent="0.2">
      <c r="A84" t="s">
        <v>1661</v>
      </c>
      <c r="B84">
        <f>VALUE(RIGHT(A84,LEN(A84)-3))</f>
        <v>276</v>
      </c>
      <c r="C84">
        <v>2</v>
      </c>
      <c r="D84" t="s">
        <v>32</v>
      </c>
      <c r="E84" t="s">
        <v>1663</v>
      </c>
      <c r="F84" t="s">
        <v>503</v>
      </c>
      <c r="G84" t="s">
        <v>43</v>
      </c>
      <c r="H84" t="s">
        <v>1662</v>
      </c>
      <c r="I84" t="s">
        <v>291</v>
      </c>
      <c r="J84" t="s">
        <v>1354</v>
      </c>
      <c r="K84" t="s">
        <v>3849</v>
      </c>
      <c r="L84" t="s">
        <v>3869</v>
      </c>
      <c r="M84" t="s">
        <v>57</v>
      </c>
    </row>
    <row r="85" spans="1:13" x14ac:dyDescent="0.2">
      <c r="A85" t="s">
        <v>2281</v>
      </c>
      <c r="B85">
        <f>VALUE(RIGHT(A85,LEN(A85)-3))</f>
        <v>388</v>
      </c>
      <c r="C85">
        <v>1</v>
      </c>
      <c r="D85" t="s">
        <v>32</v>
      </c>
      <c r="E85" t="s">
        <v>2283</v>
      </c>
      <c r="F85" t="s">
        <v>602</v>
      </c>
      <c r="G85" t="s">
        <v>43</v>
      </c>
      <c r="H85" t="s">
        <v>2282</v>
      </c>
      <c r="I85" t="s">
        <v>291</v>
      </c>
      <c r="J85" t="s">
        <v>1354</v>
      </c>
      <c r="K85" t="s">
        <v>3849</v>
      </c>
      <c r="L85" t="s">
        <v>3952</v>
      </c>
      <c r="M85" t="s">
        <v>57</v>
      </c>
    </row>
    <row r="86" spans="1:13" x14ac:dyDescent="0.2">
      <c r="A86" t="s">
        <v>438</v>
      </c>
      <c r="B86">
        <f>VALUE(RIGHT(A86,LEN(A86)-3))</f>
        <v>60</v>
      </c>
      <c r="C86">
        <v>1</v>
      </c>
      <c r="D86" t="s">
        <v>32</v>
      </c>
      <c r="E86" t="s">
        <v>442</v>
      </c>
      <c r="F86" t="s">
        <v>30</v>
      </c>
      <c r="G86" t="s">
        <v>43</v>
      </c>
      <c r="H86" t="s">
        <v>439</v>
      </c>
      <c r="I86" t="s">
        <v>68</v>
      </c>
      <c r="K86" t="s">
        <v>3866</v>
      </c>
      <c r="L86" t="s">
        <v>3695</v>
      </c>
      <c r="M86" t="s">
        <v>57</v>
      </c>
    </row>
    <row r="87" spans="1:13" x14ac:dyDescent="0.2">
      <c r="A87" t="s">
        <v>840</v>
      </c>
      <c r="B87">
        <f>VALUE(RIGHT(A87,LEN(A87)-3))</f>
        <v>127</v>
      </c>
      <c r="C87">
        <v>4</v>
      </c>
      <c r="D87" t="s">
        <v>32</v>
      </c>
      <c r="E87" t="s">
        <v>842</v>
      </c>
      <c r="F87" t="s">
        <v>503</v>
      </c>
      <c r="G87" t="s">
        <v>43</v>
      </c>
      <c r="H87" t="s">
        <v>841</v>
      </c>
      <c r="I87" t="s">
        <v>68</v>
      </c>
      <c r="K87" t="s">
        <v>3866</v>
      </c>
      <c r="L87" t="s">
        <v>3754</v>
      </c>
      <c r="M87" t="s">
        <v>57</v>
      </c>
    </row>
    <row r="88" spans="1:13" x14ac:dyDescent="0.2">
      <c r="A88" t="s">
        <v>1004</v>
      </c>
      <c r="B88">
        <f>VALUE(RIGHT(A88,LEN(A88)-3))</f>
        <v>155</v>
      </c>
      <c r="C88">
        <v>1</v>
      </c>
      <c r="D88" t="s">
        <v>32</v>
      </c>
      <c r="E88" t="s">
        <v>1007</v>
      </c>
      <c r="F88" t="s">
        <v>30</v>
      </c>
      <c r="G88" t="s">
        <v>43</v>
      </c>
      <c r="H88" t="s">
        <v>1005</v>
      </c>
      <c r="I88" t="s">
        <v>68</v>
      </c>
      <c r="K88" t="s">
        <v>3866</v>
      </c>
      <c r="L88" t="s">
        <v>3775</v>
      </c>
      <c r="M88" t="s">
        <v>57</v>
      </c>
    </row>
    <row r="89" spans="1:13" x14ac:dyDescent="0.2">
      <c r="A89" t="s">
        <v>1257</v>
      </c>
      <c r="B89">
        <f>VALUE(RIGHT(A89,LEN(A89)-3))</f>
        <v>200</v>
      </c>
      <c r="C89">
        <v>3</v>
      </c>
      <c r="D89" t="s">
        <v>32</v>
      </c>
      <c r="E89" t="s">
        <v>1259</v>
      </c>
      <c r="F89" t="s">
        <v>503</v>
      </c>
      <c r="G89" t="s">
        <v>43</v>
      </c>
      <c r="H89" t="s">
        <v>1258</v>
      </c>
      <c r="I89" t="s">
        <v>68</v>
      </c>
      <c r="K89" t="s">
        <v>3866</v>
      </c>
      <c r="L89" t="s">
        <v>3807</v>
      </c>
      <c r="M89" t="s">
        <v>57</v>
      </c>
    </row>
    <row r="90" spans="1:13" x14ac:dyDescent="0.2">
      <c r="A90" t="s">
        <v>1475</v>
      </c>
      <c r="B90">
        <f>VALUE(RIGHT(A90,LEN(A90)-3))</f>
        <v>240</v>
      </c>
      <c r="C90">
        <v>1</v>
      </c>
      <c r="D90" t="s">
        <v>32</v>
      </c>
      <c r="E90" t="s">
        <v>1477</v>
      </c>
      <c r="F90" t="s">
        <v>503</v>
      </c>
      <c r="G90" t="s">
        <v>43</v>
      </c>
      <c r="H90" t="s">
        <v>1476</v>
      </c>
      <c r="I90" t="s">
        <v>68</v>
      </c>
      <c r="K90" t="s">
        <v>3866</v>
      </c>
      <c r="L90" t="s">
        <v>3846</v>
      </c>
      <c r="M90" t="s">
        <v>57</v>
      </c>
    </row>
    <row r="91" spans="1:13" x14ac:dyDescent="0.2">
      <c r="A91" t="s">
        <v>1656</v>
      </c>
      <c r="B91">
        <f>VALUE(RIGHT(A91,LEN(A91)-3))</f>
        <v>275</v>
      </c>
      <c r="C91">
        <v>1</v>
      </c>
      <c r="D91" t="s">
        <v>32</v>
      </c>
      <c r="E91" t="s">
        <v>497</v>
      </c>
      <c r="F91" t="s">
        <v>503</v>
      </c>
      <c r="G91" t="s">
        <v>43</v>
      </c>
      <c r="H91" t="s">
        <v>1657</v>
      </c>
      <c r="I91" t="s">
        <v>68</v>
      </c>
      <c r="K91" t="s">
        <v>3866</v>
      </c>
      <c r="L91" t="s">
        <v>3867</v>
      </c>
      <c r="M91" t="s">
        <v>57</v>
      </c>
    </row>
    <row r="92" spans="1:13" x14ac:dyDescent="0.2">
      <c r="A92" t="s">
        <v>1779</v>
      </c>
      <c r="B92">
        <f>VALUE(RIGHT(A92,LEN(A92)-3))</f>
        <v>297</v>
      </c>
      <c r="C92">
        <v>1</v>
      </c>
      <c r="D92" t="s">
        <v>32</v>
      </c>
      <c r="E92" t="s">
        <v>1781</v>
      </c>
      <c r="F92" t="s">
        <v>602</v>
      </c>
      <c r="G92" t="s">
        <v>43</v>
      </c>
      <c r="H92" t="s">
        <v>1775</v>
      </c>
      <c r="I92" t="s">
        <v>68</v>
      </c>
      <c r="K92" t="s">
        <v>3866</v>
      </c>
      <c r="L92" t="s">
        <v>3891</v>
      </c>
      <c r="M92" t="s">
        <v>57</v>
      </c>
    </row>
    <row r="93" spans="1:13" x14ac:dyDescent="0.2">
      <c r="A93" t="s">
        <v>1805</v>
      </c>
      <c r="B93">
        <f>VALUE(RIGHT(A93,LEN(A93)-3))</f>
        <v>302</v>
      </c>
      <c r="C93">
        <v>1</v>
      </c>
      <c r="D93" t="s">
        <v>32</v>
      </c>
      <c r="E93" t="s">
        <v>497</v>
      </c>
      <c r="F93" t="s">
        <v>602</v>
      </c>
      <c r="G93" t="s">
        <v>43</v>
      </c>
      <c r="H93" t="s">
        <v>1800</v>
      </c>
      <c r="I93" t="s">
        <v>68</v>
      </c>
      <c r="K93" t="s">
        <v>3866</v>
      </c>
      <c r="L93" t="s">
        <v>3895</v>
      </c>
      <c r="M93" t="s">
        <v>57</v>
      </c>
    </row>
    <row r="94" spans="1:13" x14ac:dyDescent="0.2">
      <c r="A94" t="s">
        <v>1932</v>
      </c>
      <c r="B94">
        <f>VALUE(RIGHT(A94,LEN(A94)-3))</f>
        <v>326</v>
      </c>
      <c r="C94">
        <v>1</v>
      </c>
      <c r="D94" t="s">
        <v>32</v>
      </c>
      <c r="E94" t="s">
        <v>497</v>
      </c>
      <c r="F94" t="s">
        <v>602</v>
      </c>
      <c r="G94" t="s">
        <v>43</v>
      </c>
      <c r="H94" t="s">
        <v>1933</v>
      </c>
      <c r="I94" t="s">
        <v>68</v>
      </c>
      <c r="K94" t="s">
        <v>3866</v>
      </c>
      <c r="L94" t="s">
        <v>3908</v>
      </c>
      <c r="M94" t="s">
        <v>57</v>
      </c>
    </row>
    <row r="95" spans="1:13" x14ac:dyDescent="0.2">
      <c r="A95" t="s">
        <v>2089</v>
      </c>
      <c r="B95">
        <f>VALUE(RIGHT(A95,LEN(A95)-3))</f>
        <v>355</v>
      </c>
      <c r="C95">
        <v>2</v>
      </c>
      <c r="D95" t="s">
        <v>32</v>
      </c>
      <c r="E95" t="s">
        <v>2092</v>
      </c>
      <c r="F95" t="s">
        <v>503</v>
      </c>
      <c r="G95" t="s">
        <v>43</v>
      </c>
      <c r="H95" t="s">
        <v>2090</v>
      </c>
      <c r="I95" t="s">
        <v>68</v>
      </c>
      <c r="K95" t="s">
        <v>3866</v>
      </c>
      <c r="L95" t="s">
        <v>3932</v>
      </c>
      <c r="M95" t="s">
        <v>57</v>
      </c>
    </row>
    <row r="96" spans="1:13" x14ac:dyDescent="0.2">
      <c r="A96" t="s">
        <v>2208</v>
      </c>
      <c r="B96">
        <f>VALUE(RIGHT(A96,LEN(A96)-3))</f>
        <v>376</v>
      </c>
      <c r="C96">
        <v>1</v>
      </c>
      <c r="D96" t="s">
        <v>32</v>
      </c>
      <c r="E96" t="s">
        <v>497</v>
      </c>
      <c r="F96" t="s">
        <v>503</v>
      </c>
      <c r="G96" t="s">
        <v>43</v>
      </c>
      <c r="H96" t="s">
        <v>2209</v>
      </c>
      <c r="I96" t="s">
        <v>68</v>
      </c>
      <c r="K96" t="s">
        <v>3866</v>
      </c>
      <c r="L96" t="s">
        <v>3945</v>
      </c>
      <c r="M96" t="s">
        <v>57</v>
      </c>
    </row>
    <row r="97" spans="1:13" x14ac:dyDescent="0.2">
      <c r="A97" t="s">
        <v>2593</v>
      </c>
      <c r="B97">
        <f>VALUE(RIGHT(A97,LEN(A97)-3))</f>
        <v>442</v>
      </c>
      <c r="C97">
        <v>1</v>
      </c>
      <c r="D97" t="s">
        <v>32</v>
      </c>
      <c r="E97" t="s">
        <v>2596</v>
      </c>
      <c r="F97" t="s">
        <v>30</v>
      </c>
      <c r="G97" t="s">
        <v>43</v>
      </c>
      <c r="H97" t="s">
        <v>2594</v>
      </c>
      <c r="I97" t="s">
        <v>68</v>
      </c>
      <c r="K97" t="s">
        <v>3866</v>
      </c>
      <c r="L97" t="s">
        <v>4020</v>
      </c>
      <c r="M97" t="s">
        <v>57</v>
      </c>
    </row>
    <row r="98" spans="1:13" x14ac:dyDescent="0.2">
      <c r="A98" t="s">
        <v>3108</v>
      </c>
      <c r="B98">
        <f>VALUE(RIGHT(A98,LEN(A98)-3))</f>
        <v>537</v>
      </c>
      <c r="C98">
        <v>1</v>
      </c>
      <c r="D98" t="s">
        <v>32</v>
      </c>
      <c r="E98" t="s">
        <v>3110</v>
      </c>
      <c r="F98" t="s">
        <v>503</v>
      </c>
      <c r="G98" t="s">
        <v>43</v>
      </c>
      <c r="H98" t="s">
        <v>3109</v>
      </c>
      <c r="I98" t="s">
        <v>68</v>
      </c>
      <c r="K98" t="s">
        <v>3866</v>
      </c>
      <c r="L98" t="s">
        <v>4111</v>
      </c>
      <c r="M98" t="s">
        <v>57</v>
      </c>
    </row>
    <row r="99" spans="1:13" x14ac:dyDescent="0.2">
      <c r="A99" t="s">
        <v>89</v>
      </c>
      <c r="B99">
        <f>VALUE(RIGHT(A99,LEN(A99)-3))</f>
        <v>7</v>
      </c>
      <c r="C99">
        <v>2</v>
      </c>
      <c r="D99" t="s">
        <v>32</v>
      </c>
      <c r="E99" t="s">
        <v>92</v>
      </c>
      <c r="F99" t="s">
        <v>30</v>
      </c>
      <c r="G99" t="s">
        <v>43</v>
      </c>
      <c r="H99" t="s">
        <v>90</v>
      </c>
      <c r="I99" t="s">
        <v>58</v>
      </c>
      <c r="J99" t="s">
        <v>3632</v>
      </c>
      <c r="K99" t="s">
        <v>4130</v>
      </c>
      <c r="L99" t="s">
        <v>3633</v>
      </c>
      <c r="M99" t="s">
        <v>35</v>
      </c>
    </row>
    <row r="100" spans="1:13" x14ac:dyDescent="0.2">
      <c r="A100" t="s">
        <v>156</v>
      </c>
      <c r="B100">
        <f>VALUE(RIGHT(A100,LEN(A100)-3))</f>
        <v>16</v>
      </c>
      <c r="C100">
        <v>1</v>
      </c>
      <c r="D100" t="s">
        <v>32</v>
      </c>
      <c r="E100" t="s">
        <v>136</v>
      </c>
      <c r="F100" t="s">
        <v>30</v>
      </c>
      <c r="G100" t="s">
        <v>83</v>
      </c>
      <c r="H100" t="s">
        <v>157</v>
      </c>
      <c r="I100" t="s">
        <v>58</v>
      </c>
      <c r="J100" t="s">
        <v>3632</v>
      </c>
      <c r="K100" t="s">
        <v>4130</v>
      </c>
      <c r="L100" t="s">
        <v>3642</v>
      </c>
      <c r="M100" t="s">
        <v>35</v>
      </c>
    </row>
    <row r="101" spans="1:13" x14ac:dyDescent="0.2">
      <c r="A101" t="s">
        <v>316</v>
      </c>
      <c r="B101">
        <f>VALUE(RIGHT(A101,LEN(A101)-3))</f>
        <v>41</v>
      </c>
      <c r="C101">
        <v>1</v>
      </c>
      <c r="D101" t="s">
        <v>32</v>
      </c>
      <c r="E101" t="s">
        <v>319</v>
      </c>
      <c r="F101" t="s">
        <v>30</v>
      </c>
      <c r="G101" t="s">
        <v>43</v>
      </c>
      <c r="H101" t="s">
        <v>317</v>
      </c>
      <c r="I101" t="s">
        <v>58</v>
      </c>
      <c r="J101" t="s">
        <v>3632</v>
      </c>
      <c r="K101" t="s">
        <v>4130</v>
      </c>
      <c r="L101" t="s">
        <v>3670</v>
      </c>
      <c r="M101" t="s">
        <v>35</v>
      </c>
    </row>
    <row r="102" spans="1:13" x14ac:dyDescent="0.2">
      <c r="A102" t="s">
        <v>1020</v>
      </c>
      <c r="B102">
        <f>VALUE(RIGHT(A102,LEN(A102)-3))</f>
        <v>158</v>
      </c>
      <c r="C102">
        <v>2</v>
      </c>
      <c r="D102" t="s">
        <v>32</v>
      </c>
      <c r="E102" t="s">
        <v>1023</v>
      </c>
      <c r="F102" t="s">
        <v>30</v>
      </c>
      <c r="G102" t="s">
        <v>54</v>
      </c>
      <c r="H102" t="s">
        <v>1021</v>
      </c>
      <c r="I102" t="s">
        <v>58</v>
      </c>
      <c r="J102" t="s">
        <v>3632</v>
      </c>
      <c r="K102" t="s">
        <v>4130</v>
      </c>
      <c r="L102" t="s">
        <v>3780</v>
      </c>
      <c r="M102" t="s">
        <v>57</v>
      </c>
    </row>
    <row r="103" spans="1:13" x14ac:dyDescent="0.2">
      <c r="A103" t="s">
        <v>148</v>
      </c>
      <c r="B103">
        <f>VALUE(RIGHT(A103,LEN(A103)-3))</f>
        <v>15</v>
      </c>
      <c r="C103">
        <v>3</v>
      </c>
      <c r="D103" t="s">
        <v>32</v>
      </c>
      <c r="E103" t="s">
        <v>152</v>
      </c>
      <c r="F103" t="s">
        <v>30</v>
      </c>
      <c r="G103" t="s">
        <v>43</v>
      </c>
      <c r="H103" t="s">
        <v>149</v>
      </c>
      <c r="I103" t="s">
        <v>58</v>
      </c>
      <c r="J103" t="s">
        <v>3632</v>
      </c>
      <c r="K103" t="s">
        <v>4131</v>
      </c>
      <c r="L103" t="s">
        <v>3641</v>
      </c>
      <c r="M103" t="s">
        <v>57</v>
      </c>
    </row>
    <row r="104" spans="1:13" x14ac:dyDescent="0.2">
      <c r="A104" t="s">
        <v>209</v>
      </c>
      <c r="B104">
        <f>VALUE(RIGHT(A104,LEN(A104)-3))</f>
        <v>24</v>
      </c>
      <c r="C104">
        <v>1</v>
      </c>
      <c r="D104" t="s">
        <v>32</v>
      </c>
      <c r="E104" t="s">
        <v>211</v>
      </c>
      <c r="F104" t="s">
        <v>30</v>
      </c>
      <c r="G104" t="s">
        <v>54</v>
      </c>
      <c r="H104" t="s">
        <v>210</v>
      </c>
      <c r="I104" t="s">
        <v>58</v>
      </c>
      <c r="J104" t="s">
        <v>3632</v>
      </c>
      <c r="K104" t="s">
        <v>4131</v>
      </c>
      <c r="L104" t="s">
        <v>3646</v>
      </c>
      <c r="M104" t="s">
        <v>57</v>
      </c>
    </row>
    <row r="105" spans="1:13" x14ac:dyDescent="0.2">
      <c r="A105" t="s">
        <v>316</v>
      </c>
      <c r="B105">
        <f>VALUE(RIGHT(A105,LEN(A105)-3))</f>
        <v>41</v>
      </c>
      <c r="C105">
        <v>2</v>
      </c>
      <c r="D105" t="s">
        <v>32</v>
      </c>
      <c r="E105" t="s">
        <v>319</v>
      </c>
      <c r="F105" t="s">
        <v>30</v>
      </c>
      <c r="G105" t="s">
        <v>43</v>
      </c>
      <c r="H105" t="s">
        <v>317</v>
      </c>
      <c r="I105" t="s">
        <v>58</v>
      </c>
      <c r="J105" t="s">
        <v>3632</v>
      </c>
      <c r="K105" t="s">
        <v>4131</v>
      </c>
      <c r="L105" t="s">
        <v>3671</v>
      </c>
      <c r="M105" t="s">
        <v>57</v>
      </c>
    </row>
    <row r="106" spans="1:13" x14ac:dyDescent="0.2">
      <c r="A106" t="s">
        <v>1152</v>
      </c>
      <c r="B106">
        <f>VALUE(RIGHT(A106,LEN(A106)-3))</f>
        <v>181</v>
      </c>
      <c r="C106">
        <v>3</v>
      </c>
      <c r="D106" t="s">
        <v>32</v>
      </c>
      <c r="E106" t="s">
        <v>1155</v>
      </c>
      <c r="F106" t="s">
        <v>30</v>
      </c>
      <c r="G106" t="s">
        <v>29</v>
      </c>
      <c r="H106" t="s">
        <v>1153</v>
      </c>
      <c r="I106" t="s">
        <v>58</v>
      </c>
      <c r="J106" t="s">
        <v>3632</v>
      </c>
      <c r="K106" t="s">
        <v>4131</v>
      </c>
      <c r="L106" t="s">
        <v>3789</v>
      </c>
      <c r="M106" t="s">
        <v>57</v>
      </c>
    </row>
    <row r="107" spans="1:13" x14ac:dyDescent="0.2">
      <c r="A107" t="s">
        <v>1257</v>
      </c>
      <c r="B107">
        <f>VALUE(RIGHT(A107,LEN(A107)-3))</f>
        <v>200</v>
      </c>
      <c r="C107">
        <v>2</v>
      </c>
      <c r="D107" t="s">
        <v>32</v>
      </c>
      <c r="E107" t="s">
        <v>1259</v>
      </c>
      <c r="F107" t="s">
        <v>503</v>
      </c>
      <c r="G107" t="s">
        <v>43</v>
      </c>
      <c r="H107" t="s">
        <v>1258</v>
      </c>
      <c r="I107" t="s">
        <v>58</v>
      </c>
      <c r="J107" t="s">
        <v>3632</v>
      </c>
      <c r="K107" t="s">
        <v>4131</v>
      </c>
      <c r="L107" t="s">
        <v>3806</v>
      </c>
      <c r="M107" t="s">
        <v>57</v>
      </c>
    </row>
    <row r="108" spans="1:13" x14ac:dyDescent="0.2">
      <c r="A108" t="s">
        <v>1378</v>
      </c>
      <c r="B108">
        <f>VALUE(RIGHT(A108,LEN(A108)-3))</f>
        <v>222</v>
      </c>
      <c r="C108">
        <v>1</v>
      </c>
      <c r="D108" t="s">
        <v>32</v>
      </c>
      <c r="E108" t="s">
        <v>1381</v>
      </c>
      <c r="F108" t="s">
        <v>503</v>
      </c>
      <c r="G108" t="s">
        <v>43</v>
      </c>
      <c r="H108" t="s">
        <v>1379</v>
      </c>
      <c r="I108" t="s">
        <v>58</v>
      </c>
      <c r="J108" t="s">
        <v>3632</v>
      </c>
      <c r="K108" t="s">
        <v>4131</v>
      </c>
      <c r="L108" t="s">
        <v>3829</v>
      </c>
      <c r="M108" t="s">
        <v>57</v>
      </c>
    </row>
    <row r="109" spans="1:13" x14ac:dyDescent="0.2">
      <c r="A109" t="s">
        <v>1986</v>
      </c>
      <c r="B109">
        <f>VALUE(RIGHT(A109,LEN(A109)-3))</f>
        <v>336</v>
      </c>
      <c r="C109">
        <v>2</v>
      </c>
      <c r="D109" t="s">
        <v>32</v>
      </c>
      <c r="E109" t="s">
        <v>1989</v>
      </c>
      <c r="F109" t="s">
        <v>30</v>
      </c>
      <c r="G109" t="s">
        <v>29</v>
      </c>
      <c r="H109" t="s">
        <v>1987</v>
      </c>
      <c r="I109" t="s">
        <v>58</v>
      </c>
      <c r="J109" t="s">
        <v>3632</v>
      </c>
      <c r="K109" t="s">
        <v>4131</v>
      </c>
      <c r="L109" t="s">
        <v>3915</v>
      </c>
      <c r="M109" t="s">
        <v>35</v>
      </c>
    </row>
    <row r="110" spans="1:13" x14ac:dyDescent="0.2">
      <c r="A110" t="s">
        <v>2024</v>
      </c>
      <c r="B110">
        <f>VALUE(RIGHT(A110,LEN(A110)-3))</f>
        <v>342</v>
      </c>
      <c r="C110">
        <v>2</v>
      </c>
      <c r="D110" t="s">
        <v>32</v>
      </c>
      <c r="E110" t="s">
        <v>358</v>
      </c>
      <c r="F110" t="s">
        <v>602</v>
      </c>
      <c r="G110" t="s">
        <v>43</v>
      </c>
      <c r="H110" t="s">
        <v>2025</v>
      </c>
      <c r="I110" t="s">
        <v>58</v>
      </c>
      <c r="J110" t="s">
        <v>3632</v>
      </c>
      <c r="K110" t="s">
        <v>4131</v>
      </c>
      <c r="L110" t="s">
        <v>3922</v>
      </c>
      <c r="M110" t="s">
        <v>57</v>
      </c>
    </row>
    <row r="111" spans="1:13" x14ac:dyDescent="0.2">
      <c r="A111" t="s">
        <v>2349</v>
      </c>
      <c r="B111">
        <f>VALUE(RIGHT(A111,LEN(A111)-3))</f>
        <v>399</v>
      </c>
      <c r="C111">
        <v>3</v>
      </c>
      <c r="D111" t="s">
        <v>32</v>
      </c>
      <c r="E111" t="s">
        <v>2352</v>
      </c>
      <c r="F111" t="s">
        <v>30</v>
      </c>
      <c r="G111" t="s">
        <v>43</v>
      </c>
      <c r="H111" t="s">
        <v>2350</v>
      </c>
      <c r="I111" t="s">
        <v>58</v>
      </c>
      <c r="J111" t="s">
        <v>3632</v>
      </c>
      <c r="K111" t="s">
        <v>4131</v>
      </c>
      <c r="L111" t="s">
        <v>3970</v>
      </c>
      <c r="M111" t="s">
        <v>35</v>
      </c>
    </row>
    <row r="112" spans="1:13" x14ac:dyDescent="0.2">
      <c r="A112" t="s">
        <v>2406</v>
      </c>
      <c r="B112">
        <f>VALUE(RIGHT(A112,LEN(A112)-3))</f>
        <v>408</v>
      </c>
      <c r="C112">
        <v>3</v>
      </c>
      <c r="D112" t="s">
        <v>32</v>
      </c>
      <c r="E112" t="s">
        <v>2410</v>
      </c>
      <c r="F112" t="s">
        <v>503</v>
      </c>
      <c r="G112" t="s">
        <v>43</v>
      </c>
      <c r="H112" t="s">
        <v>2407</v>
      </c>
      <c r="I112" t="s">
        <v>58</v>
      </c>
      <c r="J112" t="s">
        <v>3632</v>
      </c>
      <c r="K112" t="s">
        <v>4131</v>
      </c>
      <c r="L112" t="s">
        <v>3985</v>
      </c>
      <c r="M112" t="s">
        <v>57</v>
      </c>
    </row>
    <row r="113" spans="1:13" x14ac:dyDescent="0.2">
      <c r="A113" t="s">
        <v>2538</v>
      </c>
      <c r="B113">
        <f>VALUE(RIGHT(A113,LEN(A113)-3))</f>
        <v>432</v>
      </c>
      <c r="C113">
        <v>3</v>
      </c>
      <c r="D113" t="s">
        <v>32</v>
      </c>
      <c r="E113" t="s">
        <v>1314</v>
      </c>
      <c r="F113" t="s">
        <v>602</v>
      </c>
      <c r="G113" t="s">
        <v>43</v>
      </c>
      <c r="H113" t="s">
        <v>2539</v>
      </c>
      <c r="I113" t="s">
        <v>58</v>
      </c>
      <c r="J113" t="s">
        <v>3632</v>
      </c>
      <c r="K113" t="s">
        <v>4131</v>
      </c>
      <c r="L113" t="s">
        <v>4006</v>
      </c>
      <c r="M113" t="s">
        <v>35</v>
      </c>
    </row>
    <row r="114" spans="1:13" x14ac:dyDescent="0.2">
      <c r="A114" t="s">
        <v>2544</v>
      </c>
      <c r="B114">
        <f>VALUE(RIGHT(A114,LEN(A114)-3))</f>
        <v>433</v>
      </c>
      <c r="C114">
        <v>1</v>
      </c>
      <c r="D114" t="s">
        <v>32</v>
      </c>
      <c r="E114" t="s">
        <v>2546</v>
      </c>
      <c r="F114" t="s">
        <v>602</v>
      </c>
      <c r="G114" t="s">
        <v>43</v>
      </c>
      <c r="H114" t="s">
        <v>2545</v>
      </c>
      <c r="I114" t="s">
        <v>58</v>
      </c>
      <c r="J114" t="s">
        <v>3632</v>
      </c>
      <c r="K114" t="s">
        <v>4131</v>
      </c>
      <c r="L114" t="s">
        <v>4007</v>
      </c>
      <c r="M114" t="s">
        <v>57</v>
      </c>
    </row>
    <row r="115" spans="1:13" x14ac:dyDescent="0.2">
      <c r="A115" t="s">
        <v>2573</v>
      </c>
      <c r="B115">
        <f>VALUE(RIGHT(A115,LEN(A115)-3))</f>
        <v>438</v>
      </c>
      <c r="C115">
        <v>2</v>
      </c>
      <c r="D115" t="s">
        <v>32</v>
      </c>
      <c r="E115" t="s">
        <v>2575</v>
      </c>
      <c r="F115" t="s">
        <v>503</v>
      </c>
      <c r="G115" t="s">
        <v>43</v>
      </c>
      <c r="H115" t="s">
        <v>2574</v>
      </c>
      <c r="I115" t="s">
        <v>58</v>
      </c>
      <c r="J115" t="s">
        <v>3632</v>
      </c>
      <c r="K115" t="s">
        <v>4131</v>
      </c>
      <c r="L115" t="s">
        <v>4013</v>
      </c>
      <c r="M115" t="s">
        <v>35</v>
      </c>
    </row>
    <row r="116" spans="1:13" x14ac:dyDescent="0.2">
      <c r="A116" t="s">
        <v>2578</v>
      </c>
      <c r="B116">
        <f>VALUE(RIGHT(A116,LEN(A116)-3))</f>
        <v>439</v>
      </c>
      <c r="C116">
        <v>1</v>
      </c>
      <c r="D116" t="s">
        <v>32</v>
      </c>
      <c r="E116" t="s">
        <v>2580</v>
      </c>
      <c r="F116" t="s">
        <v>503</v>
      </c>
      <c r="G116" t="s">
        <v>43</v>
      </c>
      <c r="H116" t="s">
        <v>2579</v>
      </c>
      <c r="I116" t="s">
        <v>58</v>
      </c>
      <c r="J116" t="s">
        <v>3632</v>
      </c>
      <c r="K116" t="s">
        <v>4131</v>
      </c>
      <c r="L116" t="s">
        <v>4015</v>
      </c>
      <c r="M116" t="s">
        <v>57</v>
      </c>
    </row>
    <row r="117" spans="1:13" x14ac:dyDescent="0.2">
      <c r="A117" t="s">
        <v>2744</v>
      </c>
      <c r="B117">
        <f>VALUE(RIGHT(A117,LEN(A117)-3))</f>
        <v>470</v>
      </c>
      <c r="C117">
        <v>1</v>
      </c>
      <c r="D117" t="s">
        <v>32</v>
      </c>
      <c r="E117" t="s">
        <v>497</v>
      </c>
      <c r="F117" t="s">
        <v>503</v>
      </c>
      <c r="G117" t="s">
        <v>43</v>
      </c>
      <c r="H117" t="s">
        <v>2745</v>
      </c>
      <c r="I117" t="s">
        <v>58</v>
      </c>
      <c r="J117" t="s">
        <v>3632</v>
      </c>
      <c r="K117" t="s">
        <v>4131</v>
      </c>
      <c r="L117" t="s">
        <v>4037</v>
      </c>
      <c r="M117" t="s">
        <v>57</v>
      </c>
    </row>
    <row r="118" spans="1:13" x14ac:dyDescent="0.2">
      <c r="A118" t="s">
        <v>2829</v>
      </c>
      <c r="B118">
        <f>VALUE(RIGHT(A118,LEN(A118)-3))</f>
        <v>485</v>
      </c>
      <c r="C118">
        <v>1</v>
      </c>
      <c r="D118" t="s">
        <v>32</v>
      </c>
      <c r="E118" t="s">
        <v>2832</v>
      </c>
      <c r="F118" t="s">
        <v>503</v>
      </c>
      <c r="G118" t="s">
        <v>43</v>
      </c>
      <c r="H118" t="s">
        <v>2830</v>
      </c>
      <c r="I118" t="s">
        <v>58</v>
      </c>
      <c r="J118" t="s">
        <v>3632</v>
      </c>
      <c r="K118" t="s">
        <v>4131</v>
      </c>
      <c r="L118" t="s">
        <v>4055</v>
      </c>
      <c r="M118" t="s">
        <v>57</v>
      </c>
    </row>
    <row r="119" spans="1:13" x14ac:dyDescent="0.2">
      <c r="A119" t="s">
        <v>2980</v>
      </c>
      <c r="B119">
        <f>VALUE(RIGHT(A119,LEN(A119)-3))</f>
        <v>513</v>
      </c>
      <c r="C119">
        <v>6</v>
      </c>
      <c r="D119" t="s">
        <v>32</v>
      </c>
      <c r="E119" t="s">
        <v>2982</v>
      </c>
      <c r="F119" t="s">
        <v>30</v>
      </c>
      <c r="G119" t="s">
        <v>29</v>
      </c>
      <c r="H119" t="s">
        <v>2981</v>
      </c>
      <c r="I119" t="s">
        <v>58</v>
      </c>
      <c r="J119" t="s">
        <v>3632</v>
      </c>
      <c r="K119" t="s">
        <v>4131</v>
      </c>
      <c r="L119" t="s">
        <v>4089</v>
      </c>
      <c r="M119" t="s">
        <v>35</v>
      </c>
    </row>
    <row r="120" spans="1:13" x14ac:dyDescent="0.2">
      <c r="A120" t="s">
        <v>3009</v>
      </c>
      <c r="B120">
        <f>VALUE(RIGHT(A120,LEN(A120)-3))</f>
        <v>519</v>
      </c>
      <c r="C120">
        <v>1</v>
      </c>
      <c r="D120" t="s">
        <v>32</v>
      </c>
      <c r="E120" t="s">
        <v>1052</v>
      </c>
      <c r="F120" t="s">
        <v>503</v>
      </c>
      <c r="G120" t="s">
        <v>43</v>
      </c>
      <c r="H120" t="s">
        <v>3006</v>
      </c>
      <c r="I120" t="s">
        <v>58</v>
      </c>
      <c r="J120" t="s">
        <v>3632</v>
      </c>
      <c r="K120" t="s">
        <v>4131</v>
      </c>
      <c r="L120" t="s">
        <v>4092</v>
      </c>
      <c r="M120" t="s">
        <v>57</v>
      </c>
    </row>
    <row r="121" spans="1:13" x14ac:dyDescent="0.2">
      <c r="A121" t="s">
        <v>3042</v>
      </c>
      <c r="B121">
        <f>VALUE(RIGHT(A121,LEN(A121)-3))</f>
        <v>525</v>
      </c>
      <c r="C121">
        <v>2</v>
      </c>
      <c r="D121" t="s">
        <v>32</v>
      </c>
      <c r="E121" t="s">
        <v>3046</v>
      </c>
      <c r="F121" t="s">
        <v>602</v>
      </c>
      <c r="G121" t="s">
        <v>43</v>
      </c>
      <c r="H121" t="s">
        <v>3043</v>
      </c>
      <c r="I121" t="s">
        <v>58</v>
      </c>
      <c r="J121" t="s">
        <v>3632</v>
      </c>
      <c r="K121" t="s">
        <v>4131</v>
      </c>
      <c r="L121" t="s">
        <v>4096</v>
      </c>
      <c r="M121" t="s">
        <v>57</v>
      </c>
    </row>
    <row r="122" spans="1:13" x14ac:dyDescent="0.2">
      <c r="A122" t="s">
        <v>3103</v>
      </c>
      <c r="B122">
        <f>VALUE(RIGHT(A122,LEN(A122)-3))</f>
        <v>536</v>
      </c>
      <c r="C122">
        <v>3</v>
      </c>
      <c r="D122" t="s">
        <v>32</v>
      </c>
      <c r="E122" t="s">
        <v>3104</v>
      </c>
      <c r="F122" t="s">
        <v>503</v>
      </c>
      <c r="G122" t="s">
        <v>83</v>
      </c>
      <c r="H122" t="s">
        <v>3099</v>
      </c>
      <c r="I122" t="s">
        <v>58</v>
      </c>
      <c r="J122" t="s">
        <v>3632</v>
      </c>
      <c r="K122" t="s">
        <v>4131</v>
      </c>
      <c r="L122" t="s">
        <v>4109</v>
      </c>
      <c r="M122" t="s">
        <v>35</v>
      </c>
    </row>
    <row r="123" spans="1:13" x14ac:dyDescent="0.2">
      <c r="A123" t="s">
        <v>50</v>
      </c>
      <c r="B123">
        <f>VALUE(RIGHT(A123,LEN(A123)-3))</f>
        <v>3</v>
      </c>
      <c r="C123">
        <v>1</v>
      </c>
      <c r="D123" t="s">
        <v>32</v>
      </c>
      <c r="E123" t="s">
        <v>55</v>
      </c>
      <c r="F123" t="s">
        <v>30</v>
      </c>
      <c r="G123" t="s">
        <v>54</v>
      </c>
      <c r="H123" t="s">
        <v>51</v>
      </c>
      <c r="I123" t="s">
        <v>58</v>
      </c>
      <c r="J123" t="s">
        <v>3626</v>
      </c>
      <c r="K123" t="s">
        <v>4134</v>
      </c>
      <c r="L123" t="s">
        <v>3627</v>
      </c>
      <c r="M123" t="s">
        <v>57</v>
      </c>
    </row>
    <row r="124" spans="1:13" x14ac:dyDescent="0.2">
      <c r="A124" t="s">
        <v>141</v>
      </c>
      <c r="B124">
        <f>VALUE(RIGHT(A124,LEN(A124)-3))</f>
        <v>14</v>
      </c>
      <c r="C124">
        <v>2</v>
      </c>
      <c r="D124" t="s">
        <v>32</v>
      </c>
      <c r="E124" t="s">
        <v>144</v>
      </c>
      <c r="F124" t="s">
        <v>30</v>
      </c>
      <c r="G124" t="s">
        <v>43</v>
      </c>
      <c r="H124" t="s">
        <v>142</v>
      </c>
      <c r="I124" t="s">
        <v>58</v>
      </c>
      <c r="J124" t="s">
        <v>3626</v>
      </c>
      <c r="K124" t="s">
        <v>4134</v>
      </c>
      <c r="L124" t="s">
        <v>3638</v>
      </c>
      <c r="M124" t="s">
        <v>57</v>
      </c>
    </row>
    <row r="125" spans="1:13" x14ac:dyDescent="0.2">
      <c r="A125" t="s">
        <v>415</v>
      </c>
      <c r="B125">
        <f>VALUE(RIGHT(A125,LEN(A125)-3))</f>
        <v>56</v>
      </c>
      <c r="C125">
        <v>1</v>
      </c>
      <c r="D125" t="s">
        <v>32</v>
      </c>
      <c r="E125" t="s">
        <v>417</v>
      </c>
      <c r="F125" t="s">
        <v>30</v>
      </c>
      <c r="G125" t="s">
        <v>43</v>
      </c>
      <c r="H125" t="s">
        <v>416</v>
      </c>
      <c r="I125" t="s">
        <v>58</v>
      </c>
      <c r="J125" t="s">
        <v>3626</v>
      </c>
      <c r="K125" t="s">
        <v>4134</v>
      </c>
      <c r="L125" t="s">
        <v>3690</v>
      </c>
      <c r="M125" t="s">
        <v>57</v>
      </c>
    </row>
    <row r="126" spans="1:13" x14ac:dyDescent="0.2">
      <c r="A126" t="s">
        <v>528</v>
      </c>
      <c r="B126">
        <f>VALUE(RIGHT(A126,LEN(A126)-3))</f>
        <v>74</v>
      </c>
      <c r="C126">
        <v>2</v>
      </c>
      <c r="D126" t="s">
        <v>32</v>
      </c>
      <c r="E126" t="s">
        <v>531</v>
      </c>
      <c r="F126" t="s">
        <v>30</v>
      </c>
      <c r="G126" t="s">
        <v>43</v>
      </c>
      <c r="H126" t="s">
        <v>529</v>
      </c>
      <c r="I126" t="s">
        <v>58</v>
      </c>
      <c r="J126" t="s">
        <v>3626</v>
      </c>
      <c r="K126" t="s">
        <v>4134</v>
      </c>
      <c r="L126" t="s">
        <v>3713</v>
      </c>
      <c r="M126" t="s">
        <v>57</v>
      </c>
    </row>
    <row r="127" spans="1:13" x14ac:dyDescent="0.2">
      <c r="A127" t="s">
        <v>658</v>
      </c>
      <c r="B127">
        <f>VALUE(RIGHT(A127,LEN(A127)-3))</f>
        <v>95</v>
      </c>
      <c r="C127">
        <v>1</v>
      </c>
      <c r="D127" t="s">
        <v>32</v>
      </c>
      <c r="E127" t="s">
        <v>661</v>
      </c>
      <c r="F127" t="s">
        <v>30</v>
      </c>
      <c r="G127" t="s">
        <v>29</v>
      </c>
      <c r="H127" t="s">
        <v>659</v>
      </c>
      <c r="I127" t="s">
        <v>58</v>
      </c>
      <c r="J127" t="s">
        <v>3626</v>
      </c>
      <c r="K127" t="s">
        <v>4134</v>
      </c>
      <c r="L127" t="s">
        <v>3729</v>
      </c>
      <c r="M127" t="s">
        <v>57</v>
      </c>
    </row>
    <row r="128" spans="1:13" x14ac:dyDescent="0.2">
      <c r="A128" t="s">
        <v>688</v>
      </c>
      <c r="B128">
        <f>VALUE(RIGHT(A128,LEN(A128)-3))</f>
        <v>101</v>
      </c>
      <c r="C128">
        <v>1</v>
      </c>
      <c r="D128" t="s">
        <v>32</v>
      </c>
      <c r="E128" t="s">
        <v>692</v>
      </c>
      <c r="F128" t="s">
        <v>30</v>
      </c>
      <c r="G128" t="s">
        <v>29</v>
      </c>
      <c r="H128" t="s">
        <v>689</v>
      </c>
      <c r="I128" t="s">
        <v>58</v>
      </c>
      <c r="J128" t="s">
        <v>3626</v>
      </c>
      <c r="K128" t="s">
        <v>4134</v>
      </c>
      <c r="L128" t="s">
        <v>3731</v>
      </c>
      <c r="M128" t="s">
        <v>57</v>
      </c>
    </row>
    <row r="129" spans="1:13" x14ac:dyDescent="0.2">
      <c r="A129" t="s">
        <v>793</v>
      </c>
      <c r="B129">
        <f>VALUE(RIGHT(A129,LEN(A129)-3))</f>
        <v>118</v>
      </c>
      <c r="C129">
        <v>1</v>
      </c>
      <c r="D129" t="s">
        <v>32</v>
      </c>
      <c r="E129" t="s">
        <v>144</v>
      </c>
      <c r="F129" t="s">
        <v>30</v>
      </c>
      <c r="G129" t="s">
        <v>29</v>
      </c>
      <c r="H129" t="s">
        <v>794</v>
      </c>
      <c r="I129" t="s">
        <v>58</v>
      </c>
      <c r="J129" t="s">
        <v>3626</v>
      </c>
      <c r="K129" t="s">
        <v>4134</v>
      </c>
      <c r="L129" t="s">
        <v>3748</v>
      </c>
      <c r="M129" t="s">
        <v>57</v>
      </c>
    </row>
    <row r="130" spans="1:13" x14ac:dyDescent="0.2">
      <c r="A130" t="s">
        <v>982</v>
      </c>
      <c r="B130">
        <f>VALUE(RIGHT(A130,LEN(A130)-3))</f>
        <v>151</v>
      </c>
      <c r="C130">
        <v>1</v>
      </c>
      <c r="D130" t="s">
        <v>32</v>
      </c>
      <c r="E130" t="s">
        <v>985</v>
      </c>
      <c r="F130" t="s">
        <v>30</v>
      </c>
      <c r="G130" t="s">
        <v>29</v>
      </c>
      <c r="H130" t="s">
        <v>983</v>
      </c>
      <c r="I130" t="s">
        <v>58</v>
      </c>
      <c r="J130" t="s">
        <v>3626</v>
      </c>
      <c r="K130" t="s">
        <v>4134</v>
      </c>
      <c r="L130" t="s">
        <v>3774</v>
      </c>
      <c r="M130" t="s">
        <v>57</v>
      </c>
    </row>
    <row r="131" spans="1:13" x14ac:dyDescent="0.2">
      <c r="A131" t="s">
        <v>1299</v>
      </c>
      <c r="B131">
        <f>VALUE(RIGHT(A131,LEN(A131)-3))</f>
        <v>207</v>
      </c>
      <c r="C131">
        <v>1</v>
      </c>
      <c r="D131" t="s">
        <v>32</v>
      </c>
      <c r="E131" t="s">
        <v>1302</v>
      </c>
      <c r="F131" t="s">
        <v>30</v>
      </c>
      <c r="G131" t="s">
        <v>43</v>
      </c>
      <c r="H131" t="s">
        <v>1300</v>
      </c>
      <c r="I131" t="s">
        <v>58</v>
      </c>
      <c r="J131" t="s">
        <v>3626</v>
      </c>
      <c r="K131" t="s">
        <v>4134</v>
      </c>
      <c r="L131" t="s">
        <v>3816</v>
      </c>
      <c r="M131" t="s">
        <v>57</v>
      </c>
    </row>
    <row r="132" spans="1:13" x14ac:dyDescent="0.2">
      <c r="A132" t="s">
        <v>1540</v>
      </c>
      <c r="B132">
        <f>VALUE(RIGHT(A132,LEN(A132)-3))</f>
        <v>252</v>
      </c>
      <c r="C132">
        <v>1</v>
      </c>
      <c r="D132" t="s">
        <v>32</v>
      </c>
      <c r="E132" t="s">
        <v>1542</v>
      </c>
      <c r="F132" t="s">
        <v>30</v>
      </c>
      <c r="G132" t="s">
        <v>83</v>
      </c>
      <c r="H132" t="s">
        <v>1541</v>
      </c>
      <c r="I132" t="s">
        <v>58</v>
      </c>
      <c r="J132" t="s">
        <v>3626</v>
      </c>
      <c r="K132" t="s">
        <v>4134</v>
      </c>
      <c r="L132" t="s">
        <v>3852</v>
      </c>
      <c r="M132" t="s">
        <v>57</v>
      </c>
    </row>
    <row r="133" spans="1:13" x14ac:dyDescent="0.2">
      <c r="A133" t="s">
        <v>1726</v>
      </c>
      <c r="B133">
        <f>VALUE(RIGHT(A133,LEN(A133)-3))</f>
        <v>288</v>
      </c>
      <c r="C133">
        <v>1</v>
      </c>
      <c r="D133" t="s">
        <v>32</v>
      </c>
      <c r="E133" t="s">
        <v>1728</v>
      </c>
      <c r="F133" t="s">
        <v>503</v>
      </c>
      <c r="G133" t="s">
        <v>43</v>
      </c>
      <c r="H133" t="s">
        <v>1727</v>
      </c>
      <c r="I133" t="s">
        <v>58</v>
      </c>
      <c r="J133" t="s">
        <v>3626</v>
      </c>
      <c r="K133" t="s">
        <v>4134</v>
      </c>
      <c r="L133" t="s">
        <v>3878</v>
      </c>
      <c r="M133" t="s">
        <v>57</v>
      </c>
    </row>
    <row r="134" spans="1:13" x14ac:dyDescent="0.2">
      <c r="A134" t="s">
        <v>1751</v>
      </c>
      <c r="B134">
        <f>VALUE(RIGHT(A134,LEN(A134)-3))</f>
        <v>292</v>
      </c>
      <c r="C134">
        <v>2</v>
      </c>
      <c r="D134" t="s">
        <v>32</v>
      </c>
      <c r="E134" t="s">
        <v>1755</v>
      </c>
      <c r="F134" t="s">
        <v>30</v>
      </c>
      <c r="G134" t="s">
        <v>746</v>
      </c>
      <c r="H134" t="s">
        <v>1752</v>
      </c>
      <c r="I134" t="s">
        <v>58</v>
      </c>
      <c r="J134" t="s">
        <v>3626</v>
      </c>
      <c r="K134" t="s">
        <v>4134</v>
      </c>
      <c r="L134" t="s">
        <v>3889</v>
      </c>
      <c r="M134" t="s">
        <v>57</v>
      </c>
    </row>
    <row r="135" spans="1:13" x14ac:dyDescent="0.2">
      <c r="A135" t="s">
        <v>1980</v>
      </c>
      <c r="B135">
        <f>VALUE(RIGHT(A135,LEN(A135)-3))</f>
        <v>335</v>
      </c>
      <c r="C135">
        <v>1</v>
      </c>
      <c r="D135" t="s">
        <v>32</v>
      </c>
      <c r="E135" t="s">
        <v>1983</v>
      </c>
      <c r="F135" t="s">
        <v>30</v>
      </c>
      <c r="G135" t="s">
        <v>29</v>
      </c>
      <c r="H135" t="s">
        <v>1981</v>
      </c>
      <c r="I135" t="s">
        <v>58</v>
      </c>
      <c r="J135" t="s">
        <v>3626</v>
      </c>
      <c r="K135" t="s">
        <v>4134</v>
      </c>
      <c r="L135" t="s">
        <v>3913</v>
      </c>
      <c r="M135" t="s">
        <v>57</v>
      </c>
    </row>
    <row r="136" spans="1:13" x14ac:dyDescent="0.2">
      <c r="A136" t="s">
        <v>2190</v>
      </c>
      <c r="B136">
        <f>VALUE(RIGHT(A136,LEN(A136)-3))</f>
        <v>373</v>
      </c>
      <c r="C136">
        <v>1</v>
      </c>
      <c r="D136" t="s">
        <v>32</v>
      </c>
      <c r="E136" t="s">
        <v>276</v>
      </c>
      <c r="F136" t="s">
        <v>30</v>
      </c>
      <c r="G136" t="s">
        <v>54</v>
      </c>
      <c r="H136" t="s">
        <v>2191</v>
      </c>
      <c r="I136" t="s">
        <v>58</v>
      </c>
      <c r="J136" t="s">
        <v>3626</v>
      </c>
      <c r="K136" t="s">
        <v>4134</v>
      </c>
      <c r="L136" t="s">
        <v>3943</v>
      </c>
      <c r="M136" t="s">
        <v>57</v>
      </c>
    </row>
    <row r="137" spans="1:13" x14ac:dyDescent="0.2">
      <c r="A137" t="s">
        <v>2375</v>
      </c>
      <c r="B137">
        <f>VALUE(RIGHT(A137,LEN(A137)-3))</f>
        <v>403</v>
      </c>
      <c r="C137">
        <v>2</v>
      </c>
      <c r="D137" t="s">
        <v>32</v>
      </c>
      <c r="E137" t="s">
        <v>2378</v>
      </c>
      <c r="F137" t="s">
        <v>30</v>
      </c>
      <c r="G137" t="s">
        <v>43</v>
      </c>
      <c r="H137" t="s">
        <v>2376</v>
      </c>
      <c r="I137" t="s">
        <v>58</v>
      </c>
      <c r="J137" t="s">
        <v>3626</v>
      </c>
      <c r="K137" t="s">
        <v>4134</v>
      </c>
      <c r="L137" t="s">
        <v>3978</v>
      </c>
      <c r="M137" t="s">
        <v>57</v>
      </c>
    </row>
    <row r="138" spans="1:13" x14ac:dyDescent="0.2">
      <c r="A138" t="s">
        <v>2514</v>
      </c>
      <c r="B138">
        <f>VALUE(RIGHT(A138,LEN(A138)-3))</f>
        <v>428</v>
      </c>
      <c r="C138">
        <v>1</v>
      </c>
      <c r="D138" t="s">
        <v>32</v>
      </c>
      <c r="E138" t="s">
        <v>2517</v>
      </c>
      <c r="F138" t="s">
        <v>30</v>
      </c>
      <c r="G138" t="s">
        <v>29</v>
      </c>
      <c r="H138" t="s">
        <v>2515</v>
      </c>
      <c r="I138" t="s">
        <v>58</v>
      </c>
      <c r="J138" t="s">
        <v>3626</v>
      </c>
      <c r="K138" t="s">
        <v>4134</v>
      </c>
      <c r="L138" t="s">
        <v>3999</v>
      </c>
      <c r="M138" t="s">
        <v>57</v>
      </c>
    </row>
    <row r="139" spans="1:13" x14ac:dyDescent="0.2">
      <c r="A139" t="s">
        <v>2620</v>
      </c>
      <c r="B139">
        <f>VALUE(RIGHT(A139,LEN(A139)-3))</f>
        <v>447</v>
      </c>
      <c r="C139">
        <v>1</v>
      </c>
      <c r="D139" t="s">
        <v>32</v>
      </c>
      <c r="E139" t="s">
        <v>2623</v>
      </c>
      <c r="F139" t="s">
        <v>503</v>
      </c>
      <c r="G139" t="s">
        <v>43</v>
      </c>
      <c r="H139" t="s">
        <v>2621</v>
      </c>
      <c r="I139" t="s">
        <v>58</v>
      </c>
      <c r="J139" t="s">
        <v>3626</v>
      </c>
      <c r="K139" t="s">
        <v>4134</v>
      </c>
      <c r="L139" t="s">
        <v>4024</v>
      </c>
      <c r="M139" t="s">
        <v>57</v>
      </c>
    </row>
    <row r="140" spans="1:13" x14ac:dyDescent="0.2">
      <c r="A140" t="s">
        <v>2756</v>
      </c>
      <c r="B140">
        <f>VALUE(RIGHT(A140,LEN(A140)-3))</f>
        <v>472</v>
      </c>
      <c r="C140">
        <v>2</v>
      </c>
      <c r="D140" t="s">
        <v>32</v>
      </c>
      <c r="E140" t="s">
        <v>2759</v>
      </c>
      <c r="F140" t="s">
        <v>30</v>
      </c>
      <c r="G140" t="s">
        <v>54</v>
      </c>
      <c r="H140" t="s">
        <v>2757</v>
      </c>
      <c r="I140" t="s">
        <v>58</v>
      </c>
      <c r="J140" t="s">
        <v>3626</v>
      </c>
      <c r="K140" t="s">
        <v>4134</v>
      </c>
      <c r="L140" t="s">
        <v>4041</v>
      </c>
      <c r="M140" t="s">
        <v>57</v>
      </c>
    </row>
    <row r="141" spans="1:13" x14ac:dyDescent="0.2">
      <c r="A141" t="s">
        <v>421</v>
      </c>
      <c r="B141">
        <f>VALUE(RIGHT(A141,LEN(A141)-3))</f>
        <v>57</v>
      </c>
      <c r="C141">
        <v>1</v>
      </c>
      <c r="D141" t="s">
        <v>32</v>
      </c>
      <c r="E141" t="s">
        <v>424</v>
      </c>
      <c r="F141" t="s">
        <v>30</v>
      </c>
      <c r="G141" t="s">
        <v>43</v>
      </c>
      <c r="H141" t="s">
        <v>422</v>
      </c>
      <c r="I141" t="s">
        <v>291</v>
      </c>
      <c r="J141" t="s">
        <v>1105</v>
      </c>
      <c r="K141" t="s">
        <v>3691</v>
      </c>
      <c r="L141" t="s">
        <v>3692</v>
      </c>
      <c r="M141" t="s">
        <v>35</v>
      </c>
    </row>
    <row r="142" spans="1:13" x14ac:dyDescent="0.2">
      <c r="A142" t="s">
        <v>1152</v>
      </c>
      <c r="B142">
        <f>VALUE(RIGHT(A142,LEN(A142)-3))</f>
        <v>181</v>
      </c>
      <c r="C142">
        <v>1</v>
      </c>
      <c r="D142" t="s">
        <v>32</v>
      </c>
      <c r="E142" t="s">
        <v>1155</v>
      </c>
      <c r="F142" t="s">
        <v>30</v>
      </c>
      <c r="G142" t="s">
        <v>29</v>
      </c>
      <c r="H142" t="s">
        <v>1153</v>
      </c>
      <c r="I142" t="s">
        <v>291</v>
      </c>
      <c r="J142" t="s">
        <v>1105</v>
      </c>
      <c r="K142" t="s">
        <v>3691</v>
      </c>
      <c r="L142" t="s">
        <v>3787</v>
      </c>
      <c r="M142" t="s">
        <v>57</v>
      </c>
    </row>
    <row r="143" spans="1:13" x14ac:dyDescent="0.2">
      <c r="A143" t="s">
        <v>1751</v>
      </c>
      <c r="B143">
        <f>VALUE(RIGHT(A143,LEN(A143)-3))</f>
        <v>292</v>
      </c>
      <c r="C143">
        <v>1</v>
      </c>
      <c r="D143" t="s">
        <v>32</v>
      </c>
      <c r="E143" t="s">
        <v>1755</v>
      </c>
      <c r="F143" t="s">
        <v>30</v>
      </c>
      <c r="G143" t="s">
        <v>746</v>
      </c>
      <c r="H143" t="s">
        <v>1752</v>
      </c>
      <c r="I143" t="s">
        <v>291</v>
      </c>
      <c r="J143" t="s">
        <v>1105</v>
      </c>
      <c r="K143" t="s">
        <v>3691</v>
      </c>
      <c r="L143" t="s">
        <v>3888</v>
      </c>
      <c r="M143" t="s">
        <v>57</v>
      </c>
    </row>
    <row r="144" spans="1:13" x14ac:dyDescent="0.2">
      <c r="A144" t="s">
        <v>2250</v>
      </c>
      <c r="B144">
        <f>VALUE(RIGHT(A144,LEN(A144)-3))</f>
        <v>383</v>
      </c>
      <c r="C144">
        <v>2</v>
      </c>
      <c r="D144" t="s">
        <v>32</v>
      </c>
      <c r="E144" t="s">
        <v>2253</v>
      </c>
      <c r="F144" t="s">
        <v>30</v>
      </c>
      <c r="G144" t="s">
        <v>83</v>
      </c>
      <c r="H144" t="s">
        <v>2251</v>
      </c>
      <c r="I144" t="s">
        <v>291</v>
      </c>
      <c r="J144" t="s">
        <v>1105</v>
      </c>
      <c r="K144" t="s">
        <v>3691</v>
      </c>
      <c r="L144" t="s">
        <v>3950</v>
      </c>
      <c r="M144" t="s">
        <v>57</v>
      </c>
    </row>
    <row r="145" spans="1:13" x14ac:dyDescent="0.2">
      <c r="A145" t="s">
        <v>2419</v>
      </c>
      <c r="B145">
        <f>VALUE(RIGHT(A145,LEN(A145)-3))</f>
        <v>410</v>
      </c>
      <c r="C145">
        <v>2</v>
      </c>
      <c r="D145" t="s">
        <v>32</v>
      </c>
      <c r="E145" t="s">
        <v>2421</v>
      </c>
      <c r="F145" t="s">
        <v>503</v>
      </c>
      <c r="G145" t="s">
        <v>43</v>
      </c>
      <c r="H145" t="s">
        <v>2420</v>
      </c>
      <c r="I145" t="s">
        <v>291</v>
      </c>
      <c r="J145" t="s">
        <v>1105</v>
      </c>
      <c r="K145" t="s">
        <v>3691</v>
      </c>
      <c r="L145" t="s">
        <v>3987</v>
      </c>
      <c r="M145" t="s">
        <v>35</v>
      </c>
    </row>
    <row r="146" spans="1:13" x14ac:dyDescent="0.2">
      <c r="A146" t="s">
        <v>702</v>
      </c>
      <c r="B146">
        <f>VALUE(RIGHT(A146,LEN(A146)-3))</f>
        <v>103</v>
      </c>
      <c r="C146">
        <v>1</v>
      </c>
      <c r="D146" t="s">
        <v>32</v>
      </c>
      <c r="E146" t="s">
        <v>604</v>
      </c>
      <c r="F146" t="s">
        <v>30</v>
      </c>
      <c r="G146" t="s">
        <v>43</v>
      </c>
      <c r="H146" t="s">
        <v>703</v>
      </c>
      <c r="I146" t="s">
        <v>291</v>
      </c>
      <c r="J146" t="s">
        <v>1354</v>
      </c>
      <c r="K146" t="s">
        <v>3743</v>
      </c>
      <c r="L146" t="s">
        <v>3732</v>
      </c>
      <c r="M146" t="s">
        <v>57</v>
      </c>
    </row>
    <row r="147" spans="1:13" x14ac:dyDescent="0.2">
      <c r="A147" t="s">
        <v>762</v>
      </c>
      <c r="B147">
        <f>VALUE(RIGHT(A147,LEN(A147)-3))</f>
        <v>113</v>
      </c>
      <c r="C147">
        <v>2</v>
      </c>
      <c r="D147" t="s">
        <v>32</v>
      </c>
      <c r="E147" t="s">
        <v>765</v>
      </c>
      <c r="F147" t="s">
        <v>503</v>
      </c>
      <c r="G147" t="s">
        <v>43</v>
      </c>
      <c r="H147" t="s">
        <v>763</v>
      </c>
      <c r="I147" t="s">
        <v>291</v>
      </c>
      <c r="J147" t="s">
        <v>1354</v>
      </c>
      <c r="K147" t="s">
        <v>3743</v>
      </c>
      <c r="L147" t="s">
        <v>3744</v>
      </c>
      <c r="M147" t="s">
        <v>35</v>
      </c>
    </row>
    <row r="148" spans="1:13" x14ac:dyDescent="0.2">
      <c r="A148" t="s">
        <v>1350</v>
      </c>
      <c r="B148">
        <f>VALUE(RIGHT(A148,LEN(A148)-3))</f>
        <v>217</v>
      </c>
      <c r="C148">
        <v>1</v>
      </c>
      <c r="D148" t="s">
        <v>32</v>
      </c>
      <c r="E148" t="s">
        <v>1352</v>
      </c>
      <c r="F148" t="s">
        <v>503</v>
      </c>
      <c r="G148" t="s">
        <v>43</v>
      </c>
      <c r="H148" t="s">
        <v>1351</v>
      </c>
      <c r="I148" t="s">
        <v>291</v>
      </c>
      <c r="J148" t="s">
        <v>1354</v>
      </c>
      <c r="K148" t="s">
        <v>3743</v>
      </c>
      <c r="L148" t="s">
        <v>3821</v>
      </c>
      <c r="M148" t="s">
        <v>35</v>
      </c>
    </row>
    <row r="149" spans="1:13" x14ac:dyDescent="0.2">
      <c r="A149" t="s">
        <v>1512</v>
      </c>
      <c r="B149">
        <f>VALUE(RIGHT(A149,LEN(A149)-3))</f>
        <v>247</v>
      </c>
      <c r="C149">
        <v>1</v>
      </c>
      <c r="D149" t="s">
        <v>32</v>
      </c>
      <c r="E149" t="s">
        <v>1516</v>
      </c>
      <c r="F149" t="s">
        <v>503</v>
      </c>
      <c r="G149" t="s">
        <v>43</v>
      </c>
      <c r="H149" t="s">
        <v>1513</v>
      </c>
      <c r="I149" t="s">
        <v>291</v>
      </c>
      <c r="J149" t="s">
        <v>1354</v>
      </c>
      <c r="K149" t="s">
        <v>3743</v>
      </c>
      <c r="L149" t="s">
        <v>3847</v>
      </c>
      <c r="M149" t="s">
        <v>57</v>
      </c>
    </row>
    <row r="150" spans="1:13" x14ac:dyDescent="0.2">
      <c r="A150" t="s">
        <v>1572</v>
      </c>
      <c r="B150">
        <f>VALUE(RIGHT(A150,LEN(A150)-3))</f>
        <v>259</v>
      </c>
      <c r="C150">
        <v>3</v>
      </c>
      <c r="D150" t="s">
        <v>32</v>
      </c>
      <c r="E150" t="s">
        <v>1574</v>
      </c>
      <c r="F150" t="s">
        <v>503</v>
      </c>
      <c r="G150" t="s">
        <v>43</v>
      </c>
      <c r="H150" t="s">
        <v>1573</v>
      </c>
      <c r="I150" t="s">
        <v>291</v>
      </c>
      <c r="J150" t="s">
        <v>1354</v>
      </c>
      <c r="K150" t="s">
        <v>3743</v>
      </c>
      <c r="L150" t="s">
        <v>3859</v>
      </c>
      <c r="M150" t="s">
        <v>57</v>
      </c>
    </row>
    <row r="151" spans="1:13" x14ac:dyDescent="0.2">
      <c r="A151" t="s">
        <v>1616</v>
      </c>
      <c r="B151">
        <f>VALUE(RIGHT(A151,LEN(A151)-3))</f>
        <v>267</v>
      </c>
      <c r="C151">
        <v>1</v>
      </c>
      <c r="D151" t="s">
        <v>32</v>
      </c>
      <c r="E151" t="s">
        <v>1078</v>
      </c>
      <c r="F151" t="s">
        <v>503</v>
      </c>
      <c r="G151" t="s">
        <v>43</v>
      </c>
      <c r="H151" t="s">
        <v>1617</v>
      </c>
      <c r="I151" t="s">
        <v>291</v>
      </c>
      <c r="J151" t="s">
        <v>1354</v>
      </c>
      <c r="K151" t="s">
        <v>3743</v>
      </c>
      <c r="L151" t="s">
        <v>3862</v>
      </c>
      <c r="M151" t="s">
        <v>57</v>
      </c>
    </row>
    <row r="152" spans="1:13" x14ac:dyDescent="0.2">
      <c r="A152" t="s">
        <v>1661</v>
      </c>
      <c r="B152">
        <f>VALUE(RIGHT(A152,LEN(A152)-3))</f>
        <v>276</v>
      </c>
      <c r="C152">
        <v>3</v>
      </c>
      <c r="D152" t="s">
        <v>32</v>
      </c>
      <c r="E152" t="s">
        <v>1663</v>
      </c>
      <c r="F152" t="s">
        <v>503</v>
      </c>
      <c r="G152" t="s">
        <v>43</v>
      </c>
      <c r="H152" t="s">
        <v>1662</v>
      </c>
      <c r="I152" t="s">
        <v>291</v>
      </c>
      <c r="J152" t="s">
        <v>1354</v>
      </c>
      <c r="K152" t="s">
        <v>3743</v>
      </c>
      <c r="L152" t="s">
        <v>3870</v>
      </c>
      <c r="M152" t="s">
        <v>57</v>
      </c>
    </row>
    <row r="153" spans="1:13" x14ac:dyDescent="0.2">
      <c r="A153" t="s">
        <v>1789</v>
      </c>
      <c r="B153">
        <f>VALUE(RIGHT(A153,LEN(A153)-3))</f>
        <v>299</v>
      </c>
      <c r="C153">
        <v>1</v>
      </c>
      <c r="D153" t="s">
        <v>32</v>
      </c>
      <c r="E153" t="s">
        <v>1791</v>
      </c>
      <c r="F153" t="s">
        <v>602</v>
      </c>
      <c r="G153" t="s">
        <v>43</v>
      </c>
      <c r="H153" t="s">
        <v>1785</v>
      </c>
      <c r="I153" t="s">
        <v>291</v>
      </c>
      <c r="J153" t="s">
        <v>1354</v>
      </c>
      <c r="K153" t="s">
        <v>3743</v>
      </c>
      <c r="L153" t="s">
        <v>3893</v>
      </c>
      <c r="M153" t="s">
        <v>35</v>
      </c>
    </row>
    <row r="154" spans="1:13" x14ac:dyDescent="0.2">
      <c r="A154" t="s">
        <v>2034</v>
      </c>
      <c r="B154">
        <f>VALUE(RIGHT(A154,LEN(A154)-3))</f>
        <v>344</v>
      </c>
      <c r="C154">
        <v>1</v>
      </c>
      <c r="D154" t="s">
        <v>32</v>
      </c>
      <c r="E154" t="s">
        <v>2035</v>
      </c>
      <c r="F154" t="s">
        <v>503</v>
      </c>
      <c r="G154" t="s">
        <v>43</v>
      </c>
      <c r="H154" t="s">
        <v>2030</v>
      </c>
      <c r="I154" t="s">
        <v>291</v>
      </c>
      <c r="J154" t="s">
        <v>1354</v>
      </c>
      <c r="K154" t="s">
        <v>3743</v>
      </c>
      <c r="L154" t="s">
        <v>3924</v>
      </c>
      <c r="M154" t="s">
        <v>35</v>
      </c>
    </row>
    <row r="155" spans="1:13" x14ac:dyDescent="0.2">
      <c r="A155" t="s">
        <v>2879</v>
      </c>
      <c r="B155">
        <f>VALUE(RIGHT(A155,LEN(A155)-3))</f>
        <v>495</v>
      </c>
      <c r="C155">
        <v>1</v>
      </c>
      <c r="D155" t="s">
        <v>32</v>
      </c>
      <c r="E155" t="s">
        <v>2881</v>
      </c>
      <c r="F155" t="s">
        <v>503</v>
      </c>
      <c r="G155" t="s">
        <v>43</v>
      </c>
      <c r="H155" t="s">
        <v>2880</v>
      </c>
      <c r="I155" t="s">
        <v>291</v>
      </c>
      <c r="J155" t="s">
        <v>1354</v>
      </c>
      <c r="K155" t="s">
        <v>3743</v>
      </c>
      <c r="L155" t="s">
        <v>4062</v>
      </c>
      <c r="M155" t="s">
        <v>35</v>
      </c>
    </row>
    <row r="156" spans="1:13" x14ac:dyDescent="0.2">
      <c r="A156" t="s">
        <v>2947</v>
      </c>
      <c r="B156">
        <f>VALUE(RIGHT(A156,LEN(A156)-3))</f>
        <v>507</v>
      </c>
      <c r="C156">
        <v>1</v>
      </c>
      <c r="D156" t="s">
        <v>32</v>
      </c>
      <c r="E156" t="s">
        <v>2949</v>
      </c>
      <c r="F156" t="s">
        <v>503</v>
      </c>
      <c r="G156" t="s">
        <v>43</v>
      </c>
      <c r="H156" t="s">
        <v>2948</v>
      </c>
      <c r="I156" t="s">
        <v>291</v>
      </c>
      <c r="J156" t="s">
        <v>1354</v>
      </c>
      <c r="K156" t="s">
        <v>3743</v>
      </c>
      <c r="L156" t="s">
        <v>4078</v>
      </c>
      <c r="M156" t="s">
        <v>35</v>
      </c>
    </row>
    <row r="157" spans="1:13" x14ac:dyDescent="0.2">
      <c r="A157" t="s">
        <v>362</v>
      </c>
      <c r="B157">
        <f>VALUE(RIGHT(A157,LEN(A157)-3))</f>
        <v>48</v>
      </c>
      <c r="C157">
        <v>1</v>
      </c>
      <c r="D157" t="s">
        <v>32</v>
      </c>
      <c r="E157" t="s">
        <v>364</v>
      </c>
      <c r="F157" t="s">
        <v>30</v>
      </c>
      <c r="G157" t="s">
        <v>43</v>
      </c>
      <c r="H157" t="s">
        <v>363</v>
      </c>
      <c r="I157" t="s">
        <v>291</v>
      </c>
      <c r="J157" t="s">
        <v>1354</v>
      </c>
      <c r="K157" t="s">
        <v>4129</v>
      </c>
      <c r="L157" t="s">
        <v>3677</v>
      </c>
      <c r="M157" t="s">
        <v>57</v>
      </c>
    </row>
    <row r="158" spans="1:13" x14ac:dyDescent="0.2">
      <c r="A158" t="s">
        <v>459</v>
      </c>
      <c r="B158">
        <f>VALUE(RIGHT(A158,LEN(A158)-3))</f>
        <v>63</v>
      </c>
      <c r="C158">
        <v>1</v>
      </c>
      <c r="D158" t="s">
        <v>32</v>
      </c>
      <c r="E158" t="s">
        <v>462</v>
      </c>
      <c r="F158" t="s">
        <v>30</v>
      </c>
      <c r="G158" t="s">
        <v>29</v>
      </c>
      <c r="H158" t="s">
        <v>460</v>
      </c>
      <c r="I158" t="s">
        <v>291</v>
      </c>
      <c r="J158" t="s">
        <v>1354</v>
      </c>
      <c r="K158" t="s">
        <v>4129</v>
      </c>
      <c r="L158" t="s">
        <v>3699</v>
      </c>
      <c r="M158" t="s">
        <v>57</v>
      </c>
    </row>
    <row r="159" spans="1:13" x14ac:dyDescent="0.2">
      <c r="A159" t="s">
        <v>1014</v>
      </c>
      <c r="B159">
        <f>VALUE(RIGHT(A159,LEN(A159)-3))</f>
        <v>157</v>
      </c>
      <c r="C159">
        <v>1</v>
      </c>
      <c r="D159" t="s">
        <v>32</v>
      </c>
      <c r="E159" t="s">
        <v>1017</v>
      </c>
      <c r="F159" t="s">
        <v>503</v>
      </c>
      <c r="G159" t="s">
        <v>43</v>
      </c>
      <c r="H159" t="s">
        <v>1015</v>
      </c>
      <c r="I159" t="s">
        <v>291</v>
      </c>
      <c r="J159" t="s">
        <v>1354</v>
      </c>
      <c r="K159" t="s">
        <v>4129</v>
      </c>
      <c r="L159" t="s">
        <v>3778</v>
      </c>
      <c r="M159" t="s">
        <v>57</v>
      </c>
    </row>
    <row r="160" spans="1:13" x14ac:dyDescent="0.2">
      <c r="A160" t="s">
        <v>1993</v>
      </c>
      <c r="B160">
        <f>VALUE(RIGHT(A160,LEN(A160)-3))</f>
        <v>337</v>
      </c>
      <c r="C160">
        <v>1</v>
      </c>
      <c r="D160" t="s">
        <v>32</v>
      </c>
      <c r="E160" t="s">
        <v>1996</v>
      </c>
      <c r="F160" t="s">
        <v>602</v>
      </c>
      <c r="G160" t="s">
        <v>43</v>
      </c>
      <c r="H160" t="s">
        <v>1994</v>
      </c>
      <c r="I160" t="s">
        <v>291</v>
      </c>
      <c r="J160" t="s">
        <v>1105</v>
      </c>
      <c r="K160" t="s">
        <v>4128</v>
      </c>
      <c r="L160" t="s">
        <v>3916</v>
      </c>
      <c r="M160" t="s">
        <v>57</v>
      </c>
    </row>
    <row r="161" spans="1:13" x14ac:dyDescent="0.2">
      <c r="A161" t="s">
        <v>2029</v>
      </c>
      <c r="B161">
        <f>VALUE(RIGHT(A161,LEN(A161)-3))</f>
        <v>343</v>
      </c>
      <c r="C161">
        <v>1</v>
      </c>
      <c r="D161" t="s">
        <v>32</v>
      </c>
      <c r="E161" t="s">
        <v>2031</v>
      </c>
      <c r="F161" t="s">
        <v>503</v>
      </c>
      <c r="G161" t="s">
        <v>43</v>
      </c>
      <c r="H161" t="s">
        <v>2030</v>
      </c>
      <c r="I161" t="s">
        <v>291</v>
      </c>
      <c r="J161" t="s">
        <v>1105</v>
      </c>
      <c r="K161" t="s">
        <v>4128</v>
      </c>
      <c r="L161" t="s">
        <v>3923</v>
      </c>
      <c r="M161" t="s">
        <v>57</v>
      </c>
    </row>
    <row r="162" spans="1:13" x14ac:dyDescent="0.2">
      <c r="A162" t="s">
        <v>1738</v>
      </c>
      <c r="B162">
        <f>VALUE(RIGHT(A162,LEN(A162)-3))</f>
        <v>290</v>
      </c>
      <c r="C162">
        <v>1</v>
      </c>
      <c r="D162" t="s">
        <v>32</v>
      </c>
      <c r="E162" t="s">
        <v>1740</v>
      </c>
      <c r="F162" t="s">
        <v>503</v>
      </c>
      <c r="G162" t="s">
        <v>43</v>
      </c>
      <c r="H162" t="s">
        <v>1739</v>
      </c>
      <c r="I162" t="s">
        <v>58</v>
      </c>
      <c r="J162" t="s">
        <v>3626</v>
      </c>
      <c r="K162" t="s">
        <v>4136</v>
      </c>
      <c r="L162" t="s">
        <v>3883</v>
      </c>
      <c r="M162" t="s">
        <v>57</v>
      </c>
    </row>
    <row r="163" spans="1:13" x14ac:dyDescent="0.2">
      <c r="A163" t="s">
        <v>2749</v>
      </c>
      <c r="B163">
        <f>VALUE(RIGHT(A163,LEN(A163)-3))</f>
        <v>471</v>
      </c>
      <c r="C163">
        <v>1</v>
      </c>
      <c r="D163" t="s">
        <v>32</v>
      </c>
      <c r="E163" t="s">
        <v>2751</v>
      </c>
      <c r="F163" t="s">
        <v>30</v>
      </c>
      <c r="H163" t="s">
        <v>2750</v>
      </c>
      <c r="I163" t="s">
        <v>58</v>
      </c>
      <c r="J163" t="s">
        <v>3626</v>
      </c>
      <c r="K163" t="s">
        <v>4136</v>
      </c>
      <c r="L163" t="s">
        <v>4039</v>
      </c>
      <c r="M163" t="s">
        <v>57</v>
      </c>
    </row>
    <row r="164" spans="1:13" x14ac:dyDescent="0.2">
      <c r="A164" t="s">
        <v>2787</v>
      </c>
      <c r="B164">
        <f>VALUE(RIGHT(A164,LEN(A164)-3))</f>
        <v>478</v>
      </c>
      <c r="C164">
        <v>4</v>
      </c>
      <c r="D164" t="s">
        <v>32</v>
      </c>
      <c r="E164" t="s">
        <v>2791</v>
      </c>
      <c r="F164" t="s">
        <v>503</v>
      </c>
      <c r="G164" t="s">
        <v>43</v>
      </c>
      <c r="H164" t="s">
        <v>2788</v>
      </c>
      <c r="I164" t="s">
        <v>58</v>
      </c>
      <c r="J164" t="s">
        <v>3626</v>
      </c>
      <c r="K164" t="s">
        <v>4136</v>
      </c>
      <c r="L164" t="s">
        <v>4052</v>
      </c>
      <c r="M164" t="s">
        <v>35</v>
      </c>
    </row>
    <row r="165" spans="1:13" x14ac:dyDescent="0.2">
      <c r="A165" t="s">
        <v>3072</v>
      </c>
      <c r="B165">
        <f>VALUE(RIGHT(A165,LEN(A165)-3))</f>
        <v>530</v>
      </c>
      <c r="C165">
        <v>2</v>
      </c>
      <c r="D165" t="s">
        <v>32</v>
      </c>
      <c r="E165" t="s">
        <v>1879</v>
      </c>
      <c r="F165" t="s">
        <v>503</v>
      </c>
      <c r="G165" t="s">
        <v>43</v>
      </c>
      <c r="H165" t="s">
        <v>3073</v>
      </c>
      <c r="I165" t="s">
        <v>58</v>
      </c>
      <c r="J165" t="s">
        <v>3626</v>
      </c>
      <c r="K165" t="s">
        <v>4136</v>
      </c>
      <c r="L165" t="s">
        <v>4103</v>
      </c>
      <c r="M165" t="s">
        <v>57</v>
      </c>
    </row>
    <row r="166" spans="1:13" x14ac:dyDescent="0.2">
      <c r="A166" t="s">
        <v>209</v>
      </c>
      <c r="B166">
        <f>VALUE(RIGHT(A166,LEN(A166)-3))</f>
        <v>24</v>
      </c>
      <c r="C166">
        <v>3</v>
      </c>
      <c r="D166" t="s">
        <v>32</v>
      </c>
      <c r="E166" t="s">
        <v>211</v>
      </c>
      <c r="F166" t="s">
        <v>30</v>
      </c>
      <c r="G166" t="s">
        <v>54</v>
      </c>
      <c r="H166" t="s">
        <v>210</v>
      </c>
      <c r="I166" t="s">
        <v>58</v>
      </c>
      <c r="J166" t="s">
        <v>3626</v>
      </c>
      <c r="K166" t="s">
        <v>4133</v>
      </c>
      <c r="L166" t="s">
        <v>3648</v>
      </c>
      <c r="M166" t="s">
        <v>57</v>
      </c>
    </row>
    <row r="167" spans="1:13" x14ac:dyDescent="0.2">
      <c r="A167" t="s">
        <v>222</v>
      </c>
      <c r="B167">
        <f>VALUE(RIGHT(A167,LEN(A167)-3))</f>
        <v>26</v>
      </c>
      <c r="C167">
        <v>2</v>
      </c>
      <c r="D167" t="s">
        <v>32</v>
      </c>
      <c r="E167" t="s">
        <v>224</v>
      </c>
      <c r="F167" t="s">
        <v>30</v>
      </c>
      <c r="G167" t="s">
        <v>43</v>
      </c>
      <c r="H167" t="s">
        <v>223</v>
      </c>
      <c r="I167" t="s">
        <v>58</v>
      </c>
      <c r="J167" t="s">
        <v>3626</v>
      </c>
      <c r="K167" t="s">
        <v>4133</v>
      </c>
      <c r="L167" t="s">
        <v>3650</v>
      </c>
      <c r="M167" t="s">
        <v>57</v>
      </c>
    </row>
    <row r="168" spans="1:13" x14ac:dyDescent="0.2">
      <c r="A168" t="s">
        <v>788</v>
      </c>
      <c r="B168">
        <f>VALUE(RIGHT(A168,LEN(A168)-3))</f>
        <v>117</v>
      </c>
      <c r="C168">
        <v>1</v>
      </c>
      <c r="D168" t="s">
        <v>32</v>
      </c>
      <c r="E168" t="s">
        <v>790</v>
      </c>
      <c r="F168" t="s">
        <v>30</v>
      </c>
      <c r="G168" t="s">
        <v>43</v>
      </c>
      <c r="H168" t="s">
        <v>789</v>
      </c>
      <c r="I168" t="s">
        <v>58</v>
      </c>
      <c r="J168" t="s">
        <v>3626</v>
      </c>
      <c r="K168" t="s">
        <v>4133</v>
      </c>
      <c r="L168" t="s">
        <v>3747</v>
      </c>
      <c r="M168" t="s">
        <v>57</v>
      </c>
    </row>
    <row r="169" spans="1:13" x14ac:dyDescent="0.2">
      <c r="A169" t="s">
        <v>1010</v>
      </c>
      <c r="B169">
        <f>VALUE(RIGHT(A169,LEN(A169)-3))</f>
        <v>156</v>
      </c>
      <c r="C169">
        <v>2</v>
      </c>
      <c r="D169" t="s">
        <v>32</v>
      </c>
      <c r="E169" t="s">
        <v>345</v>
      </c>
      <c r="F169" t="s">
        <v>30</v>
      </c>
      <c r="G169" t="s">
        <v>43</v>
      </c>
      <c r="H169" t="s">
        <v>1005</v>
      </c>
      <c r="I169" t="s">
        <v>58</v>
      </c>
      <c r="J169" t="s">
        <v>3626</v>
      </c>
      <c r="K169" t="s">
        <v>4133</v>
      </c>
      <c r="L169" t="s">
        <v>3777</v>
      </c>
      <c r="M169" t="s">
        <v>57</v>
      </c>
    </row>
    <row r="170" spans="1:13" x14ac:dyDescent="0.2">
      <c r="A170" t="s">
        <v>1020</v>
      </c>
      <c r="B170">
        <f>VALUE(RIGHT(A170,LEN(A170)-3))</f>
        <v>158</v>
      </c>
      <c r="C170">
        <v>1</v>
      </c>
      <c r="D170" t="s">
        <v>32</v>
      </c>
      <c r="E170" t="s">
        <v>1023</v>
      </c>
      <c r="F170" t="s">
        <v>30</v>
      </c>
      <c r="G170" t="s">
        <v>54</v>
      </c>
      <c r="H170" t="s">
        <v>1021</v>
      </c>
      <c r="I170" t="s">
        <v>58</v>
      </c>
      <c r="J170" t="s">
        <v>3626</v>
      </c>
      <c r="K170" t="s">
        <v>4133</v>
      </c>
      <c r="L170" t="s">
        <v>3779</v>
      </c>
      <c r="M170" t="s">
        <v>57</v>
      </c>
    </row>
    <row r="171" spans="1:13" x14ac:dyDescent="0.2">
      <c r="A171" t="s">
        <v>1221</v>
      </c>
      <c r="B171">
        <f>VALUE(RIGHT(A171,LEN(A171)-3))</f>
        <v>193</v>
      </c>
      <c r="C171">
        <v>1</v>
      </c>
      <c r="D171" t="s">
        <v>32</v>
      </c>
      <c r="E171" t="s">
        <v>1224</v>
      </c>
      <c r="F171" t="s">
        <v>503</v>
      </c>
      <c r="G171" t="s">
        <v>43</v>
      </c>
      <c r="H171" t="s">
        <v>1222</v>
      </c>
      <c r="I171" t="s">
        <v>58</v>
      </c>
      <c r="J171" t="s">
        <v>3626</v>
      </c>
      <c r="K171" t="s">
        <v>4133</v>
      </c>
      <c r="L171" t="s">
        <v>3798</v>
      </c>
      <c r="M171" t="s">
        <v>57</v>
      </c>
    </row>
    <row r="172" spans="1:13" x14ac:dyDescent="0.2">
      <c r="A172" t="s">
        <v>1294</v>
      </c>
      <c r="B172">
        <f>VALUE(RIGHT(A172,LEN(A172)-3))</f>
        <v>206</v>
      </c>
      <c r="C172">
        <v>1</v>
      </c>
      <c r="D172" t="s">
        <v>32</v>
      </c>
      <c r="E172" t="s">
        <v>559</v>
      </c>
      <c r="F172" t="s">
        <v>30</v>
      </c>
      <c r="G172" t="s">
        <v>43</v>
      </c>
      <c r="H172" t="s">
        <v>1295</v>
      </c>
      <c r="I172" t="s">
        <v>58</v>
      </c>
      <c r="J172" t="s">
        <v>3626</v>
      </c>
      <c r="K172" t="s">
        <v>4133</v>
      </c>
      <c r="L172" t="s">
        <v>3815</v>
      </c>
      <c r="M172" t="s">
        <v>57</v>
      </c>
    </row>
    <row r="173" spans="1:13" x14ac:dyDescent="0.2">
      <c r="A173" t="s">
        <v>2052</v>
      </c>
      <c r="B173">
        <f>VALUE(RIGHT(A173,LEN(A173)-3))</f>
        <v>348</v>
      </c>
      <c r="C173">
        <v>4</v>
      </c>
      <c r="D173" t="s">
        <v>32</v>
      </c>
      <c r="E173" t="s">
        <v>2053</v>
      </c>
      <c r="F173" t="s">
        <v>503</v>
      </c>
      <c r="G173" t="s">
        <v>43</v>
      </c>
      <c r="H173" t="s">
        <v>2049</v>
      </c>
      <c r="I173" t="s">
        <v>58</v>
      </c>
      <c r="J173" t="s">
        <v>3626</v>
      </c>
      <c r="K173" t="s">
        <v>4133</v>
      </c>
      <c r="L173" t="s">
        <v>3929</v>
      </c>
      <c r="M173" t="s">
        <v>35</v>
      </c>
    </row>
    <row r="174" spans="1:13" x14ac:dyDescent="0.2">
      <c r="A174" t="s">
        <v>2583</v>
      </c>
      <c r="B174">
        <f>VALUE(RIGHT(A174,LEN(A174)-3))</f>
        <v>440</v>
      </c>
      <c r="C174">
        <v>2</v>
      </c>
      <c r="D174" t="s">
        <v>32</v>
      </c>
      <c r="E174" t="s">
        <v>2585</v>
      </c>
      <c r="F174" t="s">
        <v>30</v>
      </c>
      <c r="G174" t="s">
        <v>43</v>
      </c>
      <c r="H174" t="s">
        <v>2584</v>
      </c>
      <c r="I174" t="s">
        <v>58</v>
      </c>
      <c r="J174" t="s">
        <v>3626</v>
      </c>
      <c r="K174" t="s">
        <v>4133</v>
      </c>
      <c r="L174" t="s">
        <v>4017</v>
      </c>
      <c r="M174" t="s">
        <v>35</v>
      </c>
    </row>
    <row r="175" spans="1:13" x14ac:dyDescent="0.2">
      <c r="A175" t="s">
        <v>72</v>
      </c>
      <c r="B175">
        <f>VALUE(RIGHT(A175,LEN(A175)-3))</f>
        <v>5</v>
      </c>
      <c r="C175">
        <v>1</v>
      </c>
      <c r="D175" t="s">
        <v>32</v>
      </c>
      <c r="E175" t="s">
        <v>76</v>
      </c>
      <c r="F175" t="s">
        <v>30</v>
      </c>
      <c r="G175" t="s">
        <v>29</v>
      </c>
      <c r="H175" t="s">
        <v>73</v>
      </c>
      <c r="I175" t="s">
        <v>58</v>
      </c>
      <c r="J175" t="s">
        <v>3626</v>
      </c>
      <c r="K175" t="s">
        <v>3629</v>
      </c>
      <c r="L175" t="s">
        <v>3630</v>
      </c>
      <c r="M175" t="s">
        <v>57</v>
      </c>
    </row>
    <row r="176" spans="1:13" x14ac:dyDescent="0.2">
      <c r="A176" t="s">
        <v>89</v>
      </c>
      <c r="B176">
        <f>VALUE(RIGHT(A176,LEN(A176)-3))</f>
        <v>7</v>
      </c>
      <c r="C176">
        <v>1</v>
      </c>
      <c r="D176" t="s">
        <v>32</v>
      </c>
      <c r="E176" t="s">
        <v>92</v>
      </c>
      <c r="F176" t="s">
        <v>30</v>
      </c>
      <c r="G176" t="s">
        <v>43</v>
      </c>
      <c r="H176" t="s">
        <v>90</v>
      </c>
      <c r="I176" t="s">
        <v>58</v>
      </c>
      <c r="J176" t="s">
        <v>3626</v>
      </c>
      <c r="K176" t="s">
        <v>3629</v>
      </c>
      <c r="L176" t="s">
        <v>3631</v>
      </c>
      <c r="M176" t="s">
        <v>35</v>
      </c>
    </row>
    <row r="177" spans="1:13" x14ac:dyDescent="0.2">
      <c r="A177" t="s">
        <v>203</v>
      </c>
      <c r="B177">
        <f>VALUE(RIGHT(A177,LEN(A177)-3))</f>
        <v>23</v>
      </c>
      <c r="C177">
        <v>1</v>
      </c>
      <c r="D177" t="s">
        <v>32</v>
      </c>
      <c r="E177" t="s">
        <v>206</v>
      </c>
      <c r="F177" t="s">
        <v>30</v>
      </c>
      <c r="G177" t="s">
        <v>54</v>
      </c>
      <c r="H177" t="s">
        <v>204</v>
      </c>
      <c r="I177" t="s">
        <v>58</v>
      </c>
      <c r="J177" t="s">
        <v>3626</v>
      </c>
      <c r="K177" t="s">
        <v>3629</v>
      </c>
      <c r="L177" t="s">
        <v>3645</v>
      </c>
      <c r="M177" t="s">
        <v>35</v>
      </c>
    </row>
    <row r="178" spans="1:13" x14ac:dyDescent="0.2">
      <c r="A178" t="s">
        <v>222</v>
      </c>
      <c r="B178">
        <f>VALUE(RIGHT(A178,LEN(A178)-3))</f>
        <v>26</v>
      </c>
      <c r="C178">
        <v>1</v>
      </c>
      <c r="D178" t="s">
        <v>32</v>
      </c>
      <c r="E178" t="s">
        <v>224</v>
      </c>
      <c r="F178" t="s">
        <v>30</v>
      </c>
      <c r="G178" t="s">
        <v>43</v>
      </c>
      <c r="H178" t="s">
        <v>223</v>
      </c>
      <c r="I178" t="s">
        <v>58</v>
      </c>
      <c r="J178" t="s">
        <v>3626</v>
      </c>
      <c r="K178" t="s">
        <v>3629</v>
      </c>
      <c r="L178" t="s">
        <v>3649</v>
      </c>
      <c r="M178" t="s">
        <v>57</v>
      </c>
    </row>
    <row r="179" spans="1:13" x14ac:dyDescent="0.2">
      <c r="A179" t="s">
        <v>262</v>
      </c>
      <c r="B179">
        <f>VALUE(RIGHT(A179,LEN(A179)-3))</f>
        <v>32</v>
      </c>
      <c r="C179">
        <v>2</v>
      </c>
      <c r="D179" t="s">
        <v>32</v>
      </c>
      <c r="E179" t="s">
        <v>265</v>
      </c>
      <c r="F179" t="s">
        <v>30</v>
      </c>
      <c r="G179" t="s">
        <v>43</v>
      </c>
      <c r="H179" t="s">
        <v>263</v>
      </c>
      <c r="I179" t="s">
        <v>58</v>
      </c>
      <c r="J179" t="s">
        <v>3626</v>
      </c>
      <c r="K179" t="s">
        <v>3629</v>
      </c>
      <c r="L179" t="s">
        <v>3663</v>
      </c>
      <c r="M179" t="s">
        <v>35</v>
      </c>
    </row>
    <row r="180" spans="1:13" x14ac:dyDescent="0.2">
      <c r="A180" t="s">
        <v>371</v>
      </c>
      <c r="B180">
        <f>VALUE(RIGHT(A180,LEN(A180)-3))</f>
        <v>49</v>
      </c>
      <c r="C180">
        <v>1</v>
      </c>
      <c r="D180" t="s">
        <v>32</v>
      </c>
      <c r="E180" t="s">
        <v>374</v>
      </c>
      <c r="F180" t="s">
        <v>30</v>
      </c>
      <c r="G180" t="s">
        <v>83</v>
      </c>
      <c r="H180" t="s">
        <v>372</v>
      </c>
      <c r="I180" t="s">
        <v>58</v>
      </c>
      <c r="J180" t="s">
        <v>3626</v>
      </c>
      <c r="K180" t="s">
        <v>3629</v>
      </c>
      <c r="L180" t="s">
        <v>3680</v>
      </c>
      <c r="M180" t="s">
        <v>35</v>
      </c>
    </row>
    <row r="181" spans="1:13" x14ac:dyDescent="0.2">
      <c r="A181" t="s">
        <v>466</v>
      </c>
      <c r="B181">
        <f>VALUE(RIGHT(A181,LEN(A181)-3))</f>
        <v>64</v>
      </c>
      <c r="C181">
        <v>2</v>
      </c>
      <c r="D181" t="s">
        <v>32</v>
      </c>
      <c r="E181" t="s">
        <v>468</v>
      </c>
      <c r="F181" t="s">
        <v>30</v>
      </c>
      <c r="G181" t="s">
        <v>83</v>
      </c>
      <c r="H181" t="s">
        <v>467</v>
      </c>
      <c r="I181" t="s">
        <v>58</v>
      </c>
      <c r="J181" t="s">
        <v>3626</v>
      </c>
      <c r="K181" t="s">
        <v>3629</v>
      </c>
      <c r="L181" t="s">
        <v>3702</v>
      </c>
      <c r="M181" t="s">
        <v>57</v>
      </c>
    </row>
    <row r="182" spans="1:13" x14ac:dyDescent="0.2">
      <c r="A182" t="s">
        <v>726</v>
      </c>
      <c r="B182">
        <f>VALUE(RIGHT(A182,LEN(A182)-3))</f>
        <v>107</v>
      </c>
      <c r="C182">
        <v>3</v>
      </c>
      <c r="D182" t="s">
        <v>32</v>
      </c>
      <c r="E182" t="s">
        <v>728</v>
      </c>
      <c r="F182" t="s">
        <v>30</v>
      </c>
      <c r="G182" t="s">
        <v>43</v>
      </c>
      <c r="H182" t="s">
        <v>727</v>
      </c>
      <c r="I182" t="s">
        <v>58</v>
      </c>
      <c r="J182" t="s">
        <v>3626</v>
      </c>
      <c r="K182" t="s">
        <v>3629</v>
      </c>
      <c r="L182" t="s">
        <v>3740</v>
      </c>
      <c r="M182" t="s">
        <v>57</v>
      </c>
    </row>
    <row r="183" spans="1:13" x14ac:dyDescent="0.2">
      <c r="A183" t="s">
        <v>793</v>
      </c>
      <c r="B183">
        <f>VALUE(RIGHT(A183,LEN(A183)-3))</f>
        <v>118</v>
      </c>
      <c r="C183">
        <v>2</v>
      </c>
      <c r="D183" t="s">
        <v>32</v>
      </c>
      <c r="E183" t="s">
        <v>144</v>
      </c>
      <c r="F183" t="s">
        <v>30</v>
      </c>
      <c r="G183" t="s">
        <v>29</v>
      </c>
      <c r="H183" t="s">
        <v>794</v>
      </c>
      <c r="I183" t="s">
        <v>58</v>
      </c>
      <c r="J183" t="s">
        <v>3626</v>
      </c>
      <c r="K183" t="s">
        <v>3629</v>
      </c>
      <c r="L183" t="s">
        <v>3749</v>
      </c>
      <c r="M183" t="s">
        <v>57</v>
      </c>
    </row>
    <row r="184" spans="1:13" x14ac:dyDescent="0.2">
      <c r="A184" t="s">
        <v>1433</v>
      </c>
      <c r="B184">
        <f>VALUE(RIGHT(A184,LEN(A184)-3))</f>
        <v>232</v>
      </c>
      <c r="C184">
        <v>2</v>
      </c>
      <c r="D184" t="s">
        <v>32</v>
      </c>
      <c r="E184" t="s">
        <v>1435</v>
      </c>
      <c r="F184" t="s">
        <v>30</v>
      </c>
      <c r="G184" t="s">
        <v>29</v>
      </c>
      <c r="H184" t="s">
        <v>1434</v>
      </c>
      <c r="I184" t="s">
        <v>58</v>
      </c>
      <c r="J184" t="s">
        <v>3626</v>
      </c>
      <c r="K184" t="s">
        <v>3629</v>
      </c>
      <c r="L184" t="s">
        <v>3839</v>
      </c>
      <c r="M184" t="s">
        <v>57</v>
      </c>
    </row>
    <row r="185" spans="1:13" x14ac:dyDescent="0.2">
      <c r="A185" t="s">
        <v>1535</v>
      </c>
      <c r="B185">
        <f>VALUE(RIGHT(A185,LEN(A185)-3))</f>
        <v>251</v>
      </c>
      <c r="C185">
        <v>1</v>
      </c>
      <c r="D185" t="s">
        <v>32</v>
      </c>
      <c r="E185" t="s">
        <v>1537</v>
      </c>
      <c r="F185" t="s">
        <v>30</v>
      </c>
      <c r="G185" t="s">
        <v>43</v>
      </c>
      <c r="H185" t="s">
        <v>1536</v>
      </c>
      <c r="I185" t="s">
        <v>58</v>
      </c>
      <c r="J185" t="s">
        <v>3626</v>
      </c>
      <c r="K185" t="s">
        <v>3629</v>
      </c>
      <c r="L185" t="s">
        <v>3851</v>
      </c>
      <c r="M185" t="s">
        <v>35</v>
      </c>
    </row>
    <row r="186" spans="1:13" x14ac:dyDescent="0.2">
      <c r="A186" t="s">
        <v>1605</v>
      </c>
      <c r="B186">
        <f>VALUE(RIGHT(A186,LEN(A186)-3))</f>
        <v>265</v>
      </c>
      <c r="C186">
        <v>1</v>
      </c>
      <c r="D186" t="s">
        <v>32</v>
      </c>
      <c r="E186" t="s">
        <v>1607</v>
      </c>
      <c r="F186" t="s">
        <v>30</v>
      </c>
      <c r="G186" t="s">
        <v>746</v>
      </c>
      <c r="H186" t="s">
        <v>1600</v>
      </c>
      <c r="I186" t="s">
        <v>58</v>
      </c>
      <c r="J186" t="s">
        <v>3626</v>
      </c>
      <c r="K186" t="s">
        <v>3629</v>
      </c>
      <c r="L186" t="s">
        <v>3861</v>
      </c>
      <c r="M186" t="s">
        <v>57</v>
      </c>
    </row>
    <row r="187" spans="1:13" x14ac:dyDescent="0.2">
      <c r="A187" t="s">
        <v>2139</v>
      </c>
      <c r="B187">
        <f>VALUE(RIGHT(A187,LEN(A187)-3))</f>
        <v>364</v>
      </c>
      <c r="C187">
        <v>3</v>
      </c>
      <c r="D187" t="s">
        <v>32</v>
      </c>
      <c r="E187" t="s">
        <v>2142</v>
      </c>
      <c r="F187" t="s">
        <v>602</v>
      </c>
      <c r="G187" t="s">
        <v>43</v>
      </c>
      <c r="H187" t="s">
        <v>2140</v>
      </c>
      <c r="I187" t="s">
        <v>58</v>
      </c>
      <c r="J187" t="s">
        <v>3626</v>
      </c>
      <c r="K187" t="s">
        <v>3629</v>
      </c>
      <c r="L187" t="s">
        <v>3938</v>
      </c>
      <c r="M187" t="s">
        <v>57</v>
      </c>
    </row>
    <row r="188" spans="1:13" x14ac:dyDescent="0.2">
      <c r="A188" t="s">
        <v>2184</v>
      </c>
      <c r="B188">
        <f>VALUE(RIGHT(A188,LEN(A188)-3))</f>
        <v>372</v>
      </c>
      <c r="C188">
        <v>1</v>
      </c>
      <c r="D188" t="s">
        <v>32</v>
      </c>
      <c r="E188" t="s">
        <v>2187</v>
      </c>
      <c r="F188" t="s">
        <v>602</v>
      </c>
      <c r="G188" t="s">
        <v>43</v>
      </c>
      <c r="H188" t="s">
        <v>2185</v>
      </c>
      <c r="I188" t="s">
        <v>58</v>
      </c>
      <c r="J188" t="s">
        <v>3626</v>
      </c>
      <c r="K188" t="s">
        <v>3629</v>
      </c>
      <c r="L188" t="s">
        <v>3942</v>
      </c>
      <c r="M188" t="s">
        <v>57</v>
      </c>
    </row>
    <row r="189" spans="1:13" x14ac:dyDescent="0.2">
      <c r="A189" t="s">
        <v>2250</v>
      </c>
      <c r="B189">
        <f>VALUE(RIGHT(A189,LEN(A189)-3))</f>
        <v>383</v>
      </c>
      <c r="C189">
        <v>1</v>
      </c>
      <c r="D189" t="s">
        <v>32</v>
      </c>
      <c r="E189" t="s">
        <v>2253</v>
      </c>
      <c r="F189" t="s">
        <v>30</v>
      </c>
      <c r="G189" t="s">
        <v>83</v>
      </c>
      <c r="H189" t="s">
        <v>2251</v>
      </c>
      <c r="I189" t="s">
        <v>58</v>
      </c>
      <c r="J189" t="s">
        <v>3626</v>
      </c>
      <c r="K189" t="s">
        <v>3629</v>
      </c>
      <c r="L189" t="s">
        <v>3949</v>
      </c>
      <c r="M189" t="s">
        <v>57</v>
      </c>
    </row>
    <row r="190" spans="1:13" x14ac:dyDescent="0.2">
      <c r="A190" t="s">
        <v>2256</v>
      </c>
      <c r="B190">
        <f>VALUE(RIGHT(A190,LEN(A190)-3))</f>
        <v>384</v>
      </c>
      <c r="C190">
        <v>1</v>
      </c>
      <c r="D190" t="s">
        <v>32</v>
      </c>
      <c r="E190" t="s">
        <v>2260</v>
      </c>
      <c r="F190" t="s">
        <v>503</v>
      </c>
      <c r="G190" t="s">
        <v>43</v>
      </c>
      <c r="H190" t="s">
        <v>2257</v>
      </c>
      <c r="I190" t="s">
        <v>58</v>
      </c>
      <c r="J190" t="s">
        <v>3626</v>
      </c>
      <c r="K190" t="s">
        <v>3629</v>
      </c>
      <c r="L190" t="s">
        <v>3951</v>
      </c>
      <c r="M190" t="s">
        <v>57</v>
      </c>
    </row>
    <row r="191" spans="1:13" x14ac:dyDescent="0.2">
      <c r="A191" t="s">
        <v>2281</v>
      </c>
      <c r="B191">
        <f>VALUE(RIGHT(A191,LEN(A191)-3))</f>
        <v>388</v>
      </c>
      <c r="C191">
        <v>2</v>
      </c>
      <c r="D191" t="s">
        <v>32</v>
      </c>
      <c r="E191" t="s">
        <v>2283</v>
      </c>
      <c r="F191" t="s">
        <v>602</v>
      </c>
      <c r="G191" t="s">
        <v>43</v>
      </c>
      <c r="H191" t="s">
        <v>2282</v>
      </c>
      <c r="I191" t="s">
        <v>58</v>
      </c>
      <c r="J191" t="s">
        <v>3626</v>
      </c>
      <c r="K191" t="s">
        <v>3629</v>
      </c>
      <c r="L191" t="s">
        <v>3953</v>
      </c>
      <c r="M191" t="s">
        <v>57</v>
      </c>
    </row>
    <row r="192" spans="1:13" x14ac:dyDescent="0.2">
      <c r="A192" t="s">
        <v>2356</v>
      </c>
      <c r="B192">
        <f>VALUE(RIGHT(A192,LEN(A192)-3))</f>
        <v>400</v>
      </c>
      <c r="C192">
        <v>2</v>
      </c>
      <c r="D192" t="s">
        <v>32</v>
      </c>
      <c r="E192" t="s">
        <v>2359</v>
      </c>
      <c r="F192" t="s">
        <v>30</v>
      </c>
      <c r="G192" t="s">
        <v>29</v>
      </c>
      <c r="H192" t="s">
        <v>2357</v>
      </c>
      <c r="I192" t="s">
        <v>58</v>
      </c>
      <c r="J192" t="s">
        <v>3626</v>
      </c>
      <c r="K192" t="s">
        <v>3629</v>
      </c>
      <c r="L192" t="s">
        <v>3972</v>
      </c>
      <c r="M192" t="s">
        <v>57</v>
      </c>
    </row>
    <row r="193" spans="1:13" x14ac:dyDescent="0.2">
      <c r="A193" t="s">
        <v>2462</v>
      </c>
      <c r="B193">
        <f>VALUE(RIGHT(A193,LEN(A193)-3))</f>
        <v>418</v>
      </c>
      <c r="C193">
        <v>2</v>
      </c>
      <c r="D193" t="s">
        <v>32</v>
      </c>
      <c r="E193" t="s">
        <v>2465</v>
      </c>
      <c r="F193" t="s">
        <v>30</v>
      </c>
      <c r="G193" t="s">
        <v>43</v>
      </c>
      <c r="H193" t="s">
        <v>2463</v>
      </c>
      <c r="I193" t="s">
        <v>58</v>
      </c>
      <c r="J193" t="s">
        <v>3626</v>
      </c>
      <c r="K193" t="s">
        <v>3629</v>
      </c>
      <c r="L193" t="s">
        <v>3993</v>
      </c>
      <c r="M193" t="s">
        <v>35</v>
      </c>
    </row>
    <row r="194" spans="1:13" x14ac:dyDescent="0.2">
      <c r="A194" t="s">
        <v>2525</v>
      </c>
      <c r="B194">
        <f>VALUE(RIGHT(A194,LEN(A194)-3))</f>
        <v>430</v>
      </c>
      <c r="C194">
        <v>4</v>
      </c>
      <c r="D194" t="s">
        <v>32</v>
      </c>
      <c r="E194" t="s">
        <v>2528</v>
      </c>
      <c r="F194" t="s">
        <v>30</v>
      </c>
      <c r="G194" t="s">
        <v>43</v>
      </c>
      <c r="H194" t="s">
        <v>2526</v>
      </c>
      <c r="I194" t="s">
        <v>58</v>
      </c>
      <c r="J194" t="s">
        <v>3626</v>
      </c>
      <c r="K194" t="s">
        <v>3629</v>
      </c>
      <c r="L194" t="s">
        <v>4003</v>
      </c>
      <c r="M194" t="s">
        <v>57</v>
      </c>
    </row>
    <row r="195" spans="1:13" x14ac:dyDescent="0.2">
      <c r="A195" t="s">
        <v>2781</v>
      </c>
      <c r="B195">
        <f>VALUE(RIGHT(A195,LEN(A195)-3))</f>
        <v>477</v>
      </c>
      <c r="C195">
        <v>4</v>
      </c>
      <c r="D195" t="s">
        <v>32</v>
      </c>
      <c r="E195" t="s">
        <v>2783</v>
      </c>
      <c r="F195" t="s">
        <v>503</v>
      </c>
      <c r="G195" t="s">
        <v>43</v>
      </c>
      <c r="H195" t="s">
        <v>2782</v>
      </c>
      <c r="I195" t="s">
        <v>58</v>
      </c>
      <c r="J195" t="s">
        <v>3626</v>
      </c>
      <c r="K195" t="s">
        <v>3629</v>
      </c>
      <c r="L195" t="s">
        <v>4048</v>
      </c>
      <c r="M195" t="s">
        <v>57</v>
      </c>
    </row>
    <row r="196" spans="1:13" x14ac:dyDescent="0.2">
      <c r="A196" t="s">
        <v>2941</v>
      </c>
      <c r="B196">
        <f>VALUE(RIGHT(A196,LEN(A196)-3))</f>
        <v>506</v>
      </c>
      <c r="C196">
        <v>1</v>
      </c>
      <c r="D196" t="s">
        <v>32</v>
      </c>
      <c r="E196" t="s">
        <v>2944</v>
      </c>
      <c r="F196" t="s">
        <v>30</v>
      </c>
      <c r="G196" t="s">
        <v>43</v>
      </c>
      <c r="H196" t="s">
        <v>2942</v>
      </c>
      <c r="I196" t="s">
        <v>58</v>
      </c>
      <c r="J196" t="s">
        <v>3626</v>
      </c>
      <c r="K196" t="s">
        <v>3629</v>
      </c>
      <c r="L196" t="s">
        <v>4076</v>
      </c>
      <c r="M196" t="s">
        <v>57</v>
      </c>
    </row>
    <row r="197" spans="1:13" x14ac:dyDescent="0.2">
      <c r="A197" t="s">
        <v>3092</v>
      </c>
      <c r="B197">
        <f>VALUE(RIGHT(A197,LEN(A197)-3))</f>
        <v>534</v>
      </c>
      <c r="C197">
        <v>2</v>
      </c>
      <c r="D197" t="s">
        <v>32</v>
      </c>
      <c r="E197" t="s">
        <v>3094</v>
      </c>
      <c r="F197" t="s">
        <v>30</v>
      </c>
      <c r="G197" t="s">
        <v>83</v>
      </c>
      <c r="H197" t="s">
        <v>3093</v>
      </c>
      <c r="I197" t="s">
        <v>58</v>
      </c>
      <c r="J197" t="s">
        <v>3626</v>
      </c>
      <c r="K197" t="s">
        <v>3629</v>
      </c>
      <c r="L197" t="s">
        <v>4105</v>
      </c>
      <c r="M197" t="s">
        <v>35</v>
      </c>
    </row>
    <row r="198" spans="1:13" x14ac:dyDescent="0.2">
      <c r="A198" t="s">
        <v>362</v>
      </c>
      <c r="B198">
        <f>VALUE(RIGHT(A198,LEN(A198)-3))</f>
        <v>48</v>
      </c>
      <c r="C198">
        <v>2</v>
      </c>
      <c r="D198" t="s">
        <v>32</v>
      </c>
      <c r="E198" t="s">
        <v>364</v>
      </c>
      <c r="F198" t="s">
        <v>30</v>
      </c>
      <c r="G198" t="s">
        <v>43</v>
      </c>
      <c r="H198" t="s">
        <v>363</v>
      </c>
      <c r="I198" t="s">
        <v>58</v>
      </c>
      <c r="J198" t="s">
        <v>3626</v>
      </c>
      <c r="K198" t="s">
        <v>3678</v>
      </c>
      <c r="L198" t="s">
        <v>3679</v>
      </c>
      <c r="M198" t="s">
        <v>57</v>
      </c>
    </row>
    <row r="199" spans="1:13" x14ac:dyDescent="0.2">
      <c r="A199" t="s">
        <v>483</v>
      </c>
      <c r="B199">
        <f>VALUE(RIGHT(A199,LEN(A199)-3))</f>
        <v>67</v>
      </c>
      <c r="C199">
        <v>3</v>
      </c>
      <c r="D199" t="s">
        <v>32</v>
      </c>
      <c r="E199" t="s">
        <v>485</v>
      </c>
      <c r="F199" t="s">
        <v>30</v>
      </c>
      <c r="G199" t="s">
        <v>43</v>
      </c>
      <c r="H199" t="s">
        <v>484</v>
      </c>
      <c r="I199" t="s">
        <v>58</v>
      </c>
      <c r="J199" t="s">
        <v>3626</v>
      </c>
      <c r="K199" t="s">
        <v>3678</v>
      </c>
      <c r="L199" t="s">
        <v>3708</v>
      </c>
      <c r="M199" t="s">
        <v>57</v>
      </c>
    </row>
    <row r="200" spans="1:13" x14ac:dyDescent="0.2">
      <c r="A200" t="s">
        <v>970</v>
      </c>
      <c r="B200">
        <f>VALUE(RIGHT(A200,LEN(A200)-3))</f>
        <v>149</v>
      </c>
      <c r="C200">
        <v>1</v>
      </c>
      <c r="D200" t="s">
        <v>32</v>
      </c>
      <c r="E200" t="s">
        <v>973</v>
      </c>
      <c r="F200" t="s">
        <v>30</v>
      </c>
      <c r="G200" t="s">
        <v>43</v>
      </c>
      <c r="H200" t="s">
        <v>971</v>
      </c>
      <c r="I200" t="s">
        <v>58</v>
      </c>
      <c r="J200" t="s">
        <v>3626</v>
      </c>
      <c r="K200" t="s">
        <v>3678</v>
      </c>
      <c r="L200" t="s">
        <v>3768</v>
      </c>
      <c r="M200" t="s">
        <v>57</v>
      </c>
    </row>
    <row r="201" spans="1:13" x14ac:dyDescent="0.2">
      <c r="A201" t="s">
        <v>2963</v>
      </c>
      <c r="B201">
        <f>VALUE(RIGHT(A201,LEN(A201)-3))</f>
        <v>510</v>
      </c>
      <c r="C201">
        <v>1</v>
      </c>
      <c r="D201" t="s">
        <v>32</v>
      </c>
      <c r="E201" t="s">
        <v>2965</v>
      </c>
      <c r="F201" t="s">
        <v>503</v>
      </c>
      <c r="G201" t="s">
        <v>43</v>
      </c>
      <c r="H201" t="s">
        <v>2964</v>
      </c>
      <c r="I201" t="s">
        <v>58</v>
      </c>
      <c r="J201" t="s">
        <v>3626</v>
      </c>
      <c r="K201" t="s">
        <v>3678</v>
      </c>
      <c r="L201" t="s">
        <v>4081</v>
      </c>
      <c r="M201" t="s">
        <v>57</v>
      </c>
    </row>
    <row r="202" spans="1:13" x14ac:dyDescent="0.2">
      <c r="A202" t="s">
        <v>483</v>
      </c>
      <c r="B202">
        <f>VALUE(RIGHT(A202,LEN(A202)-3))</f>
        <v>67</v>
      </c>
      <c r="C202">
        <v>2</v>
      </c>
      <c r="D202" t="s">
        <v>32</v>
      </c>
      <c r="E202" t="s">
        <v>485</v>
      </c>
      <c r="F202" t="s">
        <v>30</v>
      </c>
      <c r="G202" t="s">
        <v>43</v>
      </c>
      <c r="H202" t="s">
        <v>484</v>
      </c>
      <c r="I202" t="s">
        <v>58</v>
      </c>
      <c r="J202" t="s">
        <v>3626</v>
      </c>
      <c r="K202" t="s">
        <v>3706</v>
      </c>
      <c r="L202" t="s">
        <v>3707</v>
      </c>
      <c r="M202" t="s">
        <v>57</v>
      </c>
    </row>
    <row r="203" spans="1:13" x14ac:dyDescent="0.2">
      <c r="A203" t="s">
        <v>1276</v>
      </c>
      <c r="B203">
        <f>VALUE(RIGHT(A203,LEN(A203)-3))</f>
        <v>203</v>
      </c>
      <c r="C203">
        <v>3</v>
      </c>
      <c r="D203" t="s">
        <v>32</v>
      </c>
      <c r="E203" t="s">
        <v>1279</v>
      </c>
      <c r="F203" t="s">
        <v>503</v>
      </c>
      <c r="G203" t="s">
        <v>43</v>
      </c>
      <c r="H203" t="s">
        <v>1277</v>
      </c>
      <c r="I203" t="s">
        <v>58</v>
      </c>
      <c r="J203" t="s">
        <v>3626</v>
      </c>
      <c r="K203" t="s">
        <v>3706</v>
      </c>
      <c r="L203" t="s">
        <v>3812</v>
      </c>
      <c r="M203" t="s">
        <v>35</v>
      </c>
    </row>
    <row r="204" spans="1:13" x14ac:dyDescent="0.2">
      <c r="A204" t="s">
        <v>1661</v>
      </c>
      <c r="B204">
        <f>VALUE(RIGHT(A204,LEN(A204)-3))</f>
        <v>276</v>
      </c>
      <c r="C204">
        <v>5</v>
      </c>
      <c r="D204" t="s">
        <v>32</v>
      </c>
      <c r="E204" t="s">
        <v>1663</v>
      </c>
      <c r="F204" t="s">
        <v>503</v>
      </c>
      <c r="G204" t="s">
        <v>43</v>
      </c>
      <c r="H204" t="s">
        <v>1662</v>
      </c>
      <c r="I204" t="s">
        <v>58</v>
      </c>
      <c r="J204" t="s">
        <v>3626</v>
      </c>
      <c r="K204" t="s">
        <v>3706</v>
      </c>
      <c r="L204" t="s">
        <v>3872</v>
      </c>
      <c r="M204" t="s">
        <v>57</v>
      </c>
    </row>
    <row r="205" spans="1:13" x14ac:dyDescent="0.2">
      <c r="A205" t="s">
        <v>2074</v>
      </c>
      <c r="B205">
        <f>VALUE(RIGHT(A205,LEN(A205)-3))</f>
        <v>352</v>
      </c>
      <c r="C205">
        <v>1</v>
      </c>
      <c r="D205" t="s">
        <v>32</v>
      </c>
      <c r="E205" t="s">
        <v>2076</v>
      </c>
      <c r="F205" t="s">
        <v>602</v>
      </c>
      <c r="G205" t="s">
        <v>43</v>
      </c>
      <c r="H205" t="s">
        <v>2075</v>
      </c>
      <c r="I205" t="s">
        <v>58</v>
      </c>
      <c r="J205" t="s">
        <v>3626</v>
      </c>
      <c r="K205" t="s">
        <v>3706</v>
      </c>
      <c r="L205" t="s">
        <v>3930</v>
      </c>
      <c r="M205" t="s">
        <v>57</v>
      </c>
    </row>
    <row r="206" spans="1:13" x14ac:dyDescent="0.2">
      <c r="A206" t="s">
        <v>903</v>
      </c>
      <c r="B206">
        <f>VALUE(RIGHT(A206,LEN(A206)-3))</f>
        <v>138</v>
      </c>
      <c r="C206">
        <v>3</v>
      </c>
      <c r="D206" t="s">
        <v>32</v>
      </c>
      <c r="E206" t="s">
        <v>905</v>
      </c>
      <c r="F206" t="s">
        <v>503</v>
      </c>
      <c r="G206" t="s">
        <v>43</v>
      </c>
      <c r="H206" t="s">
        <v>904</v>
      </c>
      <c r="I206" t="s">
        <v>58</v>
      </c>
      <c r="J206" t="s">
        <v>3626</v>
      </c>
      <c r="K206" t="s">
        <v>4135</v>
      </c>
      <c r="L206" t="s">
        <v>3762</v>
      </c>
      <c r="M206" t="s">
        <v>35</v>
      </c>
    </row>
    <row r="207" spans="1:13" x14ac:dyDescent="0.2">
      <c r="A207" t="s">
        <v>1366</v>
      </c>
      <c r="B207">
        <f>VALUE(RIGHT(A207,LEN(A207)-3))</f>
        <v>220</v>
      </c>
      <c r="C207">
        <v>4</v>
      </c>
      <c r="D207" t="s">
        <v>32</v>
      </c>
      <c r="E207" t="s">
        <v>1368</v>
      </c>
      <c r="F207" t="s">
        <v>503</v>
      </c>
      <c r="G207" t="s">
        <v>43</v>
      </c>
      <c r="H207" t="s">
        <v>1367</v>
      </c>
      <c r="I207" t="s">
        <v>58</v>
      </c>
      <c r="J207" t="s">
        <v>3626</v>
      </c>
      <c r="K207" t="s">
        <v>4135</v>
      </c>
      <c r="L207" t="s">
        <v>3828</v>
      </c>
      <c r="M207" t="s">
        <v>35</v>
      </c>
    </row>
    <row r="208" spans="1:13" x14ac:dyDescent="0.2">
      <c r="A208" t="s">
        <v>1731</v>
      </c>
      <c r="B208">
        <f>VALUE(RIGHT(A208,LEN(A208)-3))</f>
        <v>289</v>
      </c>
      <c r="C208">
        <v>4</v>
      </c>
      <c r="D208" t="s">
        <v>32</v>
      </c>
      <c r="E208" t="s">
        <v>1734</v>
      </c>
      <c r="F208" t="s">
        <v>503</v>
      </c>
      <c r="G208" t="s">
        <v>43</v>
      </c>
      <c r="H208" t="s">
        <v>1732</v>
      </c>
      <c r="I208" t="s">
        <v>58</v>
      </c>
      <c r="J208" t="s">
        <v>3626</v>
      </c>
      <c r="K208" t="s">
        <v>4135</v>
      </c>
      <c r="L208" t="s">
        <v>3882</v>
      </c>
      <c r="M208" t="s">
        <v>35</v>
      </c>
    </row>
    <row r="209" spans="1:13" x14ac:dyDescent="0.2">
      <c r="A209" t="s">
        <v>2335</v>
      </c>
      <c r="B209">
        <f>VALUE(RIGHT(A209,LEN(A209)-3))</f>
        <v>397</v>
      </c>
      <c r="C209">
        <v>1</v>
      </c>
      <c r="D209" t="s">
        <v>32</v>
      </c>
      <c r="E209" t="s">
        <v>2339</v>
      </c>
      <c r="F209" t="s">
        <v>503</v>
      </c>
      <c r="G209" t="s">
        <v>43</v>
      </c>
      <c r="H209" t="s">
        <v>2336</v>
      </c>
      <c r="I209" t="s">
        <v>58</v>
      </c>
      <c r="J209" t="s">
        <v>3626</v>
      </c>
      <c r="K209" t="s">
        <v>4135</v>
      </c>
      <c r="L209" t="s">
        <v>3967</v>
      </c>
      <c r="M209" t="s">
        <v>57</v>
      </c>
    </row>
    <row r="210" spans="1:13" x14ac:dyDescent="0.2">
      <c r="A210" t="s">
        <v>2879</v>
      </c>
      <c r="B210">
        <f>VALUE(RIGHT(A210,LEN(A210)-3))</f>
        <v>495</v>
      </c>
      <c r="C210">
        <v>2</v>
      </c>
      <c r="D210" t="s">
        <v>32</v>
      </c>
      <c r="E210" t="s">
        <v>2881</v>
      </c>
      <c r="F210" t="s">
        <v>503</v>
      </c>
      <c r="G210" t="s">
        <v>43</v>
      </c>
      <c r="H210" t="s">
        <v>2880</v>
      </c>
      <c r="I210" t="s">
        <v>58</v>
      </c>
      <c r="J210" t="s">
        <v>3626</v>
      </c>
      <c r="K210" t="s">
        <v>4135</v>
      </c>
      <c r="L210" t="s">
        <v>4063</v>
      </c>
      <c r="M210" t="s">
        <v>35</v>
      </c>
    </row>
    <row r="211" spans="1:13" x14ac:dyDescent="0.2">
      <c r="A211" t="s">
        <v>2947</v>
      </c>
      <c r="B211">
        <f>VALUE(RIGHT(A211,LEN(A211)-3))</f>
        <v>507</v>
      </c>
      <c r="C211">
        <v>2</v>
      </c>
      <c r="D211" t="s">
        <v>32</v>
      </c>
      <c r="E211" t="s">
        <v>2949</v>
      </c>
      <c r="F211" t="s">
        <v>503</v>
      </c>
      <c r="G211" t="s">
        <v>43</v>
      </c>
      <c r="H211" t="s">
        <v>2948</v>
      </c>
      <c r="I211" t="s">
        <v>58</v>
      </c>
      <c r="J211" t="s">
        <v>3626</v>
      </c>
      <c r="K211" t="s">
        <v>4135</v>
      </c>
      <c r="L211" t="s">
        <v>4079</v>
      </c>
      <c r="M211" t="s">
        <v>35</v>
      </c>
    </row>
    <row r="212" spans="1:13" x14ac:dyDescent="0.2">
      <c r="A212" t="s">
        <v>1402</v>
      </c>
      <c r="B212">
        <f>VALUE(RIGHT(A212,LEN(A212)-3))</f>
        <v>226</v>
      </c>
      <c r="C212">
        <v>2</v>
      </c>
      <c r="D212" t="s">
        <v>32</v>
      </c>
      <c r="E212" t="s">
        <v>1405</v>
      </c>
      <c r="F212" t="s">
        <v>503</v>
      </c>
      <c r="G212" t="s">
        <v>43</v>
      </c>
      <c r="H212" t="s">
        <v>1403</v>
      </c>
      <c r="I212" t="s">
        <v>291</v>
      </c>
      <c r="J212" t="s">
        <v>1354</v>
      </c>
      <c r="K212" t="s">
        <v>4156</v>
      </c>
      <c r="L212" t="s">
        <v>3833</v>
      </c>
      <c r="M212" t="s">
        <v>57</v>
      </c>
    </row>
    <row r="213" spans="1:13" x14ac:dyDescent="0.2">
      <c r="A213" t="s">
        <v>2525</v>
      </c>
      <c r="B213">
        <f>VALUE(RIGHT(A213,LEN(A213)-3))</f>
        <v>430</v>
      </c>
      <c r="C213">
        <v>2</v>
      </c>
      <c r="D213" t="s">
        <v>32</v>
      </c>
      <c r="E213" t="s">
        <v>2528</v>
      </c>
      <c r="F213" t="s">
        <v>30</v>
      </c>
      <c r="G213" t="s">
        <v>43</v>
      </c>
      <c r="H213" t="s">
        <v>2526</v>
      </c>
      <c r="I213" t="s">
        <v>291</v>
      </c>
      <c r="J213" t="s">
        <v>1354</v>
      </c>
      <c r="K213" t="s">
        <v>4156</v>
      </c>
      <c r="L213" t="s">
        <v>4001</v>
      </c>
      <c r="M213" t="s">
        <v>57</v>
      </c>
    </row>
    <row r="214" spans="1:13" x14ac:dyDescent="0.2">
      <c r="A214" t="s">
        <v>2654</v>
      </c>
      <c r="B214">
        <f>VALUE(RIGHT(A214,LEN(A214)-3))</f>
        <v>453</v>
      </c>
      <c r="C214">
        <v>2</v>
      </c>
      <c r="D214" t="s">
        <v>32</v>
      </c>
      <c r="E214" t="s">
        <v>2657</v>
      </c>
      <c r="F214" t="s">
        <v>503</v>
      </c>
      <c r="G214" t="s">
        <v>43</v>
      </c>
      <c r="H214" t="s">
        <v>2655</v>
      </c>
      <c r="I214" t="s">
        <v>291</v>
      </c>
      <c r="J214" t="s">
        <v>1354</v>
      </c>
      <c r="K214" t="s">
        <v>4156</v>
      </c>
      <c r="L214" t="s">
        <v>4032</v>
      </c>
      <c r="M214" t="s">
        <v>35</v>
      </c>
    </row>
    <row r="215" spans="1:13" x14ac:dyDescent="0.2">
      <c r="A215" t="s">
        <v>2927</v>
      </c>
      <c r="B215">
        <f>VALUE(RIGHT(A215,LEN(A215)-3))</f>
        <v>504</v>
      </c>
      <c r="C215">
        <v>1</v>
      </c>
      <c r="D215" t="s">
        <v>32</v>
      </c>
      <c r="E215" t="s">
        <v>2931</v>
      </c>
      <c r="F215" t="s">
        <v>503</v>
      </c>
      <c r="G215" t="s">
        <v>43</v>
      </c>
      <c r="H215" t="s">
        <v>2928</v>
      </c>
      <c r="I215" t="s">
        <v>291</v>
      </c>
      <c r="J215" t="s">
        <v>1354</v>
      </c>
      <c r="K215" t="s">
        <v>4156</v>
      </c>
      <c r="L215" t="s">
        <v>4072</v>
      </c>
      <c r="M215" t="s">
        <v>35</v>
      </c>
    </row>
    <row r="216" spans="1:13" x14ac:dyDescent="0.2">
      <c r="A216" t="s">
        <v>118</v>
      </c>
      <c r="B216">
        <f>VALUE(RIGHT(A216,LEN(A216)-3))</f>
        <v>11</v>
      </c>
      <c r="C216">
        <v>1</v>
      </c>
      <c r="D216" t="s">
        <v>32</v>
      </c>
      <c r="E216" t="s">
        <v>121</v>
      </c>
      <c r="F216" t="s">
        <v>30</v>
      </c>
      <c r="G216" t="s">
        <v>43</v>
      </c>
      <c r="H216" t="s">
        <v>119</v>
      </c>
      <c r="I216" t="s">
        <v>123</v>
      </c>
      <c r="K216" t="s">
        <v>3634</v>
      </c>
      <c r="L216" t="s">
        <v>3635</v>
      </c>
      <c r="M216" t="s">
        <v>57</v>
      </c>
    </row>
    <row r="217" spans="1:13" x14ac:dyDescent="0.2">
      <c r="A217" t="s">
        <v>133</v>
      </c>
      <c r="B217">
        <f>VALUE(RIGHT(A217,LEN(A217)-3))</f>
        <v>13</v>
      </c>
      <c r="C217">
        <v>1</v>
      </c>
      <c r="D217" t="s">
        <v>32</v>
      </c>
      <c r="E217" t="s">
        <v>136</v>
      </c>
      <c r="F217" t="s">
        <v>30</v>
      </c>
      <c r="G217" t="s">
        <v>29</v>
      </c>
      <c r="H217" t="s">
        <v>134</v>
      </c>
      <c r="I217" t="s">
        <v>123</v>
      </c>
      <c r="K217" t="s">
        <v>3634</v>
      </c>
      <c r="L217" t="s">
        <v>3636</v>
      </c>
      <c r="M217" t="s">
        <v>35</v>
      </c>
    </row>
    <row r="218" spans="1:13" x14ac:dyDescent="0.2">
      <c r="A218" t="s">
        <v>141</v>
      </c>
      <c r="B218">
        <f>VALUE(RIGHT(A218,LEN(A218)-3))</f>
        <v>14</v>
      </c>
      <c r="C218">
        <v>1</v>
      </c>
      <c r="D218" t="s">
        <v>32</v>
      </c>
      <c r="E218" t="s">
        <v>144</v>
      </c>
      <c r="F218" t="s">
        <v>30</v>
      </c>
      <c r="G218" t="s">
        <v>43</v>
      </c>
      <c r="H218" t="s">
        <v>142</v>
      </c>
      <c r="I218" t="s">
        <v>123</v>
      </c>
      <c r="K218" t="s">
        <v>3634</v>
      </c>
      <c r="L218" t="s">
        <v>3637</v>
      </c>
      <c r="M218" t="s">
        <v>57</v>
      </c>
    </row>
    <row r="219" spans="1:13" x14ac:dyDescent="0.2">
      <c r="A219" t="s">
        <v>148</v>
      </c>
      <c r="B219">
        <f>VALUE(RIGHT(A219,LEN(A219)-3))</f>
        <v>15</v>
      </c>
      <c r="C219">
        <v>1</v>
      </c>
      <c r="D219" t="s">
        <v>32</v>
      </c>
      <c r="E219" t="s">
        <v>152</v>
      </c>
      <c r="F219" t="s">
        <v>30</v>
      </c>
      <c r="G219" t="s">
        <v>43</v>
      </c>
      <c r="H219" t="s">
        <v>149</v>
      </c>
      <c r="I219" t="s">
        <v>123</v>
      </c>
      <c r="K219" t="s">
        <v>3634</v>
      </c>
      <c r="L219" t="s">
        <v>3639</v>
      </c>
      <c r="M219" t="s">
        <v>35</v>
      </c>
    </row>
    <row r="220" spans="1:13" x14ac:dyDescent="0.2">
      <c r="A220" t="s">
        <v>148</v>
      </c>
      <c r="B220">
        <f>VALUE(RIGHT(A220,LEN(A220)-3))</f>
        <v>15</v>
      </c>
      <c r="C220">
        <v>2</v>
      </c>
      <c r="D220" t="s">
        <v>32</v>
      </c>
      <c r="E220" t="s">
        <v>152</v>
      </c>
      <c r="F220" t="s">
        <v>30</v>
      </c>
      <c r="G220" t="s">
        <v>43</v>
      </c>
      <c r="H220" t="s">
        <v>149</v>
      </c>
      <c r="I220" t="s">
        <v>123</v>
      </c>
      <c r="K220" t="s">
        <v>3634</v>
      </c>
      <c r="L220" t="s">
        <v>3640</v>
      </c>
      <c r="M220" t="s">
        <v>57</v>
      </c>
    </row>
    <row r="221" spans="1:13" x14ac:dyDescent="0.2">
      <c r="A221" t="s">
        <v>209</v>
      </c>
      <c r="B221">
        <f>VALUE(RIGHT(A221,LEN(A221)-3))</f>
        <v>24</v>
      </c>
      <c r="C221">
        <v>2</v>
      </c>
      <c r="D221" t="s">
        <v>32</v>
      </c>
      <c r="E221" t="s">
        <v>211</v>
      </c>
      <c r="F221" t="s">
        <v>30</v>
      </c>
      <c r="G221" t="s">
        <v>54</v>
      </c>
      <c r="H221" t="s">
        <v>210</v>
      </c>
      <c r="I221" t="s">
        <v>123</v>
      </c>
      <c r="K221" t="s">
        <v>3634</v>
      </c>
      <c r="L221" t="s">
        <v>3647</v>
      </c>
      <c r="M221" t="s">
        <v>57</v>
      </c>
    </row>
    <row r="222" spans="1:13" x14ac:dyDescent="0.2">
      <c r="A222" t="s">
        <v>237</v>
      </c>
      <c r="B222">
        <f>VALUE(RIGHT(A222,LEN(A222)-3))</f>
        <v>28</v>
      </c>
      <c r="C222">
        <v>2</v>
      </c>
      <c r="D222" t="s">
        <v>32</v>
      </c>
      <c r="E222" t="s">
        <v>239</v>
      </c>
      <c r="F222" t="s">
        <v>30</v>
      </c>
      <c r="G222" t="s">
        <v>43</v>
      </c>
      <c r="H222" t="s">
        <v>238</v>
      </c>
      <c r="I222" t="s">
        <v>123</v>
      </c>
      <c r="K222" t="s">
        <v>3634</v>
      </c>
      <c r="L222" t="s">
        <v>3657</v>
      </c>
      <c r="M222" t="s">
        <v>57</v>
      </c>
    </row>
    <row r="223" spans="1:13" x14ac:dyDescent="0.2">
      <c r="A223" t="s">
        <v>262</v>
      </c>
      <c r="B223">
        <f>VALUE(RIGHT(A223,LEN(A223)-3))</f>
        <v>32</v>
      </c>
      <c r="C223">
        <v>1</v>
      </c>
      <c r="D223" t="s">
        <v>32</v>
      </c>
      <c r="E223" t="s">
        <v>265</v>
      </c>
      <c r="F223" t="s">
        <v>30</v>
      </c>
      <c r="G223" t="s">
        <v>43</v>
      </c>
      <c r="H223" t="s">
        <v>263</v>
      </c>
      <c r="I223" t="s">
        <v>123</v>
      </c>
      <c r="K223" t="s">
        <v>3634</v>
      </c>
      <c r="L223" t="s">
        <v>3662</v>
      </c>
      <c r="M223" t="s">
        <v>35</v>
      </c>
    </row>
    <row r="224" spans="1:13" x14ac:dyDescent="0.2">
      <c r="A224" t="s">
        <v>390</v>
      </c>
      <c r="B224">
        <f>VALUE(RIGHT(A224,LEN(A224)-3))</f>
        <v>52</v>
      </c>
      <c r="C224">
        <v>1</v>
      </c>
      <c r="D224" t="s">
        <v>32</v>
      </c>
      <c r="E224" t="s">
        <v>392</v>
      </c>
      <c r="F224" t="s">
        <v>30</v>
      </c>
      <c r="G224" t="s">
        <v>43</v>
      </c>
      <c r="H224" t="s">
        <v>391</v>
      </c>
      <c r="I224" t="s">
        <v>123</v>
      </c>
      <c r="K224" t="s">
        <v>3634</v>
      </c>
      <c r="L224" t="s">
        <v>3685</v>
      </c>
      <c r="M224" t="s">
        <v>57</v>
      </c>
    </row>
    <row r="225" spans="1:13" x14ac:dyDescent="0.2">
      <c r="A225" t="s">
        <v>428</v>
      </c>
      <c r="B225">
        <f>VALUE(RIGHT(A225,LEN(A225)-3))</f>
        <v>58</v>
      </c>
      <c r="C225">
        <v>1</v>
      </c>
      <c r="D225" t="s">
        <v>32</v>
      </c>
      <c r="E225" t="s">
        <v>430</v>
      </c>
      <c r="F225" t="s">
        <v>30</v>
      </c>
      <c r="G225" t="s">
        <v>43</v>
      </c>
      <c r="H225" t="s">
        <v>429</v>
      </c>
      <c r="I225" t="s">
        <v>123</v>
      </c>
      <c r="K225" t="s">
        <v>3634</v>
      </c>
      <c r="L225" t="s">
        <v>3694</v>
      </c>
      <c r="M225" t="s">
        <v>57</v>
      </c>
    </row>
    <row r="226" spans="1:13" x14ac:dyDescent="0.2">
      <c r="A226" t="s">
        <v>438</v>
      </c>
      <c r="B226">
        <f>VALUE(RIGHT(A226,LEN(A226)-3))</f>
        <v>60</v>
      </c>
      <c r="C226">
        <v>2</v>
      </c>
      <c r="D226" t="s">
        <v>32</v>
      </c>
      <c r="E226" t="s">
        <v>442</v>
      </c>
      <c r="F226" t="s">
        <v>30</v>
      </c>
      <c r="G226" t="s">
        <v>43</v>
      </c>
      <c r="H226" t="s">
        <v>439</v>
      </c>
      <c r="I226" t="s">
        <v>123</v>
      </c>
      <c r="K226" t="s">
        <v>3634</v>
      </c>
      <c r="L226" t="s">
        <v>3696</v>
      </c>
      <c r="M226" t="s">
        <v>57</v>
      </c>
    </row>
    <row r="227" spans="1:13" x14ac:dyDescent="0.2">
      <c r="A227" t="s">
        <v>447</v>
      </c>
      <c r="B227">
        <f>VALUE(RIGHT(A227,LEN(A227)-3))</f>
        <v>61</v>
      </c>
      <c r="C227">
        <v>1</v>
      </c>
      <c r="D227" t="s">
        <v>32</v>
      </c>
      <c r="E227" t="s">
        <v>128</v>
      </c>
      <c r="F227" t="s">
        <v>30</v>
      </c>
      <c r="G227" t="s">
        <v>54</v>
      </c>
      <c r="H227" t="s">
        <v>448</v>
      </c>
      <c r="I227" t="s">
        <v>123</v>
      </c>
      <c r="K227" t="s">
        <v>3634</v>
      </c>
      <c r="L227" t="s">
        <v>3697</v>
      </c>
      <c r="M227" t="s">
        <v>35</v>
      </c>
    </row>
    <row r="228" spans="1:13" x14ac:dyDescent="0.2">
      <c r="A228" t="s">
        <v>453</v>
      </c>
      <c r="B228">
        <f>VALUE(RIGHT(A228,LEN(A228)-3))</f>
        <v>62</v>
      </c>
      <c r="C228">
        <v>1</v>
      </c>
      <c r="D228" t="s">
        <v>32</v>
      </c>
      <c r="E228" t="s">
        <v>456</v>
      </c>
      <c r="F228" t="s">
        <v>30</v>
      </c>
      <c r="G228" t="s">
        <v>43</v>
      </c>
      <c r="H228" t="s">
        <v>454</v>
      </c>
      <c r="I228" t="s">
        <v>123</v>
      </c>
      <c r="K228" t="s">
        <v>3634</v>
      </c>
      <c r="L228" t="s">
        <v>3698</v>
      </c>
      <c r="M228" t="s">
        <v>57</v>
      </c>
    </row>
    <row r="229" spans="1:13" x14ac:dyDescent="0.2">
      <c r="A229" t="s">
        <v>466</v>
      </c>
      <c r="B229">
        <f>VALUE(RIGHT(A229,LEN(A229)-3))</f>
        <v>64</v>
      </c>
      <c r="C229">
        <v>1</v>
      </c>
      <c r="D229" t="s">
        <v>32</v>
      </c>
      <c r="E229" t="s">
        <v>468</v>
      </c>
      <c r="F229" t="s">
        <v>30</v>
      </c>
      <c r="G229" t="s">
        <v>83</v>
      </c>
      <c r="H229" t="s">
        <v>467</v>
      </c>
      <c r="I229" t="s">
        <v>123</v>
      </c>
      <c r="K229" t="s">
        <v>3634</v>
      </c>
      <c r="L229" t="s">
        <v>3701</v>
      </c>
      <c r="M229" t="s">
        <v>57</v>
      </c>
    </row>
    <row r="230" spans="1:13" x14ac:dyDescent="0.2">
      <c r="A230" t="s">
        <v>471</v>
      </c>
      <c r="B230">
        <f>VALUE(RIGHT(A230,LEN(A230)-3))</f>
        <v>65</v>
      </c>
      <c r="C230">
        <v>1</v>
      </c>
      <c r="D230" t="s">
        <v>32</v>
      </c>
      <c r="E230" t="s">
        <v>473</v>
      </c>
      <c r="F230" t="s">
        <v>30</v>
      </c>
      <c r="G230" t="s">
        <v>43</v>
      </c>
      <c r="H230" t="s">
        <v>472</v>
      </c>
      <c r="I230" t="s">
        <v>123</v>
      </c>
      <c r="K230" t="s">
        <v>3634</v>
      </c>
      <c r="L230" t="s">
        <v>3703</v>
      </c>
      <c r="M230" t="s">
        <v>57</v>
      </c>
    </row>
    <row r="231" spans="1:13" x14ac:dyDescent="0.2">
      <c r="A231" t="s">
        <v>477</v>
      </c>
      <c r="B231">
        <f>VALUE(RIGHT(A231,LEN(A231)-3))</f>
        <v>66</v>
      </c>
      <c r="C231">
        <v>1</v>
      </c>
      <c r="D231" t="s">
        <v>32</v>
      </c>
      <c r="E231" t="s">
        <v>479</v>
      </c>
      <c r="F231" t="s">
        <v>30</v>
      </c>
      <c r="G231" t="s">
        <v>43</v>
      </c>
      <c r="H231" t="s">
        <v>478</v>
      </c>
      <c r="I231" t="s">
        <v>123</v>
      </c>
      <c r="K231" t="s">
        <v>3634</v>
      </c>
      <c r="L231" t="s">
        <v>3704</v>
      </c>
      <c r="M231" t="s">
        <v>57</v>
      </c>
    </row>
    <row r="232" spans="1:13" x14ac:dyDescent="0.2">
      <c r="A232" t="s">
        <v>494</v>
      </c>
      <c r="B232">
        <f>VALUE(RIGHT(A232,LEN(A232)-3))</f>
        <v>69</v>
      </c>
      <c r="C232">
        <v>1</v>
      </c>
      <c r="D232" t="s">
        <v>32</v>
      </c>
      <c r="E232" t="s">
        <v>497</v>
      </c>
      <c r="F232" t="s">
        <v>30</v>
      </c>
      <c r="G232" t="s">
        <v>43</v>
      </c>
      <c r="H232" t="s">
        <v>495</v>
      </c>
      <c r="I232" t="s">
        <v>123</v>
      </c>
      <c r="K232" t="s">
        <v>3634</v>
      </c>
      <c r="L232" t="s">
        <v>3709</v>
      </c>
      <c r="M232" t="s">
        <v>57</v>
      </c>
    </row>
    <row r="233" spans="1:13" x14ac:dyDescent="0.2">
      <c r="A233" t="s">
        <v>500</v>
      </c>
      <c r="B233">
        <f>VALUE(RIGHT(A233,LEN(A233)-3))</f>
        <v>70</v>
      </c>
      <c r="C233">
        <v>1</v>
      </c>
      <c r="D233" t="s">
        <v>32</v>
      </c>
      <c r="E233" t="s">
        <v>505</v>
      </c>
      <c r="F233" t="s">
        <v>503</v>
      </c>
      <c r="G233" t="s">
        <v>43</v>
      </c>
      <c r="H233" t="s">
        <v>501</v>
      </c>
      <c r="I233" t="s">
        <v>123</v>
      </c>
      <c r="K233" t="s">
        <v>3634</v>
      </c>
      <c r="L233" t="s">
        <v>3710</v>
      </c>
      <c r="M233" t="s">
        <v>57</v>
      </c>
    </row>
    <row r="234" spans="1:13" x14ac:dyDescent="0.2">
      <c r="A234" t="s">
        <v>577</v>
      </c>
      <c r="B234">
        <f>VALUE(RIGHT(A234,LEN(A234)-3))</f>
        <v>82</v>
      </c>
      <c r="C234">
        <v>1</v>
      </c>
      <c r="D234" t="s">
        <v>32</v>
      </c>
      <c r="E234" t="s">
        <v>579</v>
      </c>
      <c r="F234" t="s">
        <v>30</v>
      </c>
      <c r="G234" t="s">
        <v>43</v>
      </c>
      <c r="H234" t="s">
        <v>578</v>
      </c>
      <c r="I234" t="s">
        <v>123</v>
      </c>
      <c r="K234" t="s">
        <v>3634</v>
      </c>
      <c r="L234" t="s">
        <v>3718</v>
      </c>
      <c r="M234" t="s">
        <v>57</v>
      </c>
    </row>
    <row r="235" spans="1:13" x14ac:dyDescent="0.2">
      <c r="A235" t="s">
        <v>588</v>
      </c>
      <c r="B235">
        <f>VALUE(RIGHT(A235,LEN(A235)-3))</f>
        <v>84</v>
      </c>
      <c r="C235">
        <v>2</v>
      </c>
      <c r="D235" t="s">
        <v>32</v>
      </c>
      <c r="E235" t="s">
        <v>590</v>
      </c>
      <c r="F235" t="s">
        <v>503</v>
      </c>
      <c r="G235" t="s">
        <v>43</v>
      </c>
      <c r="H235" t="s">
        <v>589</v>
      </c>
      <c r="I235" t="s">
        <v>123</v>
      </c>
      <c r="K235" t="s">
        <v>3634</v>
      </c>
      <c r="L235" t="s">
        <v>3721</v>
      </c>
      <c r="M235" t="s">
        <v>57</v>
      </c>
    </row>
    <row r="236" spans="1:13" x14ac:dyDescent="0.2">
      <c r="A236" t="s">
        <v>627</v>
      </c>
      <c r="B236">
        <f>VALUE(RIGHT(A236,LEN(A236)-3))</f>
        <v>90</v>
      </c>
      <c r="C236">
        <v>1</v>
      </c>
      <c r="D236" t="s">
        <v>32</v>
      </c>
      <c r="E236" t="s">
        <v>631</v>
      </c>
      <c r="F236" t="s">
        <v>503</v>
      </c>
      <c r="G236" t="s">
        <v>43</v>
      </c>
      <c r="H236" t="s">
        <v>628</v>
      </c>
      <c r="I236" t="s">
        <v>123</v>
      </c>
      <c r="K236" t="s">
        <v>3634</v>
      </c>
      <c r="L236" t="s">
        <v>3725</v>
      </c>
      <c r="M236" t="s">
        <v>35</v>
      </c>
    </row>
    <row r="237" spans="1:13" x14ac:dyDescent="0.2">
      <c r="A237" t="s">
        <v>668</v>
      </c>
      <c r="B237">
        <f>VALUE(RIGHT(A237,LEN(A237)-3))</f>
        <v>97</v>
      </c>
      <c r="C237">
        <v>1</v>
      </c>
      <c r="D237" t="s">
        <v>32</v>
      </c>
      <c r="E237" t="s">
        <v>670</v>
      </c>
      <c r="F237" t="s">
        <v>30</v>
      </c>
      <c r="G237" t="s">
        <v>43</v>
      </c>
      <c r="H237" t="s">
        <v>669</v>
      </c>
      <c r="I237" t="s">
        <v>123</v>
      </c>
      <c r="K237" t="s">
        <v>3634</v>
      </c>
      <c r="L237" t="s">
        <v>3730</v>
      </c>
      <c r="M237" t="s">
        <v>57</v>
      </c>
    </row>
    <row r="238" spans="1:13" x14ac:dyDescent="0.2">
      <c r="A238" t="s">
        <v>762</v>
      </c>
      <c r="B238">
        <f>VALUE(RIGHT(A238,LEN(A238)-3))</f>
        <v>113</v>
      </c>
      <c r="C238">
        <v>1</v>
      </c>
      <c r="D238" t="s">
        <v>32</v>
      </c>
      <c r="E238" t="s">
        <v>765</v>
      </c>
      <c r="F238" t="s">
        <v>503</v>
      </c>
      <c r="G238" t="s">
        <v>43</v>
      </c>
      <c r="H238" t="s">
        <v>763</v>
      </c>
      <c r="I238" t="s">
        <v>123</v>
      </c>
      <c r="K238" t="s">
        <v>3634</v>
      </c>
      <c r="L238" t="s">
        <v>3742</v>
      </c>
      <c r="M238" t="s">
        <v>57</v>
      </c>
    </row>
    <row r="239" spans="1:13" x14ac:dyDescent="0.2">
      <c r="A239" t="s">
        <v>773</v>
      </c>
      <c r="B239">
        <f>VALUE(RIGHT(A239,LEN(A239)-3))</f>
        <v>115</v>
      </c>
      <c r="C239">
        <v>1</v>
      </c>
      <c r="D239" t="s">
        <v>32</v>
      </c>
      <c r="E239" t="s">
        <v>776</v>
      </c>
      <c r="F239" t="s">
        <v>30</v>
      </c>
      <c r="G239" t="s">
        <v>43</v>
      </c>
      <c r="H239" t="s">
        <v>774</v>
      </c>
      <c r="I239" t="s">
        <v>123</v>
      </c>
      <c r="K239" t="s">
        <v>3634</v>
      </c>
      <c r="L239" t="s">
        <v>3745</v>
      </c>
      <c r="M239" t="s">
        <v>57</v>
      </c>
    </row>
    <row r="240" spans="1:13" x14ac:dyDescent="0.2">
      <c r="A240" t="s">
        <v>840</v>
      </c>
      <c r="B240">
        <f>VALUE(RIGHT(A240,LEN(A240)-3))</f>
        <v>127</v>
      </c>
      <c r="C240">
        <v>3</v>
      </c>
      <c r="D240" t="s">
        <v>32</v>
      </c>
      <c r="E240" t="s">
        <v>842</v>
      </c>
      <c r="F240" t="s">
        <v>503</v>
      </c>
      <c r="G240" t="s">
        <v>43</v>
      </c>
      <c r="H240" t="s">
        <v>841</v>
      </c>
      <c r="I240" t="s">
        <v>123</v>
      </c>
      <c r="K240" t="s">
        <v>3634</v>
      </c>
      <c r="L240" t="s">
        <v>3753</v>
      </c>
      <c r="M240" t="s">
        <v>57</v>
      </c>
    </row>
    <row r="241" spans="1:13" x14ac:dyDescent="0.2">
      <c r="A241" t="s">
        <v>891</v>
      </c>
      <c r="B241">
        <f>VALUE(RIGHT(A241,LEN(A241)-3))</f>
        <v>136</v>
      </c>
      <c r="C241">
        <v>2</v>
      </c>
      <c r="D241" t="s">
        <v>32</v>
      </c>
      <c r="E241" t="s">
        <v>894</v>
      </c>
      <c r="F241" t="s">
        <v>503</v>
      </c>
      <c r="G241" t="s">
        <v>43</v>
      </c>
      <c r="H241" t="s">
        <v>892</v>
      </c>
      <c r="I241" t="s">
        <v>123</v>
      </c>
      <c r="K241" t="s">
        <v>3634</v>
      </c>
      <c r="L241" t="s">
        <v>3759</v>
      </c>
      <c r="M241" t="s">
        <v>57</v>
      </c>
    </row>
    <row r="242" spans="1:13" x14ac:dyDescent="0.2">
      <c r="A242" t="s">
        <v>891</v>
      </c>
      <c r="B242">
        <f>VALUE(RIGHT(A242,LEN(A242)-3))</f>
        <v>136</v>
      </c>
      <c r="C242">
        <v>1</v>
      </c>
      <c r="D242" t="s">
        <v>32</v>
      </c>
      <c r="E242" t="s">
        <v>894</v>
      </c>
      <c r="F242" t="s">
        <v>503</v>
      </c>
      <c r="G242" t="s">
        <v>43</v>
      </c>
      <c r="H242" t="s">
        <v>892</v>
      </c>
      <c r="I242" t="s">
        <v>123</v>
      </c>
      <c r="K242" t="s">
        <v>3634</v>
      </c>
      <c r="L242" t="s">
        <v>3758</v>
      </c>
      <c r="M242" t="s">
        <v>35</v>
      </c>
    </row>
    <row r="243" spans="1:13" x14ac:dyDescent="0.2">
      <c r="A243" t="s">
        <v>903</v>
      </c>
      <c r="B243">
        <f>VALUE(RIGHT(A243,LEN(A243)-3))</f>
        <v>138</v>
      </c>
      <c r="C243">
        <v>1</v>
      </c>
      <c r="D243" t="s">
        <v>32</v>
      </c>
      <c r="E243" t="s">
        <v>905</v>
      </c>
      <c r="F243" t="s">
        <v>503</v>
      </c>
      <c r="G243" t="s">
        <v>43</v>
      </c>
      <c r="H243" t="s">
        <v>904</v>
      </c>
      <c r="I243" t="s">
        <v>123</v>
      </c>
      <c r="K243" t="s">
        <v>3634</v>
      </c>
      <c r="L243" t="s">
        <v>3760</v>
      </c>
      <c r="M243" t="s">
        <v>35</v>
      </c>
    </row>
    <row r="244" spans="1:13" x14ac:dyDescent="0.2">
      <c r="A244" t="s">
        <v>953</v>
      </c>
      <c r="B244">
        <f>VALUE(RIGHT(A244,LEN(A244)-3))</f>
        <v>146</v>
      </c>
      <c r="C244">
        <v>1</v>
      </c>
      <c r="D244" t="s">
        <v>32</v>
      </c>
      <c r="E244" t="s">
        <v>956</v>
      </c>
      <c r="F244" t="s">
        <v>503</v>
      </c>
      <c r="G244" t="s">
        <v>43</v>
      </c>
      <c r="H244" t="s">
        <v>954</v>
      </c>
      <c r="I244" t="s">
        <v>123</v>
      </c>
      <c r="K244" t="s">
        <v>3634</v>
      </c>
      <c r="L244" t="s">
        <v>3766</v>
      </c>
      <c r="M244" t="s">
        <v>35</v>
      </c>
    </row>
    <row r="245" spans="1:13" x14ac:dyDescent="0.2">
      <c r="A245" t="s">
        <v>977</v>
      </c>
      <c r="B245">
        <f>VALUE(RIGHT(A245,LEN(A245)-3))</f>
        <v>150</v>
      </c>
      <c r="C245">
        <v>1</v>
      </c>
      <c r="D245" t="s">
        <v>32</v>
      </c>
      <c r="E245" t="s">
        <v>979</v>
      </c>
      <c r="F245" t="s">
        <v>503</v>
      </c>
      <c r="G245" t="s">
        <v>43</v>
      </c>
      <c r="H245" t="s">
        <v>978</v>
      </c>
      <c r="I245" t="s">
        <v>123</v>
      </c>
      <c r="K245" t="s">
        <v>3634</v>
      </c>
      <c r="L245" t="s">
        <v>3771</v>
      </c>
      <c r="M245" t="s">
        <v>35</v>
      </c>
    </row>
    <row r="246" spans="1:13" x14ac:dyDescent="0.2">
      <c r="A246" t="s">
        <v>977</v>
      </c>
      <c r="B246">
        <f>VALUE(RIGHT(A246,LEN(A246)-3))</f>
        <v>150</v>
      </c>
      <c r="C246">
        <v>2</v>
      </c>
      <c r="D246" t="s">
        <v>32</v>
      </c>
      <c r="E246" t="s">
        <v>979</v>
      </c>
      <c r="F246" t="s">
        <v>503</v>
      </c>
      <c r="G246" t="s">
        <v>43</v>
      </c>
      <c r="H246" t="s">
        <v>978</v>
      </c>
      <c r="I246" t="s">
        <v>123</v>
      </c>
      <c r="K246" t="s">
        <v>3634</v>
      </c>
      <c r="L246" t="s">
        <v>3772</v>
      </c>
      <c r="M246" t="s">
        <v>57</v>
      </c>
    </row>
    <row r="247" spans="1:13" x14ac:dyDescent="0.2">
      <c r="A247" t="s">
        <v>1010</v>
      </c>
      <c r="B247">
        <f>VALUE(RIGHT(A247,LEN(A247)-3))</f>
        <v>156</v>
      </c>
      <c r="C247">
        <v>1</v>
      </c>
      <c r="D247" t="s">
        <v>32</v>
      </c>
      <c r="E247" t="s">
        <v>345</v>
      </c>
      <c r="F247" t="s">
        <v>30</v>
      </c>
      <c r="G247" t="s">
        <v>43</v>
      </c>
      <c r="H247" t="s">
        <v>1005</v>
      </c>
      <c r="I247" t="s">
        <v>123</v>
      </c>
      <c r="K247" t="s">
        <v>3634</v>
      </c>
      <c r="L247" t="s">
        <v>3776</v>
      </c>
      <c r="M247" t="s">
        <v>57</v>
      </c>
    </row>
    <row r="248" spans="1:13" x14ac:dyDescent="0.2">
      <c r="A248" t="s">
        <v>1036</v>
      </c>
      <c r="B248">
        <f>VALUE(RIGHT(A248,LEN(A248)-3))</f>
        <v>161</v>
      </c>
      <c r="C248">
        <v>1</v>
      </c>
      <c r="D248" t="s">
        <v>32</v>
      </c>
      <c r="E248" t="s">
        <v>1038</v>
      </c>
      <c r="F248" t="s">
        <v>503</v>
      </c>
      <c r="G248" t="s">
        <v>43</v>
      </c>
      <c r="H248" t="s">
        <v>1037</v>
      </c>
      <c r="I248" t="s">
        <v>123</v>
      </c>
      <c r="K248" t="s">
        <v>3634</v>
      </c>
      <c r="L248" t="s">
        <v>3781</v>
      </c>
      <c r="M248" t="s">
        <v>57</v>
      </c>
    </row>
    <row r="249" spans="1:13" x14ac:dyDescent="0.2">
      <c r="A249" t="s">
        <v>1055</v>
      </c>
      <c r="B249">
        <f>VALUE(RIGHT(A249,LEN(A249)-3))</f>
        <v>164</v>
      </c>
      <c r="C249">
        <v>1</v>
      </c>
      <c r="D249" t="s">
        <v>32</v>
      </c>
      <c r="E249" t="s">
        <v>358</v>
      </c>
      <c r="F249" t="s">
        <v>30</v>
      </c>
      <c r="G249" t="s">
        <v>43</v>
      </c>
      <c r="H249" t="s">
        <v>1056</v>
      </c>
      <c r="I249" t="s">
        <v>123</v>
      </c>
      <c r="K249" t="s">
        <v>3634</v>
      </c>
      <c r="L249" t="s">
        <v>3782</v>
      </c>
      <c r="M249" t="s">
        <v>57</v>
      </c>
    </row>
    <row r="250" spans="1:13" x14ac:dyDescent="0.2">
      <c r="A250" t="s">
        <v>1118</v>
      </c>
      <c r="B250">
        <f>VALUE(RIGHT(A250,LEN(A250)-3))</f>
        <v>175</v>
      </c>
      <c r="C250">
        <v>1</v>
      </c>
      <c r="D250" t="s">
        <v>32</v>
      </c>
      <c r="E250" t="s">
        <v>1122</v>
      </c>
      <c r="F250" t="s">
        <v>503</v>
      </c>
      <c r="G250" t="s">
        <v>43</v>
      </c>
      <c r="H250" t="s">
        <v>1119</v>
      </c>
      <c r="I250" t="s">
        <v>123</v>
      </c>
      <c r="K250" t="s">
        <v>3634</v>
      </c>
      <c r="L250" t="s">
        <v>3784</v>
      </c>
      <c r="M250" t="s">
        <v>35</v>
      </c>
    </row>
    <row r="251" spans="1:13" x14ac:dyDescent="0.2">
      <c r="A251" t="s">
        <v>1129</v>
      </c>
      <c r="B251">
        <f>VALUE(RIGHT(A251,LEN(A251)-3))</f>
        <v>177</v>
      </c>
      <c r="C251">
        <v>1</v>
      </c>
      <c r="D251" t="s">
        <v>32</v>
      </c>
      <c r="E251" t="s">
        <v>1132</v>
      </c>
      <c r="F251" t="s">
        <v>602</v>
      </c>
      <c r="G251" t="s">
        <v>43</v>
      </c>
      <c r="H251" t="s">
        <v>1130</v>
      </c>
      <c r="I251" t="s">
        <v>123</v>
      </c>
      <c r="K251" t="s">
        <v>3634</v>
      </c>
      <c r="L251" t="s">
        <v>3785</v>
      </c>
      <c r="M251" t="s">
        <v>57</v>
      </c>
    </row>
    <row r="252" spans="1:13" x14ac:dyDescent="0.2">
      <c r="A252" t="s">
        <v>1141</v>
      </c>
      <c r="B252">
        <f>VALUE(RIGHT(A252,LEN(A252)-3))</f>
        <v>179</v>
      </c>
      <c r="C252">
        <v>1</v>
      </c>
      <c r="D252" t="s">
        <v>32</v>
      </c>
      <c r="E252" t="s">
        <v>1144</v>
      </c>
      <c r="F252" t="s">
        <v>503</v>
      </c>
      <c r="G252" t="s">
        <v>43</v>
      </c>
      <c r="H252" t="s">
        <v>1142</v>
      </c>
      <c r="I252" t="s">
        <v>123</v>
      </c>
      <c r="K252" t="s">
        <v>3634</v>
      </c>
      <c r="L252" t="s">
        <v>3786</v>
      </c>
      <c r="M252" t="s">
        <v>35</v>
      </c>
    </row>
    <row r="253" spans="1:13" x14ac:dyDescent="0.2">
      <c r="A253" t="s">
        <v>1162</v>
      </c>
      <c r="B253">
        <f>VALUE(RIGHT(A253,LEN(A253)-3))</f>
        <v>183</v>
      </c>
      <c r="C253">
        <v>1</v>
      </c>
      <c r="D253" t="s">
        <v>32</v>
      </c>
      <c r="E253" t="s">
        <v>1164</v>
      </c>
      <c r="F253" t="s">
        <v>30</v>
      </c>
      <c r="G253" t="s">
        <v>43</v>
      </c>
      <c r="H253" t="s">
        <v>1163</v>
      </c>
      <c r="I253" t="s">
        <v>123</v>
      </c>
      <c r="K253" t="s">
        <v>3634</v>
      </c>
      <c r="L253" t="s">
        <v>3790</v>
      </c>
      <c r="M253" t="s">
        <v>35</v>
      </c>
    </row>
    <row r="254" spans="1:13" x14ac:dyDescent="0.2">
      <c r="A254" t="s">
        <v>1173</v>
      </c>
      <c r="B254">
        <f>VALUE(RIGHT(A254,LEN(A254)-3))</f>
        <v>185</v>
      </c>
      <c r="C254">
        <v>1</v>
      </c>
      <c r="D254" t="s">
        <v>32</v>
      </c>
      <c r="E254" t="s">
        <v>1176</v>
      </c>
      <c r="F254" t="s">
        <v>30</v>
      </c>
      <c r="G254" t="s">
        <v>43</v>
      </c>
      <c r="H254" t="s">
        <v>1174</v>
      </c>
      <c r="I254" t="s">
        <v>123</v>
      </c>
      <c r="K254" t="s">
        <v>3634</v>
      </c>
      <c r="L254" t="s">
        <v>3791</v>
      </c>
      <c r="M254" t="s">
        <v>57</v>
      </c>
    </row>
    <row r="255" spans="1:13" x14ac:dyDescent="0.2">
      <c r="A255" t="s">
        <v>1208</v>
      </c>
      <c r="B255">
        <f>VALUE(RIGHT(A255,LEN(A255)-3))</f>
        <v>191</v>
      </c>
      <c r="C255">
        <v>3</v>
      </c>
      <c r="D255" t="s">
        <v>32</v>
      </c>
      <c r="E255" t="s">
        <v>1211</v>
      </c>
      <c r="F255" t="s">
        <v>503</v>
      </c>
      <c r="G255" t="s">
        <v>43</v>
      </c>
      <c r="H255" t="s">
        <v>1209</v>
      </c>
      <c r="I255" t="s">
        <v>123</v>
      </c>
      <c r="K255" t="s">
        <v>3634</v>
      </c>
      <c r="L255" t="s">
        <v>3796</v>
      </c>
      <c r="M255" t="s">
        <v>35</v>
      </c>
    </row>
    <row r="256" spans="1:13" x14ac:dyDescent="0.2">
      <c r="A256" t="s">
        <v>1236</v>
      </c>
      <c r="B256">
        <f>VALUE(RIGHT(A256,LEN(A256)-3))</f>
        <v>196</v>
      </c>
      <c r="C256">
        <v>1</v>
      </c>
      <c r="D256" t="s">
        <v>32</v>
      </c>
      <c r="E256" t="s">
        <v>1239</v>
      </c>
      <c r="F256" t="s">
        <v>503</v>
      </c>
      <c r="G256" t="s">
        <v>43</v>
      </c>
      <c r="H256" t="s">
        <v>1237</v>
      </c>
      <c r="I256" t="s">
        <v>123</v>
      </c>
      <c r="K256" t="s">
        <v>3634</v>
      </c>
      <c r="L256" t="s">
        <v>3800</v>
      </c>
      <c r="M256" t="s">
        <v>57</v>
      </c>
    </row>
    <row r="257" spans="1:13" x14ac:dyDescent="0.2">
      <c r="A257" t="s">
        <v>1246</v>
      </c>
      <c r="B257">
        <f>VALUE(RIGHT(A257,LEN(A257)-3))</f>
        <v>198</v>
      </c>
      <c r="C257">
        <v>1</v>
      </c>
      <c r="D257" t="s">
        <v>32</v>
      </c>
      <c r="E257" t="s">
        <v>1249</v>
      </c>
      <c r="F257" t="s">
        <v>503</v>
      </c>
      <c r="G257" t="s">
        <v>43</v>
      </c>
      <c r="H257" t="s">
        <v>1247</v>
      </c>
      <c r="I257" t="s">
        <v>123</v>
      </c>
      <c r="K257" t="s">
        <v>3634</v>
      </c>
      <c r="L257" t="s">
        <v>3802</v>
      </c>
      <c r="M257" t="s">
        <v>57</v>
      </c>
    </row>
    <row r="258" spans="1:13" x14ac:dyDescent="0.2">
      <c r="A258" t="s">
        <v>1257</v>
      </c>
      <c r="B258">
        <f>VALUE(RIGHT(A258,LEN(A258)-3))</f>
        <v>200</v>
      </c>
      <c r="C258">
        <v>1</v>
      </c>
      <c r="D258" t="s">
        <v>32</v>
      </c>
      <c r="E258" t="s">
        <v>1259</v>
      </c>
      <c r="F258" t="s">
        <v>503</v>
      </c>
      <c r="G258" t="s">
        <v>43</v>
      </c>
      <c r="H258" t="s">
        <v>1258</v>
      </c>
      <c r="I258" t="s">
        <v>123</v>
      </c>
      <c r="K258" t="s">
        <v>3634</v>
      </c>
      <c r="L258" t="s">
        <v>3805</v>
      </c>
      <c r="M258" t="s">
        <v>57</v>
      </c>
    </row>
    <row r="259" spans="1:13" x14ac:dyDescent="0.2">
      <c r="A259" t="s">
        <v>1276</v>
      </c>
      <c r="B259">
        <f>VALUE(RIGHT(A259,LEN(A259)-3))</f>
        <v>203</v>
      </c>
      <c r="C259">
        <v>4</v>
      </c>
      <c r="D259" t="s">
        <v>32</v>
      </c>
      <c r="E259" t="s">
        <v>1279</v>
      </c>
      <c r="F259" t="s">
        <v>503</v>
      </c>
      <c r="G259" t="s">
        <v>43</v>
      </c>
      <c r="H259" t="s">
        <v>1277</v>
      </c>
      <c r="I259" t="s">
        <v>123</v>
      </c>
      <c r="K259" t="s">
        <v>3634</v>
      </c>
      <c r="L259" t="s">
        <v>3813</v>
      </c>
      <c r="M259" t="s">
        <v>35</v>
      </c>
    </row>
    <row r="260" spans="1:13" x14ac:dyDescent="0.2">
      <c r="A260" t="s">
        <v>1311</v>
      </c>
      <c r="B260">
        <f>VALUE(RIGHT(A260,LEN(A260)-3))</f>
        <v>209</v>
      </c>
      <c r="C260">
        <v>1</v>
      </c>
      <c r="D260" t="s">
        <v>32</v>
      </c>
      <c r="E260" t="s">
        <v>1314</v>
      </c>
      <c r="F260" t="s">
        <v>503</v>
      </c>
      <c r="G260" t="s">
        <v>43</v>
      </c>
      <c r="H260" t="s">
        <v>1312</v>
      </c>
      <c r="I260" t="s">
        <v>123</v>
      </c>
      <c r="K260" t="s">
        <v>3634</v>
      </c>
      <c r="L260" t="s">
        <v>3817</v>
      </c>
      <c r="M260" t="s">
        <v>35</v>
      </c>
    </row>
    <row r="261" spans="1:13" x14ac:dyDescent="0.2">
      <c r="A261" t="s">
        <v>1346</v>
      </c>
      <c r="B261">
        <f>VALUE(RIGHT(A261,LEN(A261)-3))</f>
        <v>216</v>
      </c>
      <c r="C261">
        <v>1</v>
      </c>
      <c r="D261" t="s">
        <v>32</v>
      </c>
      <c r="E261" t="s">
        <v>1078</v>
      </c>
      <c r="F261" t="s">
        <v>503</v>
      </c>
      <c r="G261" t="s">
        <v>43</v>
      </c>
      <c r="H261" t="s">
        <v>1347</v>
      </c>
      <c r="I261" t="s">
        <v>123</v>
      </c>
      <c r="K261" t="s">
        <v>3634</v>
      </c>
      <c r="L261" t="s">
        <v>3820</v>
      </c>
      <c r="M261" t="s">
        <v>35</v>
      </c>
    </row>
    <row r="262" spans="1:13" x14ac:dyDescent="0.2">
      <c r="A262" t="s">
        <v>1361</v>
      </c>
      <c r="B262">
        <f>VALUE(RIGHT(A262,LEN(A262)-3))</f>
        <v>219</v>
      </c>
      <c r="C262">
        <v>1</v>
      </c>
      <c r="D262" t="s">
        <v>32</v>
      </c>
      <c r="E262" t="s">
        <v>1363</v>
      </c>
      <c r="F262" t="s">
        <v>503</v>
      </c>
      <c r="G262" t="s">
        <v>43</v>
      </c>
      <c r="H262" t="s">
        <v>1362</v>
      </c>
      <c r="I262" t="s">
        <v>123</v>
      </c>
      <c r="K262" t="s">
        <v>3634</v>
      </c>
      <c r="L262" t="s">
        <v>3823</v>
      </c>
      <c r="M262" t="s">
        <v>35</v>
      </c>
    </row>
    <row r="263" spans="1:13" x14ac:dyDescent="0.2">
      <c r="A263" t="s">
        <v>1361</v>
      </c>
      <c r="B263">
        <f>VALUE(RIGHT(A263,LEN(A263)-3))</f>
        <v>219</v>
      </c>
      <c r="C263">
        <v>2</v>
      </c>
      <c r="D263" t="s">
        <v>32</v>
      </c>
      <c r="E263" t="s">
        <v>1363</v>
      </c>
      <c r="F263" t="s">
        <v>503</v>
      </c>
      <c r="G263" t="s">
        <v>43</v>
      </c>
      <c r="H263" t="s">
        <v>1362</v>
      </c>
      <c r="I263" t="s">
        <v>123</v>
      </c>
      <c r="K263" t="s">
        <v>3634</v>
      </c>
      <c r="L263" t="s">
        <v>3824</v>
      </c>
      <c r="M263" t="s">
        <v>57</v>
      </c>
    </row>
    <row r="264" spans="1:13" x14ac:dyDescent="0.2">
      <c r="A264" t="s">
        <v>1366</v>
      </c>
      <c r="B264">
        <f>VALUE(RIGHT(A264,LEN(A264)-3))</f>
        <v>220</v>
      </c>
      <c r="C264">
        <v>1</v>
      </c>
      <c r="D264" t="s">
        <v>32</v>
      </c>
      <c r="E264" t="s">
        <v>1368</v>
      </c>
      <c r="F264" t="s">
        <v>503</v>
      </c>
      <c r="G264" t="s">
        <v>43</v>
      </c>
      <c r="H264" t="s">
        <v>1367</v>
      </c>
      <c r="I264" t="s">
        <v>123</v>
      </c>
      <c r="K264" t="s">
        <v>3634</v>
      </c>
      <c r="L264" t="s">
        <v>3825</v>
      </c>
      <c r="M264" t="s">
        <v>35</v>
      </c>
    </row>
    <row r="265" spans="1:13" x14ac:dyDescent="0.2">
      <c r="A265" t="s">
        <v>1366</v>
      </c>
      <c r="B265">
        <f>VALUE(RIGHT(A265,LEN(A265)-3))</f>
        <v>220</v>
      </c>
      <c r="C265">
        <v>2</v>
      </c>
      <c r="D265" t="s">
        <v>32</v>
      </c>
      <c r="E265" t="s">
        <v>1368</v>
      </c>
      <c r="F265" t="s">
        <v>503</v>
      </c>
      <c r="G265" t="s">
        <v>43</v>
      </c>
      <c r="H265" t="s">
        <v>1367</v>
      </c>
      <c r="I265" t="s">
        <v>123</v>
      </c>
      <c r="K265" t="s">
        <v>3634</v>
      </c>
      <c r="L265" t="s">
        <v>3826</v>
      </c>
      <c r="M265" t="s">
        <v>57</v>
      </c>
    </row>
    <row r="266" spans="1:13" x14ac:dyDescent="0.2">
      <c r="A266" t="s">
        <v>1402</v>
      </c>
      <c r="B266">
        <f>VALUE(RIGHT(A266,LEN(A266)-3))</f>
        <v>226</v>
      </c>
      <c r="C266">
        <v>1</v>
      </c>
      <c r="D266" t="s">
        <v>32</v>
      </c>
      <c r="E266" t="s">
        <v>1405</v>
      </c>
      <c r="F266" t="s">
        <v>503</v>
      </c>
      <c r="G266" t="s">
        <v>43</v>
      </c>
      <c r="H266" t="s">
        <v>1403</v>
      </c>
      <c r="I266" t="s">
        <v>123</v>
      </c>
      <c r="K266" t="s">
        <v>3634</v>
      </c>
      <c r="L266" t="s">
        <v>3832</v>
      </c>
      <c r="M266" t="s">
        <v>57</v>
      </c>
    </row>
    <row r="267" spans="1:13" x14ac:dyDescent="0.2">
      <c r="A267" t="s">
        <v>1428</v>
      </c>
      <c r="B267">
        <f>VALUE(RIGHT(A267,LEN(A267)-3))</f>
        <v>231</v>
      </c>
      <c r="C267">
        <v>1</v>
      </c>
      <c r="D267" t="s">
        <v>32</v>
      </c>
      <c r="E267" t="s">
        <v>790</v>
      </c>
      <c r="F267" t="s">
        <v>30</v>
      </c>
      <c r="G267" t="s">
        <v>43</v>
      </c>
      <c r="H267" t="s">
        <v>1429</v>
      </c>
      <c r="I267" t="s">
        <v>123</v>
      </c>
      <c r="K267" t="s">
        <v>3634</v>
      </c>
      <c r="L267" t="s">
        <v>3837</v>
      </c>
      <c r="M267" t="s">
        <v>57</v>
      </c>
    </row>
    <row r="268" spans="1:13" x14ac:dyDescent="0.2">
      <c r="A268" t="s">
        <v>1577</v>
      </c>
      <c r="B268">
        <f>VALUE(RIGHT(A268,LEN(A268)-3))</f>
        <v>260</v>
      </c>
      <c r="C268">
        <v>1</v>
      </c>
      <c r="D268" t="s">
        <v>32</v>
      </c>
      <c r="E268" t="s">
        <v>1581</v>
      </c>
      <c r="F268" t="s">
        <v>503</v>
      </c>
      <c r="G268" t="s">
        <v>43</v>
      </c>
      <c r="H268" t="s">
        <v>1578</v>
      </c>
      <c r="I268" t="s">
        <v>123</v>
      </c>
      <c r="K268" t="s">
        <v>3634</v>
      </c>
      <c r="L268" t="s">
        <v>3860</v>
      </c>
      <c r="M268" t="s">
        <v>57</v>
      </c>
    </row>
    <row r="269" spans="1:13" x14ac:dyDescent="0.2">
      <c r="A269" t="s">
        <v>1633</v>
      </c>
      <c r="B269">
        <f>VALUE(RIGHT(A269,LEN(A269)-3))</f>
        <v>271</v>
      </c>
      <c r="C269">
        <v>1</v>
      </c>
      <c r="D269" t="s">
        <v>32</v>
      </c>
      <c r="E269" t="s">
        <v>1636</v>
      </c>
      <c r="F269" t="s">
        <v>503</v>
      </c>
      <c r="G269" t="s">
        <v>43</v>
      </c>
      <c r="H269" t="s">
        <v>1634</v>
      </c>
      <c r="I269" t="s">
        <v>123</v>
      </c>
      <c r="K269" t="s">
        <v>3634</v>
      </c>
      <c r="L269" t="s">
        <v>3863</v>
      </c>
      <c r="M269" t="s">
        <v>57</v>
      </c>
    </row>
    <row r="270" spans="1:13" x14ac:dyDescent="0.2">
      <c r="A270" t="s">
        <v>1672</v>
      </c>
      <c r="B270">
        <f>VALUE(RIGHT(A270,LEN(A270)-3))</f>
        <v>278</v>
      </c>
      <c r="C270">
        <v>1</v>
      </c>
      <c r="D270" t="s">
        <v>32</v>
      </c>
      <c r="E270" t="s">
        <v>1674</v>
      </c>
      <c r="F270" t="s">
        <v>30</v>
      </c>
      <c r="G270" t="s">
        <v>83</v>
      </c>
      <c r="H270" t="s">
        <v>1673</v>
      </c>
      <c r="I270" t="s">
        <v>123</v>
      </c>
      <c r="K270" t="s">
        <v>3634</v>
      </c>
      <c r="L270" t="s">
        <v>3873</v>
      </c>
      <c r="M270" t="s">
        <v>35</v>
      </c>
    </row>
    <row r="271" spans="1:13" x14ac:dyDescent="0.2">
      <c r="A271" t="s">
        <v>1731</v>
      </c>
      <c r="B271">
        <f>VALUE(RIGHT(A271,LEN(A271)-3))</f>
        <v>289</v>
      </c>
      <c r="C271">
        <v>1</v>
      </c>
      <c r="D271" t="s">
        <v>32</v>
      </c>
      <c r="E271" t="s">
        <v>1734</v>
      </c>
      <c r="F271" t="s">
        <v>503</v>
      </c>
      <c r="G271" t="s">
        <v>43</v>
      </c>
      <c r="H271" t="s">
        <v>1732</v>
      </c>
      <c r="I271" t="s">
        <v>123</v>
      </c>
      <c r="K271" t="s">
        <v>3634</v>
      </c>
      <c r="L271" t="s">
        <v>3879</v>
      </c>
      <c r="M271" t="s">
        <v>57</v>
      </c>
    </row>
    <row r="272" spans="1:13" x14ac:dyDescent="0.2">
      <c r="A272" t="s">
        <v>1745</v>
      </c>
      <c r="B272">
        <f>VALUE(RIGHT(A272,LEN(A272)-3))</f>
        <v>291</v>
      </c>
      <c r="C272">
        <v>1</v>
      </c>
      <c r="D272" t="s">
        <v>32</v>
      </c>
      <c r="E272" t="s">
        <v>1748</v>
      </c>
      <c r="F272" t="s">
        <v>503</v>
      </c>
      <c r="G272" t="s">
        <v>43</v>
      </c>
      <c r="H272" t="s">
        <v>1746</v>
      </c>
      <c r="I272" t="s">
        <v>123</v>
      </c>
      <c r="K272" t="s">
        <v>3634</v>
      </c>
      <c r="L272" t="s">
        <v>3885</v>
      </c>
      <c r="M272" t="s">
        <v>35</v>
      </c>
    </row>
    <row r="273" spans="1:13" x14ac:dyDescent="0.2">
      <c r="A273" t="s">
        <v>1837</v>
      </c>
      <c r="B273">
        <f>VALUE(RIGHT(A273,LEN(A273)-3))</f>
        <v>308</v>
      </c>
      <c r="C273">
        <v>2</v>
      </c>
      <c r="D273" t="s">
        <v>32</v>
      </c>
      <c r="E273" t="s">
        <v>1839</v>
      </c>
      <c r="F273" t="s">
        <v>503</v>
      </c>
      <c r="G273" t="s">
        <v>43</v>
      </c>
      <c r="H273" t="s">
        <v>1838</v>
      </c>
      <c r="I273" t="s">
        <v>123</v>
      </c>
      <c r="K273" t="s">
        <v>3634</v>
      </c>
      <c r="L273" t="s">
        <v>3900</v>
      </c>
      <c r="M273" t="s">
        <v>57</v>
      </c>
    </row>
    <row r="274" spans="1:13" x14ac:dyDescent="0.2">
      <c r="A274" t="s">
        <v>1876</v>
      </c>
      <c r="B274">
        <f>VALUE(RIGHT(A274,LEN(A274)-3))</f>
        <v>316</v>
      </c>
      <c r="C274">
        <v>1</v>
      </c>
      <c r="D274" t="s">
        <v>32</v>
      </c>
      <c r="E274" t="s">
        <v>1879</v>
      </c>
      <c r="F274" t="s">
        <v>503</v>
      </c>
      <c r="G274" t="s">
        <v>43</v>
      </c>
      <c r="H274" t="s">
        <v>1877</v>
      </c>
      <c r="I274" t="s">
        <v>123</v>
      </c>
      <c r="K274" t="s">
        <v>3634</v>
      </c>
      <c r="L274" t="s">
        <v>3902</v>
      </c>
      <c r="M274" t="s">
        <v>57</v>
      </c>
    </row>
    <row r="275" spans="1:13" x14ac:dyDescent="0.2">
      <c r="A275" t="s">
        <v>1921</v>
      </c>
      <c r="B275">
        <f>VALUE(RIGHT(A275,LEN(A275)-3))</f>
        <v>324</v>
      </c>
      <c r="C275">
        <v>1</v>
      </c>
      <c r="D275" t="s">
        <v>32</v>
      </c>
      <c r="E275" t="s">
        <v>1923</v>
      </c>
      <c r="F275" t="s">
        <v>602</v>
      </c>
      <c r="G275" t="s">
        <v>43</v>
      </c>
      <c r="H275" t="s">
        <v>1922</v>
      </c>
      <c r="I275" t="s">
        <v>123</v>
      </c>
      <c r="K275" t="s">
        <v>3634</v>
      </c>
      <c r="L275" t="s">
        <v>3907</v>
      </c>
      <c r="M275" t="s">
        <v>57</v>
      </c>
    </row>
    <row r="276" spans="1:13" x14ac:dyDescent="0.2">
      <c r="A276" t="s">
        <v>1971</v>
      </c>
      <c r="B276">
        <f>VALUE(RIGHT(A276,LEN(A276)-3))</f>
        <v>333</v>
      </c>
      <c r="C276">
        <v>1</v>
      </c>
      <c r="D276" t="s">
        <v>32</v>
      </c>
      <c r="E276" t="s">
        <v>1052</v>
      </c>
      <c r="F276" t="s">
        <v>503</v>
      </c>
      <c r="G276" t="s">
        <v>43</v>
      </c>
      <c r="H276" t="s">
        <v>1972</v>
      </c>
      <c r="I276" t="s">
        <v>123</v>
      </c>
      <c r="K276" t="s">
        <v>3634</v>
      </c>
      <c r="L276" t="s">
        <v>3912</v>
      </c>
      <c r="M276" t="s">
        <v>57</v>
      </c>
    </row>
    <row r="277" spans="1:13" x14ac:dyDescent="0.2">
      <c r="A277" t="s">
        <v>1986</v>
      </c>
      <c r="B277">
        <f>VALUE(RIGHT(A277,LEN(A277)-3))</f>
        <v>336</v>
      </c>
      <c r="C277">
        <v>1</v>
      </c>
      <c r="D277" t="s">
        <v>32</v>
      </c>
      <c r="E277" t="s">
        <v>1989</v>
      </c>
      <c r="F277" t="s">
        <v>30</v>
      </c>
      <c r="G277" t="s">
        <v>29</v>
      </c>
      <c r="H277" t="s">
        <v>1987</v>
      </c>
      <c r="I277" t="s">
        <v>123</v>
      </c>
      <c r="K277" t="s">
        <v>3634</v>
      </c>
      <c r="L277" t="s">
        <v>3914</v>
      </c>
      <c r="M277" t="s">
        <v>35</v>
      </c>
    </row>
    <row r="278" spans="1:13" x14ac:dyDescent="0.2">
      <c r="A278" t="s">
        <v>2013</v>
      </c>
      <c r="B278">
        <f>VALUE(RIGHT(A278,LEN(A278)-3))</f>
        <v>340</v>
      </c>
      <c r="C278">
        <v>2</v>
      </c>
      <c r="D278" t="s">
        <v>32</v>
      </c>
      <c r="E278" t="s">
        <v>2015</v>
      </c>
      <c r="F278" t="s">
        <v>602</v>
      </c>
      <c r="G278" t="s">
        <v>43</v>
      </c>
      <c r="H278" t="s">
        <v>2014</v>
      </c>
      <c r="I278" t="s">
        <v>123</v>
      </c>
      <c r="K278" t="s">
        <v>3634</v>
      </c>
      <c r="L278" t="s">
        <v>3920</v>
      </c>
      <c r="M278" t="s">
        <v>57</v>
      </c>
    </row>
    <row r="279" spans="1:13" x14ac:dyDescent="0.2">
      <c r="A279" t="s">
        <v>2024</v>
      </c>
      <c r="B279">
        <f>VALUE(RIGHT(A279,LEN(A279)-3))</f>
        <v>342</v>
      </c>
      <c r="C279">
        <v>1</v>
      </c>
      <c r="D279" t="s">
        <v>32</v>
      </c>
      <c r="E279" t="s">
        <v>358</v>
      </c>
      <c r="F279" t="s">
        <v>602</v>
      </c>
      <c r="G279" t="s">
        <v>43</v>
      </c>
      <c r="H279" t="s">
        <v>2025</v>
      </c>
      <c r="I279" t="s">
        <v>123</v>
      </c>
      <c r="K279" t="s">
        <v>3634</v>
      </c>
      <c r="L279" t="s">
        <v>3921</v>
      </c>
      <c r="M279" t="s">
        <v>57</v>
      </c>
    </row>
    <row r="280" spans="1:13" x14ac:dyDescent="0.2">
      <c r="A280" t="s">
        <v>2052</v>
      </c>
      <c r="B280">
        <f>VALUE(RIGHT(A280,LEN(A280)-3))</f>
        <v>348</v>
      </c>
      <c r="C280">
        <v>3</v>
      </c>
      <c r="D280" t="s">
        <v>32</v>
      </c>
      <c r="E280" t="s">
        <v>2053</v>
      </c>
      <c r="F280" t="s">
        <v>503</v>
      </c>
      <c r="G280" t="s">
        <v>43</v>
      </c>
      <c r="H280" t="s">
        <v>2049</v>
      </c>
      <c r="I280" t="s">
        <v>123</v>
      </c>
      <c r="K280" t="s">
        <v>3634</v>
      </c>
      <c r="L280" t="s">
        <v>3928</v>
      </c>
      <c r="M280" t="s">
        <v>35</v>
      </c>
    </row>
    <row r="281" spans="1:13" x14ac:dyDescent="0.2">
      <c r="A281" t="s">
        <v>2089</v>
      </c>
      <c r="B281">
        <f>VALUE(RIGHT(A281,LEN(A281)-3))</f>
        <v>355</v>
      </c>
      <c r="C281">
        <v>1</v>
      </c>
      <c r="D281" t="s">
        <v>32</v>
      </c>
      <c r="E281" t="s">
        <v>2092</v>
      </c>
      <c r="F281" t="s">
        <v>503</v>
      </c>
      <c r="G281" t="s">
        <v>43</v>
      </c>
      <c r="H281" t="s">
        <v>2090</v>
      </c>
      <c r="I281" t="s">
        <v>123</v>
      </c>
      <c r="K281" t="s">
        <v>3634</v>
      </c>
      <c r="L281" t="s">
        <v>3931</v>
      </c>
      <c r="M281" t="s">
        <v>57</v>
      </c>
    </row>
    <row r="282" spans="1:13" x14ac:dyDescent="0.2">
      <c r="A282" t="s">
        <v>2139</v>
      </c>
      <c r="B282">
        <f>VALUE(RIGHT(A282,LEN(A282)-3))</f>
        <v>364</v>
      </c>
      <c r="C282">
        <v>2</v>
      </c>
      <c r="D282" t="s">
        <v>32</v>
      </c>
      <c r="E282" t="s">
        <v>2142</v>
      </c>
      <c r="F282" t="s">
        <v>602</v>
      </c>
      <c r="G282" t="s">
        <v>43</v>
      </c>
      <c r="H282" t="s">
        <v>2140</v>
      </c>
      <c r="I282" t="s">
        <v>123</v>
      </c>
      <c r="K282" t="s">
        <v>3634</v>
      </c>
      <c r="L282" t="s">
        <v>3937</v>
      </c>
      <c r="M282" t="s">
        <v>35</v>
      </c>
    </row>
    <row r="283" spans="1:13" x14ac:dyDescent="0.2">
      <c r="A283" t="s">
        <v>2177</v>
      </c>
      <c r="B283">
        <f>VALUE(RIGHT(A283,LEN(A283)-3))</f>
        <v>371</v>
      </c>
      <c r="C283">
        <v>1</v>
      </c>
      <c r="D283" t="s">
        <v>32</v>
      </c>
      <c r="E283" t="s">
        <v>2180</v>
      </c>
      <c r="F283" t="s">
        <v>602</v>
      </c>
      <c r="G283" t="s">
        <v>43</v>
      </c>
      <c r="H283" t="s">
        <v>2178</v>
      </c>
      <c r="I283" t="s">
        <v>123</v>
      </c>
      <c r="K283" t="s">
        <v>3634</v>
      </c>
      <c r="L283" t="s">
        <v>3940</v>
      </c>
      <c r="M283" t="s">
        <v>35</v>
      </c>
    </row>
    <row r="284" spans="1:13" x14ac:dyDescent="0.2">
      <c r="A284" t="s">
        <v>2190</v>
      </c>
      <c r="B284">
        <f>VALUE(RIGHT(A284,LEN(A284)-3))</f>
        <v>373</v>
      </c>
      <c r="C284">
        <v>2</v>
      </c>
      <c r="D284" t="s">
        <v>32</v>
      </c>
      <c r="E284" t="s">
        <v>276</v>
      </c>
      <c r="F284" t="s">
        <v>30</v>
      </c>
      <c r="G284" t="s">
        <v>54</v>
      </c>
      <c r="H284" t="s">
        <v>2191</v>
      </c>
      <c r="I284" t="s">
        <v>123</v>
      </c>
      <c r="K284" t="s">
        <v>3634</v>
      </c>
      <c r="L284" t="s">
        <v>3944</v>
      </c>
      <c r="M284" t="s">
        <v>57</v>
      </c>
    </row>
    <row r="285" spans="1:13" x14ac:dyDescent="0.2">
      <c r="A285" t="s">
        <v>2218</v>
      </c>
      <c r="B285">
        <f>VALUE(RIGHT(A285,LEN(A285)-3))</f>
        <v>378</v>
      </c>
      <c r="C285">
        <v>1</v>
      </c>
      <c r="D285" t="s">
        <v>32</v>
      </c>
      <c r="E285" t="s">
        <v>2220</v>
      </c>
      <c r="F285" t="s">
        <v>602</v>
      </c>
      <c r="G285" t="s">
        <v>43</v>
      </c>
      <c r="H285" t="s">
        <v>2219</v>
      </c>
      <c r="I285" t="s">
        <v>123</v>
      </c>
      <c r="K285" t="s">
        <v>3634</v>
      </c>
      <c r="L285" t="s">
        <v>3946</v>
      </c>
      <c r="M285" t="s">
        <v>35</v>
      </c>
    </row>
    <row r="286" spans="1:13" x14ac:dyDescent="0.2">
      <c r="A286" t="s">
        <v>2229</v>
      </c>
      <c r="B286">
        <f>VALUE(RIGHT(A286,LEN(A286)-3))</f>
        <v>380</v>
      </c>
      <c r="C286">
        <v>1</v>
      </c>
      <c r="D286" t="s">
        <v>32</v>
      </c>
      <c r="E286" t="s">
        <v>2232</v>
      </c>
      <c r="F286" t="s">
        <v>30</v>
      </c>
      <c r="G286" t="s">
        <v>746</v>
      </c>
      <c r="H286" t="s">
        <v>2230</v>
      </c>
      <c r="I286" t="s">
        <v>123</v>
      </c>
      <c r="K286" t="s">
        <v>3634</v>
      </c>
      <c r="L286" t="s">
        <v>3947</v>
      </c>
      <c r="M286" t="s">
        <v>57</v>
      </c>
    </row>
    <row r="287" spans="1:13" x14ac:dyDescent="0.2">
      <c r="A287" t="s">
        <v>2229</v>
      </c>
      <c r="B287">
        <f>VALUE(RIGHT(A287,LEN(A287)-3))</f>
        <v>380</v>
      </c>
      <c r="C287">
        <v>2</v>
      </c>
      <c r="D287" t="s">
        <v>32</v>
      </c>
      <c r="E287" t="s">
        <v>2232</v>
      </c>
      <c r="F287" t="s">
        <v>30</v>
      </c>
      <c r="G287" t="s">
        <v>746</v>
      </c>
      <c r="H287" t="s">
        <v>2230</v>
      </c>
      <c r="I287" t="s">
        <v>123</v>
      </c>
      <c r="K287" t="s">
        <v>3634</v>
      </c>
      <c r="L287" t="s">
        <v>3948</v>
      </c>
      <c r="M287" t="s">
        <v>35</v>
      </c>
    </row>
    <row r="288" spans="1:13" x14ac:dyDescent="0.2">
      <c r="A288" t="s">
        <v>2297</v>
      </c>
      <c r="B288">
        <f>VALUE(RIGHT(A288,LEN(A288)-3))</f>
        <v>390</v>
      </c>
      <c r="C288">
        <v>2</v>
      </c>
      <c r="D288" t="s">
        <v>32</v>
      </c>
      <c r="E288" t="s">
        <v>2300</v>
      </c>
      <c r="F288" t="s">
        <v>503</v>
      </c>
      <c r="G288" t="s">
        <v>43</v>
      </c>
      <c r="H288" t="s">
        <v>2290</v>
      </c>
      <c r="I288" t="s">
        <v>123</v>
      </c>
      <c r="K288" t="s">
        <v>3634</v>
      </c>
      <c r="L288" t="s">
        <v>3955</v>
      </c>
      <c r="M288" t="s">
        <v>35</v>
      </c>
    </row>
    <row r="289" spans="1:13" x14ac:dyDescent="0.2">
      <c r="A289" t="s">
        <v>2313</v>
      </c>
      <c r="B289">
        <f>VALUE(RIGHT(A289,LEN(A289)-3))</f>
        <v>393</v>
      </c>
      <c r="C289">
        <v>1</v>
      </c>
      <c r="D289" t="s">
        <v>32</v>
      </c>
      <c r="E289" t="s">
        <v>1748</v>
      </c>
      <c r="F289" t="s">
        <v>503</v>
      </c>
      <c r="G289" t="s">
        <v>43</v>
      </c>
      <c r="H289" t="s">
        <v>2314</v>
      </c>
      <c r="I289" t="s">
        <v>123</v>
      </c>
      <c r="K289" t="s">
        <v>3634</v>
      </c>
      <c r="L289" t="s">
        <v>3959</v>
      </c>
      <c r="M289" t="s">
        <v>35</v>
      </c>
    </row>
    <row r="290" spans="1:13" x14ac:dyDescent="0.2">
      <c r="A290" t="s">
        <v>2330</v>
      </c>
      <c r="B290">
        <f>VALUE(RIGHT(A290,LEN(A290)-3))</f>
        <v>396</v>
      </c>
      <c r="C290">
        <v>3</v>
      </c>
      <c r="D290" t="s">
        <v>32</v>
      </c>
      <c r="E290" t="s">
        <v>2332</v>
      </c>
      <c r="F290" t="s">
        <v>602</v>
      </c>
      <c r="G290" t="s">
        <v>43</v>
      </c>
      <c r="H290" t="s">
        <v>2325</v>
      </c>
      <c r="I290" t="s">
        <v>123</v>
      </c>
      <c r="K290" t="s">
        <v>3634</v>
      </c>
      <c r="L290" t="s">
        <v>3966</v>
      </c>
      <c r="M290" t="s">
        <v>57</v>
      </c>
    </row>
    <row r="291" spans="1:13" x14ac:dyDescent="0.2">
      <c r="A291" t="s">
        <v>2349</v>
      </c>
      <c r="B291">
        <f>VALUE(RIGHT(A291,LEN(A291)-3))</f>
        <v>399</v>
      </c>
      <c r="C291">
        <v>1</v>
      </c>
      <c r="D291" t="s">
        <v>32</v>
      </c>
      <c r="E291" t="s">
        <v>2352</v>
      </c>
      <c r="F291" t="s">
        <v>30</v>
      </c>
      <c r="G291" t="s">
        <v>43</v>
      </c>
      <c r="H291" t="s">
        <v>2350</v>
      </c>
      <c r="I291" t="s">
        <v>123</v>
      </c>
      <c r="K291" t="s">
        <v>3634</v>
      </c>
      <c r="L291" t="s">
        <v>3968</v>
      </c>
      <c r="M291" t="s">
        <v>35</v>
      </c>
    </row>
    <row r="292" spans="1:13" x14ac:dyDescent="0.2">
      <c r="A292" t="s">
        <v>2375</v>
      </c>
      <c r="B292">
        <f>VALUE(RIGHT(A292,LEN(A292)-3))</f>
        <v>403</v>
      </c>
      <c r="C292">
        <v>1</v>
      </c>
      <c r="D292" t="s">
        <v>32</v>
      </c>
      <c r="E292" t="s">
        <v>2378</v>
      </c>
      <c r="F292" t="s">
        <v>30</v>
      </c>
      <c r="G292" t="s">
        <v>43</v>
      </c>
      <c r="H292" t="s">
        <v>2376</v>
      </c>
      <c r="I292" t="s">
        <v>123</v>
      </c>
      <c r="K292" t="s">
        <v>3634</v>
      </c>
      <c r="L292" t="s">
        <v>3977</v>
      </c>
      <c r="M292" t="s">
        <v>57</v>
      </c>
    </row>
    <row r="293" spans="1:13" x14ac:dyDescent="0.2">
      <c r="A293" t="s">
        <v>2382</v>
      </c>
      <c r="B293">
        <f>VALUE(RIGHT(A293,LEN(A293)-3))</f>
        <v>404</v>
      </c>
      <c r="C293">
        <v>1</v>
      </c>
      <c r="D293" t="s">
        <v>32</v>
      </c>
      <c r="E293" t="s">
        <v>2384</v>
      </c>
      <c r="F293" t="s">
        <v>30</v>
      </c>
      <c r="G293" t="s">
        <v>43</v>
      </c>
      <c r="H293" t="s">
        <v>2383</v>
      </c>
      <c r="I293" t="s">
        <v>123</v>
      </c>
      <c r="K293" t="s">
        <v>3634</v>
      </c>
      <c r="L293" t="s">
        <v>3980</v>
      </c>
      <c r="M293" t="s">
        <v>35</v>
      </c>
    </row>
    <row r="294" spans="1:13" x14ac:dyDescent="0.2">
      <c r="A294" t="s">
        <v>2399</v>
      </c>
      <c r="B294">
        <f>VALUE(RIGHT(A294,LEN(A294)-3))</f>
        <v>407</v>
      </c>
      <c r="C294">
        <v>1</v>
      </c>
      <c r="D294" t="s">
        <v>32</v>
      </c>
      <c r="E294" t="s">
        <v>2403</v>
      </c>
      <c r="F294" t="s">
        <v>30</v>
      </c>
      <c r="G294" t="s">
        <v>43</v>
      </c>
      <c r="H294" t="s">
        <v>2400</v>
      </c>
      <c r="I294" t="s">
        <v>123</v>
      </c>
      <c r="K294" t="s">
        <v>3634</v>
      </c>
      <c r="L294" t="s">
        <v>3982</v>
      </c>
      <c r="M294" t="s">
        <v>57</v>
      </c>
    </row>
    <row r="295" spans="1:13" x14ac:dyDescent="0.2">
      <c r="A295" t="s">
        <v>2406</v>
      </c>
      <c r="B295">
        <f>VALUE(RIGHT(A295,LEN(A295)-3))</f>
        <v>408</v>
      </c>
      <c r="C295">
        <v>1</v>
      </c>
      <c r="D295" t="s">
        <v>32</v>
      </c>
      <c r="E295" t="s">
        <v>2410</v>
      </c>
      <c r="F295" t="s">
        <v>503</v>
      </c>
      <c r="G295" t="s">
        <v>43</v>
      </c>
      <c r="H295" t="s">
        <v>2407</v>
      </c>
      <c r="I295" t="s">
        <v>123</v>
      </c>
      <c r="K295" t="s">
        <v>3634</v>
      </c>
      <c r="L295" t="s">
        <v>3983</v>
      </c>
      <c r="M295" t="s">
        <v>35</v>
      </c>
    </row>
    <row r="296" spans="1:13" x14ac:dyDescent="0.2">
      <c r="A296" t="s">
        <v>2406</v>
      </c>
      <c r="B296">
        <f>VALUE(RIGHT(A296,LEN(A296)-3))</f>
        <v>408</v>
      </c>
      <c r="C296">
        <v>2</v>
      </c>
      <c r="D296" t="s">
        <v>32</v>
      </c>
      <c r="E296" t="s">
        <v>2410</v>
      </c>
      <c r="F296" t="s">
        <v>503</v>
      </c>
      <c r="G296" t="s">
        <v>43</v>
      </c>
      <c r="H296" t="s">
        <v>2407</v>
      </c>
      <c r="I296" t="s">
        <v>123</v>
      </c>
      <c r="K296" t="s">
        <v>3634</v>
      </c>
      <c r="L296" t="s">
        <v>3984</v>
      </c>
      <c r="M296" t="s">
        <v>57</v>
      </c>
    </row>
    <row r="297" spans="1:13" x14ac:dyDescent="0.2">
      <c r="A297" t="s">
        <v>2429</v>
      </c>
      <c r="B297">
        <f>VALUE(RIGHT(A297,LEN(A297)-3))</f>
        <v>412</v>
      </c>
      <c r="C297">
        <v>1</v>
      </c>
      <c r="D297" t="s">
        <v>32</v>
      </c>
      <c r="E297" t="s">
        <v>2431</v>
      </c>
      <c r="F297" t="s">
        <v>30</v>
      </c>
      <c r="G297" t="s">
        <v>43</v>
      </c>
      <c r="H297" t="s">
        <v>2430</v>
      </c>
      <c r="I297" t="s">
        <v>123</v>
      </c>
      <c r="K297" t="s">
        <v>3634</v>
      </c>
      <c r="L297" t="s">
        <v>3989</v>
      </c>
      <c r="M297" t="s">
        <v>57</v>
      </c>
    </row>
    <row r="298" spans="1:13" x14ac:dyDescent="0.2">
      <c r="A298" t="s">
        <v>2462</v>
      </c>
      <c r="B298">
        <f>VALUE(RIGHT(A298,LEN(A298)-3))</f>
        <v>418</v>
      </c>
      <c r="C298">
        <v>1</v>
      </c>
      <c r="D298" t="s">
        <v>32</v>
      </c>
      <c r="E298" t="s">
        <v>2465</v>
      </c>
      <c r="F298" t="s">
        <v>30</v>
      </c>
      <c r="G298" t="s">
        <v>43</v>
      </c>
      <c r="H298" t="s">
        <v>2463</v>
      </c>
      <c r="I298" t="s">
        <v>123</v>
      </c>
      <c r="K298" t="s">
        <v>3634</v>
      </c>
      <c r="L298" t="s">
        <v>3992</v>
      </c>
      <c r="M298" t="s">
        <v>35</v>
      </c>
    </row>
    <row r="299" spans="1:13" x14ac:dyDescent="0.2">
      <c r="A299" t="s">
        <v>2475</v>
      </c>
      <c r="B299">
        <f>VALUE(RIGHT(A299,LEN(A299)-3))</f>
        <v>420</v>
      </c>
      <c r="C299">
        <v>1</v>
      </c>
      <c r="D299" t="s">
        <v>32</v>
      </c>
      <c r="E299" t="s">
        <v>1138</v>
      </c>
      <c r="F299" t="s">
        <v>503</v>
      </c>
      <c r="G299" t="s">
        <v>43</v>
      </c>
      <c r="H299" t="s">
        <v>2476</v>
      </c>
      <c r="I299" t="s">
        <v>123</v>
      </c>
      <c r="K299" t="s">
        <v>3634</v>
      </c>
      <c r="L299" t="s">
        <v>3994</v>
      </c>
      <c r="M299" t="s">
        <v>35</v>
      </c>
    </row>
    <row r="300" spans="1:13" x14ac:dyDescent="0.2">
      <c r="A300" t="s">
        <v>2525</v>
      </c>
      <c r="B300">
        <f>VALUE(RIGHT(A300,LEN(A300)-3))</f>
        <v>430</v>
      </c>
      <c r="C300">
        <v>1</v>
      </c>
      <c r="D300" t="s">
        <v>32</v>
      </c>
      <c r="E300" t="s">
        <v>2528</v>
      </c>
      <c r="F300" t="s">
        <v>30</v>
      </c>
      <c r="G300" t="s">
        <v>43</v>
      </c>
      <c r="H300" t="s">
        <v>2526</v>
      </c>
      <c r="I300" t="s">
        <v>123</v>
      </c>
      <c r="K300" t="s">
        <v>3634</v>
      </c>
      <c r="L300" t="s">
        <v>4000</v>
      </c>
      <c r="M300" t="s">
        <v>57</v>
      </c>
    </row>
    <row r="301" spans="1:13" x14ac:dyDescent="0.2">
      <c r="A301" t="s">
        <v>2573</v>
      </c>
      <c r="B301">
        <f>VALUE(RIGHT(A301,LEN(A301)-3))</f>
        <v>438</v>
      </c>
      <c r="C301">
        <v>3</v>
      </c>
      <c r="D301" t="s">
        <v>32</v>
      </c>
      <c r="E301" t="s">
        <v>2575</v>
      </c>
      <c r="F301" t="s">
        <v>503</v>
      </c>
      <c r="G301" t="s">
        <v>43</v>
      </c>
      <c r="H301" t="s">
        <v>2574</v>
      </c>
      <c r="I301" t="s">
        <v>123</v>
      </c>
      <c r="K301" t="s">
        <v>3634</v>
      </c>
      <c r="L301" t="s">
        <v>4014</v>
      </c>
      <c r="M301" t="s">
        <v>35</v>
      </c>
    </row>
    <row r="302" spans="1:13" x14ac:dyDescent="0.2">
      <c r="A302" t="s">
        <v>2583</v>
      </c>
      <c r="B302">
        <f>VALUE(RIGHT(A302,LEN(A302)-3))</f>
        <v>440</v>
      </c>
      <c r="C302">
        <v>1</v>
      </c>
      <c r="D302" t="s">
        <v>32</v>
      </c>
      <c r="E302" t="s">
        <v>2585</v>
      </c>
      <c r="F302" t="s">
        <v>30</v>
      </c>
      <c r="G302" t="s">
        <v>43</v>
      </c>
      <c r="H302" t="s">
        <v>2584</v>
      </c>
      <c r="I302" t="s">
        <v>123</v>
      </c>
      <c r="K302" t="s">
        <v>3634</v>
      </c>
      <c r="L302" t="s">
        <v>4016</v>
      </c>
      <c r="M302" t="s">
        <v>35</v>
      </c>
    </row>
    <row r="303" spans="1:13" x14ac:dyDescent="0.2">
      <c r="A303" t="s">
        <v>2593</v>
      </c>
      <c r="B303">
        <f>VALUE(RIGHT(A303,LEN(A303)-3))</f>
        <v>442</v>
      </c>
      <c r="C303">
        <v>3</v>
      </c>
      <c r="D303" t="s">
        <v>32</v>
      </c>
      <c r="E303" t="s">
        <v>2596</v>
      </c>
      <c r="F303" t="s">
        <v>30</v>
      </c>
      <c r="G303" t="s">
        <v>43</v>
      </c>
      <c r="H303" t="s">
        <v>2594</v>
      </c>
      <c r="I303" t="s">
        <v>123</v>
      </c>
      <c r="K303" t="s">
        <v>3634</v>
      </c>
      <c r="L303" t="s">
        <v>4022</v>
      </c>
      <c r="M303" t="s">
        <v>57</v>
      </c>
    </row>
    <row r="304" spans="1:13" x14ac:dyDescent="0.2">
      <c r="A304" t="s">
        <v>2600</v>
      </c>
      <c r="B304">
        <f>VALUE(RIGHT(A304,LEN(A304)-3))</f>
        <v>443</v>
      </c>
      <c r="C304">
        <v>1</v>
      </c>
      <c r="D304" t="s">
        <v>32</v>
      </c>
      <c r="E304" t="s">
        <v>559</v>
      </c>
      <c r="F304" t="s">
        <v>30</v>
      </c>
      <c r="G304" t="s">
        <v>83</v>
      </c>
      <c r="H304" t="s">
        <v>2601</v>
      </c>
      <c r="I304" t="s">
        <v>123</v>
      </c>
      <c r="K304" t="s">
        <v>3634</v>
      </c>
      <c r="L304" t="s">
        <v>4023</v>
      </c>
      <c r="M304" t="s">
        <v>57</v>
      </c>
    </row>
    <row r="305" spans="1:13" x14ac:dyDescent="0.2">
      <c r="A305" t="s">
        <v>2626</v>
      </c>
      <c r="B305">
        <f>VALUE(RIGHT(A305,LEN(A305)-3))</f>
        <v>448</v>
      </c>
      <c r="C305">
        <v>2</v>
      </c>
      <c r="D305" t="s">
        <v>32</v>
      </c>
      <c r="E305" t="s">
        <v>2628</v>
      </c>
      <c r="F305" t="s">
        <v>2305</v>
      </c>
      <c r="G305" t="s">
        <v>43</v>
      </c>
      <c r="H305" t="s">
        <v>2627</v>
      </c>
      <c r="I305" t="s">
        <v>123</v>
      </c>
      <c r="K305" t="s">
        <v>3634</v>
      </c>
      <c r="L305" t="s">
        <v>4027</v>
      </c>
      <c r="M305" t="s">
        <v>57</v>
      </c>
    </row>
    <row r="306" spans="1:13" x14ac:dyDescent="0.2">
      <c r="A306" t="s">
        <v>2776</v>
      </c>
      <c r="B306">
        <f>VALUE(RIGHT(A306,LEN(A306)-3))</f>
        <v>476</v>
      </c>
      <c r="C306">
        <v>2</v>
      </c>
      <c r="D306" t="s">
        <v>32</v>
      </c>
      <c r="E306" t="s">
        <v>2778</v>
      </c>
      <c r="F306" t="s">
        <v>30</v>
      </c>
      <c r="G306" t="s">
        <v>43</v>
      </c>
      <c r="H306" t="s">
        <v>2777</v>
      </c>
      <c r="I306" t="s">
        <v>123</v>
      </c>
      <c r="K306" t="s">
        <v>3634</v>
      </c>
      <c r="L306" t="s">
        <v>4044</v>
      </c>
      <c r="M306" t="s">
        <v>57</v>
      </c>
    </row>
    <row r="307" spans="1:13" x14ac:dyDescent="0.2">
      <c r="A307" t="s">
        <v>2787</v>
      </c>
      <c r="B307">
        <f>VALUE(RIGHT(A307,LEN(A307)-3))</f>
        <v>478</v>
      </c>
      <c r="C307">
        <v>3</v>
      </c>
      <c r="D307" t="s">
        <v>32</v>
      </c>
      <c r="E307" t="s">
        <v>2791</v>
      </c>
      <c r="F307" t="s">
        <v>503</v>
      </c>
      <c r="G307" t="s">
        <v>43</v>
      </c>
      <c r="H307" t="s">
        <v>2788</v>
      </c>
      <c r="I307" t="s">
        <v>123</v>
      </c>
      <c r="K307" t="s">
        <v>3634</v>
      </c>
      <c r="L307" t="s">
        <v>4051</v>
      </c>
      <c r="M307" t="s">
        <v>57</v>
      </c>
    </row>
    <row r="308" spans="1:13" x14ac:dyDescent="0.2">
      <c r="A308" t="s">
        <v>2801</v>
      </c>
      <c r="B308">
        <f>VALUE(RIGHT(A308,LEN(A308)-3))</f>
        <v>480</v>
      </c>
      <c r="C308">
        <v>1</v>
      </c>
      <c r="D308" t="s">
        <v>32</v>
      </c>
      <c r="E308" t="s">
        <v>2804</v>
      </c>
      <c r="F308" t="s">
        <v>30</v>
      </c>
      <c r="G308" t="s">
        <v>43</v>
      </c>
      <c r="H308" t="s">
        <v>2802</v>
      </c>
      <c r="I308" t="s">
        <v>123</v>
      </c>
      <c r="K308" t="s">
        <v>3634</v>
      </c>
      <c r="L308" t="s">
        <v>4053</v>
      </c>
      <c r="M308" t="s">
        <v>57</v>
      </c>
    </row>
    <row r="309" spans="1:13" x14ac:dyDescent="0.2">
      <c r="A309" t="s">
        <v>2829</v>
      </c>
      <c r="B309">
        <f>VALUE(RIGHT(A309,LEN(A309)-3))</f>
        <v>485</v>
      </c>
      <c r="C309">
        <v>3</v>
      </c>
      <c r="D309" t="s">
        <v>32</v>
      </c>
      <c r="E309" t="s">
        <v>2832</v>
      </c>
      <c r="F309" t="s">
        <v>503</v>
      </c>
      <c r="G309" t="s">
        <v>43</v>
      </c>
      <c r="H309" t="s">
        <v>2830</v>
      </c>
      <c r="I309" t="s">
        <v>123</v>
      </c>
      <c r="K309" t="s">
        <v>3634</v>
      </c>
      <c r="L309" t="s">
        <v>4057</v>
      </c>
      <c r="M309" t="s">
        <v>57</v>
      </c>
    </row>
    <row r="310" spans="1:13" x14ac:dyDescent="0.2">
      <c r="A310" t="s">
        <v>2836</v>
      </c>
      <c r="B310">
        <f>VALUE(RIGHT(A310,LEN(A310)-3))</f>
        <v>486</v>
      </c>
      <c r="C310">
        <v>1</v>
      </c>
      <c r="D310" t="s">
        <v>32</v>
      </c>
      <c r="E310" t="s">
        <v>2839</v>
      </c>
      <c r="F310" t="s">
        <v>503</v>
      </c>
      <c r="G310" t="s">
        <v>43</v>
      </c>
      <c r="H310" t="s">
        <v>2837</v>
      </c>
      <c r="I310" t="s">
        <v>123</v>
      </c>
      <c r="K310" t="s">
        <v>3634</v>
      </c>
      <c r="L310" t="s">
        <v>4058</v>
      </c>
      <c r="M310" t="s">
        <v>35</v>
      </c>
    </row>
    <row r="311" spans="1:13" x14ac:dyDescent="0.2">
      <c r="A311" t="s">
        <v>2855</v>
      </c>
      <c r="B311">
        <f>VALUE(RIGHT(A311,LEN(A311)-3))</f>
        <v>490</v>
      </c>
      <c r="C311">
        <v>2</v>
      </c>
      <c r="D311" t="s">
        <v>32</v>
      </c>
      <c r="E311" t="s">
        <v>2857</v>
      </c>
      <c r="F311" t="s">
        <v>503</v>
      </c>
      <c r="G311" t="s">
        <v>43</v>
      </c>
      <c r="H311" t="s">
        <v>2848</v>
      </c>
      <c r="I311" t="s">
        <v>123</v>
      </c>
      <c r="K311" t="s">
        <v>3634</v>
      </c>
      <c r="L311" t="s">
        <v>4060</v>
      </c>
      <c r="M311" t="s">
        <v>57</v>
      </c>
    </row>
    <row r="312" spans="1:13" x14ac:dyDescent="0.2">
      <c r="A312" t="s">
        <v>2873</v>
      </c>
      <c r="B312">
        <f>VALUE(RIGHT(A312,LEN(A312)-3))</f>
        <v>494</v>
      </c>
      <c r="C312">
        <v>1</v>
      </c>
      <c r="D312" t="s">
        <v>32</v>
      </c>
      <c r="E312" t="s">
        <v>2876</v>
      </c>
      <c r="F312" t="s">
        <v>30</v>
      </c>
      <c r="G312" t="s">
        <v>83</v>
      </c>
      <c r="H312" t="s">
        <v>2874</v>
      </c>
      <c r="I312" t="s">
        <v>123</v>
      </c>
      <c r="K312" t="s">
        <v>3634</v>
      </c>
      <c r="L312" t="s">
        <v>4061</v>
      </c>
      <c r="M312" t="s">
        <v>57</v>
      </c>
    </row>
    <row r="313" spans="1:13" x14ac:dyDescent="0.2">
      <c r="A313" t="s">
        <v>2879</v>
      </c>
      <c r="B313">
        <f>VALUE(RIGHT(A313,LEN(A313)-3))</f>
        <v>495</v>
      </c>
      <c r="C313">
        <v>3</v>
      </c>
      <c r="D313" t="s">
        <v>32</v>
      </c>
      <c r="E313" t="s">
        <v>2881</v>
      </c>
      <c r="F313" t="s">
        <v>503</v>
      </c>
      <c r="G313" t="s">
        <v>43</v>
      </c>
      <c r="H313" t="s">
        <v>2880</v>
      </c>
      <c r="I313" t="s">
        <v>123</v>
      </c>
      <c r="K313" t="s">
        <v>3634</v>
      </c>
      <c r="L313" t="s">
        <v>4064</v>
      </c>
      <c r="M313" t="s">
        <v>35</v>
      </c>
    </row>
    <row r="314" spans="1:13" x14ac:dyDescent="0.2">
      <c r="A314" t="s">
        <v>2886</v>
      </c>
      <c r="B314">
        <f>VALUE(RIGHT(A314,LEN(A314)-3))</f>
        <v>496</v>
      </c>
      <c r="C314">
        <v>1</v>
      </c>
      <c r="D314" t="s">
        <v>32</v>
      </c>
      <c r="E314" t="s">
        <v>2888</v>
      </c>
      <c r="F314" t="s">
        <v>503</v>
      </c>
      <c r="G314" t="s">
        <v>43</v>
      </c>
      <c r="H314" t="s">
        <v>2887</v>
      </c>
      <c r="I314" t="s">
        <v>123</v>
      </c>
      <c r="K314" t="s">
        <v>3634</v>
      </c>
      <c r="L314" t="s">
        <v>4065</v>
      </c>
      <c r="M314" t="s">
        <v>57</v>
      </c>
    </row>
    <row r="315" spans="1:13" x14ac:dyDescent="0.2">
      <c r="A315" t="s">
        <v>2886</v>
      </c>
      <c r="B315">
        <f>VALUE(RIGHT(A315,LEN(A315)-3))</f>
        <v>496</v>
      </c>
      <c r="C315">
        <v>2</v>
      </c>
      <c r="D315" t="s">
        <v>32</v>
      </c>
      <c r="E315" t="s">
        <v>2888</v>
      </c>
      <c r="F315" t="s">
        <v>503</v>
      </c>
      <c r="G315" t="s">
        <v>43</v>
      </c>
      <c r="H315" t="s">
        <v>2887</v>
      </c>
      <c r="I315" t="s">
        <v>123</v>
      </c>
      <c r="K315" t="s">
        <v>3634</v>
      </c>
      <c r="L315" t="s">
        <v>4066</v>
      </c>
      <c r="M315" t="s">
        <v>57</v>
      </c>
    </row>
    <row r="316" spans="1:13" x14ac:dyDescent="0.2">
      <c r="A316" t="s">
        <v>2891</v>
      </c>
      <c r="B316">
        <f>VALUE(RIGHT(A316,LEN(A316)-3))</f>
        <v>497</v>
      </c>
      <c r="C316">
        <v>1</v>
      </c>
      <c r="D316" t="s">
        <v>32</v>
      </c>
      <c r="E316" t="s">
        <v>2894</v>
      </c>
      <c r="F316" t="s">
        <v>503</v>
      </c>
      <c r="G316" t="s">
        <v>43</v>
      </c>
      <c r="H316" t="s">
        <v>2892</v>
      </c>
      <c r="I316" t="s">
        <v>123</v>
      </c>
      <c r="K316" t="s">
        <v>3634</v>
      </c>
      <c r="L316" t="s">
        <v>4069</v>
      </c>
      <c r="M316" t="s">
        <v>35</v>
      </c>
    </row>
    <row r="317" spans="1:13" x14ac:dyDescent="0.2">
      <c r="A317" t="s">
        <v>3035</v>
      </c>
      <c r="B317">
        <f>VALUE(RIGHT(A317,LEN(A317)-3))</f>
        <v>524</v>
      </c>
      <c r="C317">
        <v>1</v>
      </c>
      <c r="D317" t="s">
        <v>32</v>
      </c>
      <c r="E317" t="s">
        <v>3038</v>
      </c>
      <c r="F317" t="s">
        <v>503</v>
      </c>
      <c r="G317" t="s">
        <v>43</v>
      </c>
      <c r="H317" t="s">
        <v>3036</v>
      </c>
      <c r="I317" t="s">
        <v>123</v>
      </c>
      <c r="K317" t="s">
        <v>3634</v>
      </c>
      <c r="L317" t="s">
        <v>4094</v>
      </c>
      <c r="M317" t="s">
        <v>57</v>
      </c>
    </row>
    <row r="318" spans="1:13" x14ac:dyDescent="0.2">
      <c r="A318" t="s">
        <v>3042</v>
      </c>
      <c r="B318">
        <f>VALUE(RIGHT(A318,LEN(A318)-3))</f>
        <v>525</v>
      </c>
      <c r="C318">
        <v>1</v>
      </c>
      <c r="D318" t="s">
        <v>32</v>
      </c>
      <c r="E318" t="s">
        <v>3046</v>
      </c>
      <c r="F318" t="s">
        <v>602</v>
      </c>
      <c r="G318" t="s">
        <v>43</v>
      </c>
      <c r="H318" t="s">
        <v>3043</v>
      </c>
      <c r="I318" t="s">
        <v>123</v>
      </c>
      <c r="K318" t="s">
        <v>3634</v>
      </c>
      <c r="L318" t="s">
        <v>4095</v>
      </c>
      <c r="M318" t="s">
        <v>57</v>
      </c>
    </row>
    <row r="319" spans="1:13" x14ac:dyDescent="0.2">
      <c r="A319" t="s">
        <v>3065</v>
      </c>
      <c r="B319">
        <f>VALUE(RIGHT(A319,LEN(A319)-3))</f>
        <v>529</v>
      </c>
      <c r="C319">
        <v>3</v>
      </c>
      <c r="D319" t="s">
        <v>32</v>
      </c>
      <c r="E319" t="s">
        <v>3067</v>
      </c>
      <c r="F319" t="s">
        <v>30</v>
      </c>
      <c r="G319" t="s">
        <v>43</v>
      </c>
      <c r="H319" t="s">
        <v>3066</v>
      </c>
      <c r="I319" t="s">
        <v>123</v>
      </c>
      <c r="K319" t="s">
        <v>3634</v>
      </c>
      <c r="L319" t="s">
        <v>4100</v>
      </c>
      <c r="M319" t="s">
        <v>57</v>
      </c>
    </row>
    <row r="320" spans="1:13" x14ac:dyDescent="0.2">
      <c r="A320" t="s">
        <v>184</v>
      </c>
      <c r="B320">
        <f>VALUE(RIGHT(A320,LEN(A320)-3))</f>
        <v>20</v>
      </c>
      <c r="C320">
        <v>1</v>
      </c>
      <c r="D320" t="s">
        <v>32</v>
      </c>
      <c r="E320" t="s">
        <v>186</v>
      </c>
      <c r="F320" t="s">
        <v>30</v>
      </c>
      <c r="G320" t="s">
        <v>83</v>
      </c>
      <c r="H320" t="s">
        <v>185</v>
      </c>
      <c r="I320" t="s">
        <v>123</v>
      </c>
      <c r="K320" t="s">
        <v>3643</v>
      </c>
      <c r="L320" t="s">
        <v>3644</v>
      </c>
      <c r="M320" t="s">
        <v>57</v>
      </c>
    </row>
    <row r="321" spans="1:13" x14ac:dyDescent="0.2">
      <c r="A321" t="s">
        <v>310</v>
      </c>
      <c r="B321">
        <f>VALUE(RIGHT(A321,LEN(A321)-3))</f>
        <v>40</v>
      </c>
      <c r="C321">
        <v>2</v>
      </c>
      <c r="D321" t="s">
        <v>32</v>
      </c>
      <c r="E321" t="s">
        <v>312</v>
      </c>
      <c r="F321" t="s">
        <v>30</v>
      </c>
      <c r="G321" t="s">
        <v>43</v>
      </c>
      <c r="H321" t="s">
        <v>311</v>
      </c>
      <c r="I321" t="s">
        <v>123</v>
      </c>
      <c r="K321" t="s">
        <v>3643</v>
      </c>
      <c r="L321" t="s">
        <v>3669</v>
      </c>
      <c r="M321" t="s">
        <v>57</v>
      </c>
    </row>
    <row r="322" spans="1:13" x14ac:dyDescent="0.2">
      <c r="A322" t="s">
        <v>378</v>
      </c>
      <c r="B322">
        <f>VALUE(RIGHT(A322,LEN(A322)-3))</f>
        <v>50</v>
      </c>
      <c r="C322">
        <v>1</v>
      </c>
      <c r="D322" t="s">
        <v>32</v>
      </c>
      <c r="E322" t="s">
        <v>380</v>
      </c>
      <c r="F322" t="s">
        <v>30</v>
      </c>
      <c r="G322" t="s">
        <v>43</v>
      </c>
      <c r="H322" t="s">
        <v>379</v>
      </c>
      <c r="I322" t="s">
        <v>123</v>
      </c>
      <c r="K322" t="s">
        <v>3643</v>
      </c>
      <c r="L322" t="s">
        <v>3681</v>
      </c>
      <c r="M322" t="s">
        <v>35</v>
      </c>
    </row>
    <row r="323" spans="1:13" x14ac:dyDescent="0.2">
      <c r="A323" t="s">
        <v>930</v>
      </c>
      <c r="B323">
        <f>VALUE(RIGHT(A323,LEN(A323)-3))</f>
        <v>142</v>
      </c>
      <c r="C323">
        <v>1</v>
      </c>
      <c r="D323" t="s">
        <v>32</v>
      </c>
      <c r="E323" t="s">
        <v>932</v>
      </c>
      <c r="F323" t="s">
        <v>602</v>
      </c>
      <c r="G323" t="s">
        <v>43</v>
      </c>
      <c r="H323" t="s">
        <v>931</v>
      </c>
      <c r="I323" t="s">
        <v>123</v>
      </c>
      <c r="K323" t="s">
        <v>3643</v>
      </c>
      <c r="L323" t="s">
        <v>3765</v>
      </c>
      <c r="M323" t="s">
        <v>35</v>
      </c>
    </row>
    <row r="324" spans="1:13" x14ac:dyDescent="0.2">
      <c r="A324" t="s">
        <v>1208</v>
      </c>
      <c r="B324">
        <f>VALUE(RIGHT(A324,LEN(A324)-3))</f>
        <v>191</v>
      </c>
      <c r="C324">
        <v>4</v>
      </c>
      <c r="D324" t="s">
        <v>32</v>
      </c>
      <c r="E324" t="s">
        <v>1211</v>
      </c>
      <c r="F324" t="s">
        <v>503</v>
      </c>
      <c r="G324" t="s">
        <v>43</v>
      </c>
      <c r="H324" t="s">
        <v>1209</v>
      </c>
      <c r="I324" t="s">
        <v>123</v>
      </c>
      <c r="K324" t="s">
        <v>3643</v>
      </c>
      <c r="L324" t="s">
        <v>3797</v>
      </c>
      <c r="M324" t="s">
        <v>35</v>
      </c>
    </row>
    <row r="325" spans="1:13" x14ac:dyDescent="0.2">
      <c r="A325" t="s">
        <v>2620</v>
      </c>
      <c r="B325">
        <f>VALUE(RIGHT(A325,LEN(A325)-3))</f>
        <v>447</v>
      </c>
      <c r="C325">
        <v>2</v>
      </c>
      <c r="D325" t="s">
        <v>32</v>
      </c>
      <c r="E325" t="s">
        <v>2623</v>
      </c>
      <c r="F325" t="s">
        <v>503</v>
      </c>
      <c r="G325" t="s">
        <v>43</v>
      </c>
      <c r="H325" t="s">
        <v>2621</v>
      </c>
      <c r="I325" t="s">
        <v>123</v>
      </c>
      <c r="K325" t="s">
        <v>3643</v>
      </c>
      <c r="L325" t="s">
        <v>4025</v>
      </c>
      <c r="M325" t="s">
        <v>57</v>
      </c>
    </row>
    <row r="326" spans="1:13" x14ac:dyDescent="0.2">
      <c r="A326" t="s">
        <v>3092</v>
      </c>
      <c r="B326">
        <f>VALUE(RIGHT(A326,LEN(A326)-3))</f>
        <v>534</v>
      </c>
      <c r="C326">
        <v>1</v>
      </c>
      <c r="D326" t="s">
        <v>32</v>
      </c>
      <c r="E326" t="s">
        <v>3094</v>
      </c>
      <c r="F326" t="s">
        <v>30</v>
      </c>
      <c r="G326" t="s">
        <v>83</v>
      </c>
      <c r="H326" t="s">
        <v>3093</v>
      </c>
      <c r="I326" t="s">
        <v>123</v>
      </c>
      <c r="K326" t="s">
        <v>3643</v>
      </c>
      <c r="L326" t="s">
        <v>4104</v>
      </c>
      <c r="M326" t="s">
        <v>35</v>
      </c>
    </row>
    <row r="327" spans="1:13" x14ac:dyDescent="0.2">
      <c r="A327" t="s">
        <v>237</v>
      </c>
      <c r="B327">
        <f>VALUE(RIGHT(A327,LEN(A327)-3))</f>
        <v>28</v>
      </c>
      <c r="C327">
        <v>1</v>
      </c>
      <c r="D327" t="s">
        <v>32</v>
      </c>
      <c r="E327" t="s">
        <v>239</v>
      </c>
      <c r="F327" t="s">
        <v>30</v>
      </c>
      <c r="G327" t="s">
        <v>43</v>
      </c>
      <c r="H327" t="s">
        <v>238</v>
      </c>
      <c r="I327" t="s">
        <v>123</v>
      </c>
      <c r="K327" t="s">
        <v>3655</v>
      </c>
      <c r="L327" t="s">
        <v>3656</v>
      </c>
      <c r="M327" t="s">
        <v>57</v>
      </c>
    </row>
    <row r="328" spans="1:13" x14ac:dyDescent="0.2">
      <c r="A328" t="s">
        <v>250</v>
      </c>
      <c r="B328">
        <f>VALUE(RIGHT(A328,LEN(A328)-3))</f>
        <v>30</v>
      </c>
      <c r="C328">
        <v>1</v>
      </c>
      <c r="D328" t="s">
        <v>32</v>
      </c>
      <c r="E328" t="s">
        <v>136</v>
      </c>
      <c r="F328" t="s">
        <v>30</v>
      </c>
      <c r="G328" t="s">
        <v>29</v>
      </c>
      <c r="H328" t="s">
        <v>251</v>
      </c>
      <c r="I328" t="s">
        <v>123</v>
      </c>
      <c r="K328" t="s">
        <v>3655</v>
      </c>
      <c r="L328" t="s">
        <v>3659</v>
      </c>
      <c r="M328" t="s">
        <v>35</v>
      </c>
    </row>
    <row r="329" spans="1:13" x14ac:dyDescent="0.2">
      <c r="A329" t="s">
        <v>280</v>
      </c>
      <c r="B329">
        <f>VALUE(RIGHT(A329,LEN(A329)-3))</f>
        <v>35</v>
      </c>
      <c r="C329">
        <v>1</v>
      </c>
      <c r="D329" t="s">
        <v>32</v>
      </c>
      <c r="E329" t="s">
        <v>282</v>
      </c>
      <c r="F329" t="s">
        <v>30</v>
      </c>
      <c r="G329" t="s">
        <v>83</v>
      </c>
      <c r="H329" t="s">
        <v>281</v>
      </c>
      <c r="I329" t="s">
        <v>123</v>
      </c>
      <c r="K329" t="s">
        <v>3655</v>
      </c>
      <c r="L329" t="s">
        <v>3664</v>
      </c>
      <c r="M329" t="s">
        <v>57</v>
      </c>
    </row>
    <row r="330" spans="1:13" x14ac:dyDescent="0.2">
      <c r="A330" t="s">
        <v>421</v>
      </c>
      <c r="B330">
        <f>VALUE(RIGHT(A330,LEN(A330)-3))</f>
        <v>57</v>
      </c>
      <c r="C330">
        <v>2</v>
      </c>
      <c r="D330" t="s">
        <v>32</v>
      </c>
      <c r="E330" t="s">
        <v>424</v>
      </c>
      <c r="F330" t="s">
        <v>30</v>
      </c>
      <c r="G330" t="s">
        <v>43</v>
      </c>
      <c r="H330" t="s">
        <v>422</v>
      </c>
      <c r="I330" t="s">
        <v>123</v>
      </c>
      <c r="K330" t="s">
        <v>3655</v>
      </c>
      <c r="L330" t="s">
        <v>3693</v>
      </c>
      <c r="M330" t="s">
        <v>57</v>
      </c>
    </row>
    <row r="331" spans="1:13" x14ac:dyDescent="0.2">
      <c r="A331" t="s">
        <v>1993</v>
      </c>
      <c r="B331">
        <f>VALUE(RIGHT(A331,LEN(A331)-3))</f>
        <v>337</v>
      </c>
      <c r="C331">
        <v>2</v>
      </c>
      <c r="D331" t="s">
        <v>32</v>
      </c>
      <c r="E331" t="s">
        <v>1996</v>
      </c>
      <c r="F331" t="s">
        <v>602</v>
      </c>
      <c r="G331" t="s">
        <v>43</v>
      </c>
      <c r="H331" t="s">
        <v>1994</v>
      </c>
      <c r="I331" t="s">
        <v>123</v>
      </c>
      <c r="K331" t="s">
        <v>3655</v>
      </c>
      <c r="L331" t="s">
        <v>3917</v>
      </c>
      <c r="M331" t="s">
        <v>57</v>
      </c>
    </row>
    <row r="332" spans="1:13" x14ac:dyDescent="0.2">
      <c r="A332" t="s">
        <v>2052</v>
      </c>
      <c r="B332">
        <f>VALUE(RIGHT(A332,LEN(A332)-3))</f>
        <v>348</v>
      </c>
      <c r="C332">
        <v>1</v>
      </c>
      <c r="D332" t="s">
        <v>32</v>
      </c>
      <c r="E332" t="s">
        <v>2053</v>
      </c>
      <c r="F332" t="s">
        <v>503</v>
      </c>
      <c r="G332" t="s">
        <v>43</v>
      </c>
      <c r="H332" t="s">
        <v>2049</v>
      </c>
      <c r="I332" t="s">
        <v>123</v>
      </c>
      <c r="K332" t="s">
        <v>3655</v>
      </c>
      <c r="L332" t="s">
        <v>3926</v>
      </c>
      <c r="M332" t="s">
        <v>35</v>
      </c>
    </row>
    <row r="333" spans="1:13" x14ac:dyDescent="0.2">
      <c r="A333" t="s">
        <v>2370</v>
      </c>
      <c r="B333">
        <f>VALUE(RIGHT(A333,LEN(A333)-3))</f>
        <v>402</v>
      </c>
      <c r="C333">
        <v>2</v>
      </c>
      <c r="D333" t="s">
        <v>32</v>
      </c>
      <c r="E333" t="s">
        <v>2372</v>
      </c>
      <c r="F333" t="s">
        <v>30</v>
      </c>
      <c r="G333" t="s">
        <v>54</v>
      </c>
      <c r="H333" t="s">
        <v>2371</v>
      </c>
      <c r="I333" t="s">
        <v>123</v>
      </c>
      <c r="K333" t="s">
        <v>3655</v>
      </c>
      <c r="L333" t="s">
        <v>3975</v>
      </c>
      <c r="M333" t="s">
        <v>35</v>
      </c>
    </row>
    <row r="334" spans="1:13" x14ac:dyDescent="0.2">
      <c r="A334" t="s">
        <v>2429</v>
      </c>
      <c r="B334">
        <f>VALUE(RIGHT(A334,LEN(A334)-3))</f>
        <v>412</v>
      </c>
      <c r="C334">
        <v>2</v>
      </c>
      <c r="D334" t="s">
        <v>32</v>
      </c>
      <c r="E334" t="s">
        <v>2431</v>
      </c>
      <c r="F334" t="s">
        <v>30</v>
      </c>
      <c r="G334" t="s">
        <v>43</v>
      </c>
      <c r="H334" t="s">
        <v>2430</v>
      </c>
      <c r="I334" t="s">
        <v>123</v>
      </c>
      <c r="K334" t="s">
        <v>3655</v>
      </c>
      <c r="L334" t="s">
        <v>3990</v>
      </c>
      <c r="M334" t="s">
        <v>57</v>
      </c>
    </row>
    <row r="335" spans="1:13" x14ac:dyDescent="0.2">
      <c r="A335" t="s">
        <v>2980</v>
      </c>
      <c r="B335">
        <f>VALUE(RIGHT(A335,LEN(A335)-3))</f>
        <v>513</v>
      </c>
      <c r="C335">
        <v>1</v>
      </c>
      <c r="D335" t="s">
        <v>32</v>
      </c>
      <c r="E335" t="s">
        <v>2982</v>
      </c>
      <c r="F335" t="s">
        <v>30</v>
      </c>
      <c r="G335" t="s">
        <v>29</v>
      </c>
      <c r="H335" t="s">
        <v>2981</v>
      </c>
      <c r="I335" t="s">
        <v>123</v>
      </c>
      <c r="K335" t="s">
        <v>3655</v>
      </c>
      <c r="L335" t="s">
        <v>4084</v>
      </c>
      <c r="M335" t="s">
        <v>35</v>
      </c>
    </row>
    <row r="336" spans="1:13" x14ac:dyDescent="0.2">
      <c r="A336" t="s">
        <v>2980</v>
      </c>
      <c r="B336">
        <f>VALUE(RIGHT(A336,LEN(A336)-3))</f>
        <v>513</v>
      </c>
      <c r="C336">
        <v>3</v>
      </c>
      <c r="D336" t="s">
        <v>32</v>
      </c>
      <c r="E336" t="s">
        <v>2982</v>
      </c>
      <c r="F336" t="s">
        <v>30</v>
      </c>
      <c r="G336" t="s">
        <v>29</v>
      </c>
      <c r="H336" t="s">
        <v>2981</v>
      </c>
      <c r="I336" t="s">
        <v>123</v>
      </c>
      <c r="K336" t="s">
        <v>3655</v>
      </c>
      <c r="L336" t="s">
        <v>4086</v>
      </c>
      <c r="M336" t="s">
        <v>57</v>
      </c>
    </row>
    <row r="337" spans="1:13" x14ac:dyDescent="0.2">
      <c r="A337" t="s">
        <v>3103</v>
      </c>
      <c r="B337">
        <f>VALUE(RIGHT(A337,LEN(A337)-3))</f>
        <v>536</v>
      </c>
      <c r="C337">
        <v>4</v>
      </c>
      <c r="D337" t="s">
        <v>32</v>
      </c>
      <c r="E337" t="s">
        <v>3104</v>
      </c>
      <c r="F337" t="s">
        <v>503</v>
      </c>
      <c r="G337" t="s">
        <v>83</v>
      </c>
      <c r="H337" t="s">
        <v>3099</v>
      </c>
      <c r="I337" t="s">
        <v>123</v>
      </c>
      <c r="K337" t="s">
        <v>3655</v>
      </c>
      <c r="L337" t="s">
        <v>4110</v>
      </c>
      <c r="M337" t="s">
        <v>35</v>
      </c>
    </row>
    <row r="338" spans="1:13" x14ac:dyDescent="0.2">
      <c r="A338" t="s">
        <v>1185</v>
      </c>
      <c r="B338">
        <f>VALUE(RIGHT(A338,LEN(A338)-3))</f>
        <v>187</v>
      </c>
      <c r="C338">
        <v>1</v>
      </c>
      <c r="D338" t="s">
        <v>32</v>
      </c>
      <c r="E338" t="s">
        <v>1188</v>
      </c>
      <c r="F338" t="s">
        <v>503</v>
      </c>
      <c r="G338" t="s">
        <v>43</v>
      </c>
      <c r="H338" t="s">
        <v>1186</v>
      </c>
      <c r="I338" t="s">
        <v>123</v>
      </c>
      <c r="K338" t="s">
        <v>4137</v>
      </c>
      <c r="L338" t="s">
        <v>3792</v>
      </c>
      <c r="M338" t="s">
        <v>57</v>
      </c>
    </row>
    <row r="339" spans="1:13" x14ac:dyDescent="0.2">
      <c r="A339" t="s">
        <v>1231</v>
      </c>
      <c r="B339">
        <f>VALUE(RIGHT(A339,LEN(A339)-3))</f>
        <v>195</v>
      </c>
      <c r="C339">
        <v>1</v>
      </c>
      <c r="D339" t="s">
        <v>32</v>
      </c>
      <c r="E339" t="s">
        <v>1233</v>
      </c>
      <c r="F339" t="s">
        <v>503</v>
      </c>
      <c r="G339" t="s">
        <v>43</v>
      </c>
      <c r="H339" t="s">
        <v>1232</v>
      </c>
      <c r="I339" t="s">
        <v>123</v>
      </c>
      <c r="K339" t="s">
        <v>4137</v>
      </c>
      <c r="L339" t="s">
        <v>3799</v>
      </c>
      <c r="M339" t="s">
        <v>57</v>
      </c>
    </row>
    <row r="340" spans="1:13" x14ac:dyDescent="0.2">
      <c r="A340" t="s">
        <v>1471</v>
      </c>
      <c r="B340">
        <f>VALUE(RIGHT(A340,LEN(A340)-3))</f>
        <v>239</v>
      </c>
      <c r="C340">
        <v>1</v>
      </c>
      <c r="D340" t="s">
        <v>32</v>
      </c>
      <c r="E340" t="s">
        <v>1472</v>
      </c>
      <c r="F340" t="s">
        <v>503</v>
      </c>
      <c r="G340" t="s">
        <v>43</v>
      </c>
      <c r="H340" t="s">
        <v>1467</v>
      </c>
      <c r="I340" t="s">
        <v>123</v>
      </c>
      <c r="K340" t="s">
        <v>4137</v>
      </c>
      <c r="L340" t="s">
        <v>3845</v>
      </c>
      <c r="M340" t="s">
        <v>57</v>
      </c>
    </row>
    <row r="341" spans="1:13" x14ac:dyDescent="0.2">
      <c r="A341" t="s">
        <v>1645</v>
      </c>
      <c r="B341">
        <f>VALUE(RIGHT(A341,LEN(A341)-3))</f>
        <v>273</v>
      </c>
      <c r="C341">
        <v>1</v>
      </c>
      <c r="D341" t="s">
        <v>32</v>
      </c>
      <c r="E341" t="s">
        <v>1648</v>
      </c>
      <c r="F341" t="s">
        <v>503</v>
      </c>
      <c r="G341" t="s">
        <v>43</v>
      </c>
      <c r="H341" t="s">
        <v>1646</v>
      </c>
      <c r="I341" t="s">
        <v>123</v>
      </c>
      <c r="K341" t="s">
        <v>4137</v>
      </c>
      <c r="L341" t="s">
        <v>3865</v>
      </c>
      <c r="M341" t="s">
        <v>57</v>
      </c>
    </row>
    <row r="342" spans="1:13" x14ac:dyDescent="0.2">
      <c r="A342" t="s">
        <v>1745</v>
      </c>
      <c r="B342">
        <f>VALUE(RIGHT(A342,LEN(A342)-3))</f>
        <v>291</v>
      </c>
      <c r="C342">
        <v>3</v>
      </c>
      <c r="D342" t="s">
        <v>32</v>
      </c>
      <c r="E342" t="s">
        <v>1748</v>
      </c>
      <c r="F342" t="s">
        <v>503</v>
      </c>
      <c r="G342" t="s">
        <v>43</v>
      </c>
      <c r="H342" t="s">
        <v>1746</v>
      </c>
      <c r="I342" t="s">
        <v>123</v>
      </c>
      <c r="K342" t="s">
        <v>4137</v>
      </c>
      <c r="L342" t="s">
        <v>3887</v>
      </c>
      <c r="M342" t="s">
        <v>57</v>
      </c>
    </row>
    <row r="343" spans="1:13" x14ac:dyDescent="0.2">
      <c r="A343" t="s">
        <v>1911</v>
      </c>
      <c r="B343">
        <f>VALUE(RIGHT(A343,LEN(A343)-3))</f>
        <v>322</v>
      </c>
      <c r="C343">
        <v>2</v>
      </c>
      <c r="D343" t="s">
        <v>32</v>
      </c>
      <c r="E343" t="s">
        <v>553</v>
      </c>
      <c r="F343" t="s">
        <v>503</v>
      </c>
      <c r="G343" t="s">
        <v>43</v>
      </c>
      <c r="H343" t="s">
        <v>1912</v>
      </c>
      <c r="I343" t="s">
        <v>123</v>
      </c>
      <c r="K343" t="s">
        <v>4137</v>
      </c>
      <c r="L343" t="s">
        <v>3906</v>
      </c>
      <c r="M343" t="s">
        <v>35</v>
      </c>
    </row>
    <row r="344" spans="1:13" x14ac:dyDescent="0.2">
      <c r="A344" t="s">
        <v>2313</v>
      </c>
      <c r="B344">
        <f>VALUE(RIGHT(A344,LEN(A344)-3))</f>
        <v>393</v>
      </c>
      <c r="C344">
        <v>2</v>
      </c>
      <c r="D344" t="s">
        <v>32</v>
      </c>
      <c r="E344" t="s">
        <v>1748</v>
      </c>
      <c r="F344" t="s">
        <v>503</v>
      </c>
      <c r="G344" t="s">
        <v>43</v>
      </c>
      <c r="H344" t="s">
        <v>2314</v>
      </c>
      <c r="I344" t="s">
        <v>123</v>
      </c>
      <c r="K344" t="s">
        <v>4137</v>
      </c>
      <c r="L344" t="s">
        <v>3960</v>
      </c>
      <c r="M344" t="s">
        <v>57</v>
      </c>
    </row>
    <row r="345" spans="1:13" x14ac:dyDescent="0.2">
      <c r="A345" t="s">
        <v>2538</v>
      </c>
      <c r="B345">
        <f>VALUE(RIGHT(A345,LEN(A345)-3))</f>
        <v>432</v>
      </c>
      <c r="C345">
        <v>1</v>
      </c>
      <c r="D345" t="s">
        <v>32</v>
      </c>
      <c r="E345" t="s">
        <v>1314</v>
      </c>
      <c r="F345" t="s">
        <v>602</v>
      </c>
      <c r="G345" t="s">
        <v>43</v>
      </c>
      <c r="H345" t="s">
        <v>2539</v>
      </c>
      <c r="I345" t="s">
        <v>123</v>
      </c>
      <c r="K345" t="s">
        <v>4137</v>
      </c>
      <c r="L345" t="s">
        <v>4004</v>
      </c>
      <c r="M345" t="s">
        <v>35</v>
      </c>
    </row>
    <row r="346" spans="1:13" x14ac:dyDescent="0.2">
      <c r="A346" t="s">
        <v>250</v>
      </c>
      <c r="B346">
        <f>VALUE(RIGHT(A346,LEN(A346)-3))</f>
        <v>30</v>
      </c>
      <c r="C346">
        <v>2</v>
      </c>
      <c r="D346" t="s">
        <v>32</v>
      </c>
      <c r="E346" t="s">
        <v>136</v>
      </c>
      <c r="F346" t="s">
        <v>30</v>
      </c>
      <c r="G346" t="s">
        <v>29</v>
      </c>
      <c r="H346" t="s">
        <v>251</v>
      </c>
      <c r="I346" t="s">
        <v>123</v>
      </c>
      <c r="K346" t="s">
        <v>3660</v>
      </c>
      <c r="L346" t="s">
        <v>3661</v>
      </c>
      <c r="M346" t="s">
        <v>35</v>
      </c>
    </row>
    <row r="347" spans="1:13" x14ac:dyDescent="0.2">
      <c r="A347" t="s">
        <v>323</v>
      </c>
      <c r="B347">
        <f>VALUE(RIGHT(A347,LEN(A347)-3))</f>
        <v>42</v>
      </c>
      <c r="C347">
        <v>1</v>
      </c>
      <c r="D347" t="s">
        <v>32</v>
      </c>
      <c r="E347" t="s">
        <v>325</v>
      </c>
      <c r="F347" t="s">
        <v>30</v>
      </c>
      <c r="G347" t="s">
        <v>29</v>
      </c>
      <c r="H347" t="s">
        <v>324</v>
      </c>
      <c r="I347" t="s">
        <v>123</v>
      </c>
      <c r="K347" t="s">
        <v>3660</v>
      </c>
      <c r="L347" t="s">
        <v>3672</v>
      </c>
      <c r="M347" t="s">
        <v>35</v>
      </c>
    </row>
    <row r="348" spans="1:13" x14ac:dyDescent="0.2">
      <c r="A348" t="s">
        <v>395</v>
      </c>
      <c r="B348">
        <f>VALUE(RIGHT(A348,LEN(A348)-3))</f>
        <v>53</v>
      </c>
      <c r="C348">
        <v>1</v>
      </c>
      <c r="D348" t="s">
        <v>32</v>
      </c>
      <c r="E348" t="s">
        <v>397</v>
      </c>
      <c r="F348" t="s">
        <v>30</v>
      </c>
      <c r="G348" t="s">
        <v>43</v>
      </c>
      <c r="H348" t="s">
        <v>396</v>
      </c>
      <c r="I348" t="s">
        <v>123</v>
      </c>
      <c r="K348" t="s">
        <v>3660</v>
      </c>
      <c r="L348" t="s">
        <v>3686</v>
      </c>
      <c r="M348" t="s">
        <v>57</v>
      </c>
    </row>
    <row r="349" spans="1:13" x14ac:dyDescent="0.2">
      <c r="A349" t="s">
        <v>2052</v>
      </c>
      <c r="B349">
        <f>VALUE(RIGHT(A349,LEN(A349)-3))</f>
        <v>348</v>
      </c>
      <c r="C349">
        <v>2</v>
      </c>
      <c r="D349" t="s">
        <v>32</v>
      </c>
      <c r="E349" t="s">
        <v>2053</v>
      </c>
      <c r="F349" t="s">
        <v>503</v>
      </c>
      <c r="G349" t="s">
        <v>43</v>
      </c>
      <c r="H349" t="s">
        <v>2049</v>
      </c>
      <c r="I349" t="s">
        <v>123</v>
      </c>
      <c r="K349" t="s">
        <v>3660</v>
      </c>
      <c r="L349" t="s">
        <v>3927</v>
      </c>
      <c r="M349" t="s">
        <v>35</v>
      </c>
    </row>
    <row r="350" spans="1:13" x14ac:dyDescent="0.2">
      <c r="A350" t="s">
        <v>2349</v>
      </c>
      <c r="B350">
        <f>VALUE(RIGHT(A350,LEN(A350)-3))</f>
        <v>399</v>
      </c>
      <c r="C350">
        <v>2</v>
      </c>
      <c r="D350" t="s">
        <v>32</v>
      </c>
      <c r="E350" t="s">
        <v>2352</v>
      </c>
      <c r="F350" t="s">
        <v>30</v>
      </c>
      <c r="G350" t="s">
        <v>43</v>
      </c>
      <c r="H350" t="s">
        <v>2350</v>
      </c>
      <c r="I350" t="s">
        <v>123</v>
      </c>
      <c r="K350" t="s">
        <v>3660</v>
      </c>
      <c r="L350" t="s">
        <v>3969</v>
      </c>
      <c r="M350" t="s">
        <v>35</v>
      </c>
    </row>
    <row r="351" spans="1:13" x14ac:dyDescent="0.2">
      <c r="A351" t="s">
        <v>2370</v>
      </c>
      <c r="B351">
        <f>VALUE(RIGHT(A351,LEN(A351)-3))</f>
        <v>402</v>
      </c>
      <c r="C351">
        <v>3</v>
      </c>
      <c r="D351" t="s">
        <v>32</v>
      </c>
      <c r="E351" t="s">
        <v>2372</v>
      </c>
      <c r="F351" t="s">
        <v>30</v>
      </c>
      <c r="G351" t="s">
        <v>54</v>
      </c>
      <c r="H351" t="s">
        <v>2371</v>
      </c>
      <c r="I351" t="s">
        <v>123</v>
      </c>
      <c r="K351" t="s">
        <v>3660</v>
      </c>
      <c r="L351" t="s">
        <v>3976</v>
      </c>
      <c r="M351" t="s">
        <v>35</v>
      </c>
    </row>
    <row r="352" spans="1:13" x14ac:dyDescent="0.2">
      <c r="A352" t="s">
        <v>2980</v>
      </c>
      <c r="B352">
        <f>VALUE(RIGHT(A352,LEN(A352)-3))</f>
        <v>513</v>
      </c>
      <c r="C352">
        <v>2</v>
      </c>
      <c r="D352" t="s">
        <v>32</v>
      </c>
      <c r="E352" t="s">
        <v>2982</v>
      </c>
      <c r="F352" t="s">
        <v>30</v>
      </c>
      <c r="G352" t="s">
        <v>29</v>
      </c>
      <c r="H352" t="s">
        <v>2981</v>
      </c>
      <c r="I352" t="s">
        <v>123</v>
      </c>
      <c r="K352" t="s">
        <v>3660</v>
      </c>
      <c r="L352" t="s">
        <v>4085</v>
      </c>
      <c r="M352" t="s">
        <v>35</v>
      </c>
    </row>
    <row r="353" spans="1:13" x14ac:dyDescent="0.2">
      <c r="A353" t="s">
        <v>2980</v>
      </c>
      <c r="B353">
        <f>VALUE(RIGHT(A353,LEN(A353)-3))</f>
        <v>513</v>
      </c>
      <c r="C353">
        <v>4</v>
      </c>
      <c r="D353" t="s">
        <v>32</v>
      </c>
      <c r="E353" t="s">
        <v>2982</v>
      </c>
      <c r="F353" t="s">
        <v>30</v>
      </c>
      <c r="G353" t="s">
        <v>29</v>
      </c>
      <c r="H353" t="s">
        <v>2981</v>
      </c>
      <c r="I353" t="s">
        <v>123</v>
      </c>
      <c r="K353" t="s">
        <v>3660</v>
      </c>
      <c r="L353" t="s">
        <v>4087</v>
      </c>
      <c r="M353" t="s">
        <v>57</v>
      </c>
    </row>
    <row r="354" spans="1:13" x14ac:dyDescent="0.2">
      <c r="A354" t="s">
        <v>408</v>
      </c>
      <c r="B354">
        <f>VALUE(RIGHT(A354,LEN(A354)-3))</f>
        <v>55</v>
      </c>
      <c r="C354">
        <v>1</v>
      </c>
      <c r="D354" t="s">
        <v>32</v>
      </c>
      <c r="E354" t="s">
        <v>411</v>
      </c>
      <c r="F354" t="s">
        <v>30</v>
      </c>
      <c r="G354" t="s">
        <v>43</v>
      </c>
      <c r="H354" t="s">
        <v>409</v>
      </c>
      <c r="I354" t="s">
        <v>123</v>
      </c>
      <c r="K354" t="s">
        <v>4158</v>
      </c>
      <c r="L354" t="s">
        <v>3688</v>
      </c>
      <c r="M354" t="s">
        <v>57</v>
      </c>
    </row>
    <row r="355" spans="1:13" x14ac:dyDescent="0.2">
      <c r="A355" t="s">
        <v>408</v>
      </c>
      <c r="B355">
        <f>VALUE(RIGHT(A355,LEN(A355)-3))</f>
        <v>55</v>
      </c>
      <c r="C355">
        <v>2</v>
      </c>
      <c r="D355" t="s">
        <v>32</v>
      </c>
      <c r="E355" t="s">
        <v>411</v>
      </c>
      <c r="F355" t="s">
        <v>30</v>
      </c>
      <c r="G355" t="s">
        <v>43</v>
      </c>
      <c r="H355" t="s">
        <v>409</v>
      </c>
      <c r="I355" t="s">
        <v>123</v>
      </c>
      <c r="K355" t="s">
        <v>4158</v>
      </c>
      <c r="L355" t="s">
        <v>3689</v>
      </c>
      <c r="M355" t="s">
        <v>35</v>
      </c>
    </row>
    <row r="356" spans="1:13" x14ac:dyDescent="0.2">
      <c r="A356" t="s">
        <v>2130</v>
      </c>
      <c r="B356">
        <f>VALUE(RIGHT(A356,LEN(A356)-3))</f>
        <v>362</v>
      </c>
      <c r="C356">
        <v>1</v>
      </c>
      <c r="D356" t="s">
        <v>32</v>
      </c>
      <c r="E356" t="s">
        <v>2133</v>
      </c>
      <c r="F356" t="s">
        <v>30</v>
      </c>
      <c r="G356" t="s">
        <v>54</v>
      </c>
      <c r="H356" t="s">
        <v>2131</v>
      </c>
      <c r="I356" t="s">
        <v>123</v>
      </c>
      <c r="K356" t="s">
        <v>4158</v>
      </c>
      <c r="L356" t="s">
        <v>3935</v>
      </c>
      <c r="M356" t="s">
        <v>35</v>
      </c>
    </row>
    <row r="357" spans="1:13" x14ac:dyDescent="0.2">
      <c r="A357" t="s">
        <v>2824</v>
      </c>
      <c r="B357">
        <f>VALUE(RIGHT(A357,LEN(A357)-3))</f>
        <v>484</v>
      </c>
      <c r="C357">
        <v>1</v>
      </c>
      <c r="D357" t="s">
        <v>32</v>
      </c>
      <c r="E357" t="s">
        <v>2826</v>
      </c>
      <c r="F357" t="s">
        <v>30</v>
      </c>
      <c r="G357" t="s">
        <v>43</v>
      </c>
      <c r="H357" t="s">
        <v>2825</v>
      </c>
      <c r="I357" t="s">
        <v>123</v>
      </c>
      <c r="K357" t="s">
        <v>4158</v>
      </c>
      <c r="L357" t="s">
        <v>4054</v>
      </c>
      <c r="M357" t="s">
        <v>35</v>
      </c>
    </row>
    <row r="358" spans="1:13" x14ac:dyDescent="0.2">
      <c r="A358" t="s">
        <v>709</v>
      </c>
      <c r="B358">
        <f>VALUE(RIGHT(A358,LEN(A358)-3))</f>
        <v>104</v>
      </c>
      <c r="C358">
        <v>1</v>
      </c>
      <c r="D358" t="s">
        <v>32</v>
      </c>
      <c r="E358" t="s">
        <v>711</v>
      </c>
      <c r="F358" t="s">
        <v>30</v>
      </c>
      <c r="G358" t="s">
        <v>83</v>
      </c>
      <c r="H358" t="s">
        <v>710</v>
      </c>
      <c r="I358" t="s">
        <v>123</v>
      </c>
      <c r="K358" t="s">
        <v>3734</v>
      </c>
      <c r="L358" t="s">
        <v>3735</v>
      </c>
      <c r="M358" t="s">
        <v>57</v>
      </c>
    </row>
    <row r="359" spans="1:13" x14ac:dyDescent="0.2">
      <c r="A359" t="s">
        <v>1449</v>
      </c>
      <c r="B359">
        <f>VALUE(RIGHT(A359,LEN(A359)-3))</f>
        <v>235</v>
      </c>
      <c r="C359">
        <v>2</v>
      </c>
      <c r="D359" t="s">
        <v>32</v>
      </c>
      <c r="E359" t="s">
        <v>1451</v>
      </c>
      <c r="F359" t="s">
        <v>503</v>
      </c>
      <c r="G359" t="s">
        <v>43</v>
      </c>
      <c r="H359" t="s">
        <v>1445</v>
      </c>
      <c r="I359" t="s">
        <v>123</v>
      </c>
      <c r="K359" t="s">
        <v>3734</v>
      </c>
      <c r="L359" t="s">
        <v>3842</v>
      </c>
      <c r="M359" t="s">
        <v>35</v>
      </c>
    </row>
    <row r="360" spans="1:13" x14ac:dyDescent="0.2">
      <c r="A360" t="s">
        <v>1572</v>
      </c>
      <c r="B360">
        <f>VALUE(RIGHT(A360,LEN(A360)-3))</f>
        <v>259</v>
      </c>
      <c r="C360">
        <v>1</v>
      </c>
      <c r="D360" t="s">
        <v>32</v>
      </c>
      <c r="E360" t="s">
        <v>1574</v>
      </c>
      <c r="F360" t="s">
        <v>503</v>
      </c>
      <c r="G360" t="s">
        <v>43</v>
      </c>
      <c r="H360" t="s">
        <v>1573</v>
      </c>
      <c r="I360" t="s">
        <v>123</v>
      </c>
      <c r="K360" t="s">
        <v>3734</v>
      </c>
      <c r="L360" t="s">
        <v>3857</v>
      </c>
      <c r="M360" t="s">
        <v>35</v>
      </c>
    </row>
    <row r="361" spans="1:13" x14ac:dyDescent="0.2">
      <c r="A361" t="s">
        <v>1572</v>
      </c>
      <c r="B361">
        <f>VALUE(RIGHT(A361,LEN(A361)-3))</f>
        <v>259</v>
      </c>
      <c r="C361">
        <v>2</v>
      </c>
      <c r="D361" t="s">
        <v>32</v>
      </c>
      <c r="E361" t="s">
        <v>1574</v>
      </c>
      <c r="F361" t="s">
        <v>503</v>
      </c>
      <c r="G361" t="s">
        <v>43</v>
      </c>
      <c r="H361" t="s">
        <v>1573</v>
      </c>
      <c r="I361" t="s">
        <v>123</v>
      </c>
      <c r="K361" t="s">
        <v>3734</v>
      </c>
      <c r="L361" t="s">
        <v>3858</v>
      </c>
      <c r="M361" t="s">
        <v>57</v>
      </c>
    </row>
    <row r="362" spans="1:13" x14ac:dyDescent="0.2">
      <c r="A362" t="s">
        <v>1731</v>
      </c>
      <c r="B362">
        <f>VALUE(RIGHT(A362,LEN(A362)-3))</f>
        <v>289</v>
      </c>
      <c r="C362">
        <v>3</v>
      </c>
      <c r="D362" t="s">
        <v>32</v>
      </c>
      <c r="E362" t="s">
        <v>1734</v>
      </c>
      <c r="F362" t="s">
        <v>503</v>
      </c>
      <c r="G362" t="s">
        <v>43</v>
      </c>
      <c r="H362" t="s">
        <v>1732</v>
      </c>
      <c r="I362" t="s">
        <v>123</v>
      </c>
      <c r="K362" t="s">
        <v>3734</v>
      </c>
      <c r="L362" t="s">
        <v>3881</v>
      </c>
      <c r="M362" t="s">
        <v>57</v>
      </c>
    </row>
    <row r="363" spans="1:13" x14ac:dyDescent="0.2">
      <c r="A363" t="s">
        <v>2309</v>
      </c>
      <c r="B363">
        <f>VALUE(RIGHT(A363,LEN(A363)-3))</f>
        <v>392</v>
      </c>
      <c r="C363">
        <v>3</v>
      </c>
      <c r="D363" t="s">
        <v>32</v>
      </c>
      <c r="E363" t="s">
        <v>1078</v>
      </c>
      <c r="F363" t="s">
        <v>503</v>
      </c>
      <c r="G363" t="s">
        <v>43</v>
      </c>
      <c r="H363" t="s">
        <v>2310</v>
      </c>
      <c r="I363" t="s">
        <v>123</v>
      </c>
      <c r="K363" t="s">
        <v>3734</v>
      </c>
      <c r="L363" t="s">
        <v>3958</v>
      </c>
      <c r="M363" t="s">
        <v>35</v>
      </c>
    </row>
    <row r="364" spans="1:13" x14ac:dyDescent="0.2">
      <c r="A364" t="s">
        <v>2525</v>
      </c>
      <c r="B364">
        <f>VALUE(RIGHT(A364,LEN(A364)-3))</f>
        <v>430</v>
      </c>
      <c r="C364">
        <v>3</v>
      </c>
      <c r="D364" t="s">
        <v>32</v>
      </c>
      <c r="E364" t="s">
        <v>2528</v>
      </c>
      <c r="F364" t="s">
        <v>30</v>
      </c>
      <c r="G364" t="s">
        <v>43</v>
      </c>
      <c r="H364" t="s">
        <v>2526</v>
      </c>
      <c r="I364" t="s">
        <v>123</v>
      </c>
      <c r="K364" t="s">
        <v>3734</v>
      </c>
      <c r="L364" t="s">
        <v>4002</v>
      </c>
      <c r="M364" t="s">
        <v>57</v>
      </c>
    </row>
    <row r="365" spans="1:13" x14ac:dyDescent="0.2">
      <c r="A365" t="s">
        <v>2631</v>
      </c>
      <c r="B365">
        <f>VALUE(RIGHT(A365,LEN(A365)-3))</f>
        <v>449</v>
      </c>
      <c r="C365">
        <v>1</v>
      </c>
      <c r="D365" t="s">
        <v>32</v>
      </c>
      <c r="E365" t="s">
        <v>2634</v>
      </c>
      <c r="F365" t="s">
        <v>30</v>
      </c>
      <c r="G365" t="s">
        <v>43</v>
      </c>
      <c r="H365" t="s">
        <v>2632</v>
      </c>
      <c r="I365" t="s">
        <v>123</v>
      </c>
      <c r="K365" t="s">
        <v>3734</v>
      </c>
      <c r="L365" t="s">
        <v>4028</v>
      </c>
      <c r="M365" t="s">
        <v>57</v>
      </c>
    </row>
    <row r="366" spans="1:13" x14ac:dyDescent="0.2">
      <c r="A366" t="s">
        <v>2781</v>
      </c>
      <c r="B366">
        <f>VALUE(RIGHT(A366,LEN(A366)-3))</f>
        <v>477</v>
      </c>
      <c r="C366">
        <v>3</v>
      </c>
      <c r="D366" t="s">
        <v>32</v>
      </c>
      <c r="E366" t="s">
        <v>2783</v>
      </c>
      <c r="F366" t="s">
        <v>503</v>
      </c>
      <c r="G366" t="s">
        <v>43</v>
      </c>
      <c r="H366" t="s">
        <v>2782</v>
      </c>
      <c r="I366" t="s">
        <v>123</v>
      </c>
      <c r="K366" t="s">
        <v>3734</v>
      </c>
      <c r="L366" t="s">
        <v>4047</v>
      </c>
      <c r="M366" t="s">
        <v>57</v>
      </c>
    </row>
    <row r="367" spans="1:13" x14ac:dyDescent="0.2">
      <c r="A367" t="s">
        <v>2947</v>
      </c>
      <c r="B367">
        <f>VALUE(RIGHT(A367,LEN(A367)-3))</f>
        <v>507</v>
      </c>
      <c r="C367">
        <v>3</v>
      </c>
      <c r="D367" t="s">
        <v>32</v>
      </c>
      <c r="E367" t="s">
        <v>2949</v>
      </c>
      <c r="F367" t="s">
        <v>503</v>
      </c>
      <c r="G367" t="s">
        <v>43</v>
      </c>
      <c r="H367" t="s">
        <v>2948</v>
      </c>
      <c r="I367" t="s">
        <v>123</v>
      </c>
      <c r="K367" t="s">
        <v>3734</v>
      </c>
      <c r="L367" t="s">
        <v>4080</v>
      </c>
      <c r="M367" t="s">
        <v>35</v>
      </c>
    </row>
    <row r="368" spans="1:13" x14ac:dyDescent="0.2">
      <c r="A368" t="s">
        <v>2963</v>
      </c>
      <c r="B368">
        <f>VALUE(RIGHT(A368,LEN(A368)-3))</f>
        <v>510</v>
      </c>
      <c r="C368">
        <v>2</v>
      </c>
      <c r="D368" t="s">
        <v>32</v>
      </c>
      <c r="E368" t="s">
        <v>2965</v>
      </c>
      <c r="F368" t="s">
        <v>503</v>
      </c>
      <c r="G368" t="s">
        <v>43</v>
      </c>
      <c r="H368" t="s">
        <v>2964</v>
      </c>
      <c r="I368" t="s">
        <v>123</v>
      </c>
      <c r="K368" t="s">
        <v>3734</v>
      </c>
      <c r="L368" t="s">
        <v>4082</v>
      </c>
      <c r="M368" t="s">
        <v>57</v>
      </c>
    </row>
    <row r="369" spans="1:13" x14ac:dyDescent="0.2">
      <c r="A369" t="s">
        <v>3001</v>
      </c>
      <c r="B369">
        <f>VALUE(RIGHT(A369,LEN(A369)-3))</f>
        <v>517</v>
      </c>
      <c r="C369">
        <v>1</v>
      </c>
      <c r="D369" t="s">
        <v>32</v>
      </c>
      <c r="E369" t="s">
        <v>1308</v>
      </c>
      <c r="F369" t="s">
        <v>503</v>
      </c>
      <c r="G369" t="s">
        <v>43</v>
      </c>
      <c r="H369" t="s">
        <v>3002</v>
      </c>
      <c r="I369" t="s">
        <v>123</v>
      </c>
      <c r="K369" t="s">
        <v>3734</v>
      </c>
      <c r="L369" t="s">
        <v>4091</v>
      </c>
      <c r="M369" t="s">
        <v>57</v>
      </c>
    </row>
    <row r="370" spans="1:13" x14ac:dyDescent="0.2">
      <c r="A370" t="s">
        <v>702</v>
      </c>
      <c r="B370">
        <f>VALUE(RIGHT(A370,LEN(A370)-3))</f>
        <v>103</v>
      </c>
      <c r="C370">
        <v>2</v>
      </c>
      <c r="D370" t="s">
        <v>32</v>
      </c>
      <c r="E370" t="s">
        <v>604</v>
      </c>
      <c r="F370" t="s">
        <v>30</v>
      </c>
      <c r="G370" t="s">
        <v>43</v>
      </c>
      <c r="H370" t="s">
        <v>703</v>
      </c>
      <c r="I370" t="s">
        <v>58</v>
      </c>
      <c r="J370" t="s">
        <v>3632</v>
      </c>
      <c r="K370" t="s">
        <v>4132</v>
      </c>
      <c r="L370" t="s">
        <v>3733</v>
      </c>
      <c r="M370" t="s">
        <v>57</v>
      </c>
    </row>
    <row r="371" spans="1:13" x14ac:dyDescent="0.2">
      <c r="A371" t="s">
        <v>2101</v>
      </c>
      <c r="B371">
        <f>VALUE(RIGHT(A371,LEN(A371)-3))</f>
        <v>357</v>
      </c>
      <c r="C371">
        <v>2</v>
      </c>
      <c r="D371" t="s">
        <v>32</v>
      </c>
      <c r="E371" t="s">
        <v>2104</v>
      </c>
      <c r="F371" t="s">
        <v>503</v>
      </c>
      <c r="G371" t="s">
        <v>43</v>
      </c>
      <c r="H371" t="s">
        <v>2102</v>
      </c>
      <c r="I371" t="s">
        <v>58</v>
      </c>
      <c r="J371" t="s">
        <v>3632</v>
      </c>
      <c r="K371" t="s">
        <v>4132</v>
      </c>
      <c r="L371" t="s">
        <v>3934</v>
      </c>
      <c r="M371" t="s">
        <v>35</v>
      </c>
    </row>
    <row r="372" spans="1:13" x14ac:dyDescent="0.2">
      <c r="A372" t="s">
        <v>2139</v>
      </c>
      <c r="B372">
        <f>VALUE(RIGHT(A372,LEN(A372)-3))</f>
        <v>364</v>
      </c>
      <c r="C372">
        <v>1</v>
      </c>
      <c r="D372" t="s">
        <v>32</v>
      </c>
      <c r="E372" t="s">
        <v>2142</v>
      </c>
      <c r="F372" t="s">
        <v>602</v>
      </c>
      <c r="G372" t="s">
        <v>43</v>
      </c>
      <c r="H372" t="s">
        <v>2140</v>
      </c>
      <c r="I372" t="s">
        <v>58</v>
      </c>
      <c r="J372" t="s">
        <v>3632</v>
      </c>
      <c r="K372" t="s">
        <v>4132</v>
      </c>
      <c r="L372" t="s">
        <v>3936</v>
      </c>
      <c r="M372" t="s">
        <v>35</v>
      </c>
    </row>
    <row r="373" spans="1:13" x14ac:dyDescent="0.2">
      <c r="A373" t="s">
        <v>2419</v>
      </c>
      <c r="B373">
        <f>VALUE(RIGHT(A373,LEN(A373)-3))</f>
        <v>410</v>
      </c>
      <c r="C373">
        <v>3</v>
      </c>
      <c r="D373" t="s">
        <v>32</v>
      </c>
      <c r="E373" t="s">
        <v>2421</v>
      </c>
      <c r="F373" t="s">
        <v>503</v>
      </c>
      <c r="G373" t="s">
        <v>43</v>
      </c>
      <c r="H373" t="s">
        <v>2420</v>
      </c>
      <c r="I373" t="s">
        <v>58</v>
      </c>
      <c r="J373" t="s">
        <v>3632</v>
      </c>
      <c r="K373" t="s">
        <v>4132</v>
      </c>
      <c r="L373" t="s">
        <v>3988</v>
      </c>
      <c r="M373" t="s">
        <v>35</v>
      </c>
    </row>
    <row r="374" spans="1:13" x14ac:dyDescent="0.2">
      <c r="A374" t="s">
        <v>2654</v>
      </c>
      <c r="B374">
        <f>VALUE(RIGHT(A374,LEN(A374)-3))</f>
        <v>453</v>
      </c>
      <c r="C374">
        <v>1</v>
      </c>
      <c r="D374" t="s">
        <v>32</v>
      </c>
      <c r="E374" t="s">
        <v>2657</v>
      </c>
      <c r="F374" t="s">
        <v>503</v>
      </c>
      <c r="G374" t="s">
        <v>43</v>
      </c>
      <c r="H374" t="s">
        <v>2655</v>
      </c>
      <c r="I374" t="s">
        <v>58</v>
      </c>
      <c r="J374" t="s">
        <v>3632</v>
      </c>
      <c r="K374" t="s">
        <v>4132</v>
      </c>
      <c r="L374" t="s">
        <v>4031</v>
      </c>
      <c r="M374" t="s">
        <v>35</v>
      </c>
    </row>
    <row r="375" spans="1:13" x14ac:dyDescent="0.2">
      <c r="A375" t="s">
        <v>2756</v>
      </c>
      <c r="B375">
        <f>VALUE(RIGHT(A375,LEN(A375)-3))</f>
        <v>472</v>
      </c>
      <c r="C375">
        <v>3</v>
      </c>
      <c r="D375" t="s">
        <v>32</v>
      </c>
      <c r="E375" t="s">
        <v>2759</v>
      </c>
      <c r="F375" t="s">
        <v>30</v>
      </c>
      <c r="G375" t="s">
        <v>54</v>
      </c>
      <c r="H375" t="s">
        <v>2757</v>
      </c>
      <c r="I375" t="s">
        <v>58</v>
      </c>
      <c r="J375" t="s">
        <v>3632</v>
      </c>
      <c r="K375" t="s">
        <v>4132</v>
      </c>
      <c r="L375" t="s">
        <v>4042</v>
      </c>
      <c r="M375" t="s">
        <v>57</v>
      </c>
    </row>
    <row r="376" spans="1:13" x14ac:dyDescent="0.2">
      <c r="A376" t="s">
        <v>2913</v>
      </c>
      <c r="B376">
        <f>VALUE(RIGHT(A376,LEN(A376)-3))</f>
        <v>501</v>
      </c>
      <c r="C376">
        <v>1</v>
      </c>
      <c r="D376" t="s">
        <v>32</v>
      </c>
      <c r="E376" t="s">
        <v>2915</v>
      </c>
      <c r="F376" t="s">
        <v>503</v>
      </c>
      <c r="G376" t="s">
        <v>43</v>
      </c>
      <c r="H376" t="s">
        <v>2914</v>
      </c>
      <c r="I376" t="s">
        <v>58</v>
      </c>
      <c r="J376" t="s">
        <v>3632</v>
      </c>
      <c r="K376" t="s">
        <v>4132</v>
      </c>
      <c r="L376" t="s">
        <v>4071</v>
      </c>
      <c r="M376" t="s">
        <v>57</v>
      </c>
    </row>
    <row r="377" spans="1:13" x14ac:dyDescent="0.2">
      <c r="A377" t="s">
        <v>1236</v>
      </c>
      <c r="B377">
        <f>VALUE(RIGHT(A377,LEN(A377)-3))</f>
        <v>196</v>
      </c>
      <c r="C377">
        <v>2</v>
      </c>
      <c r="D377" t="s">
        <v>32</v>
      </c>
      <c r="E377" t="s">
        <v>1239</v>
      </c>
      <c r="F377" t="s">
        <v>503</v>
      </c>
      <c r="G377" t="s">
        <v>43</v>
      </c>
      <c r="H377" t="s">
        <v>1237</v>
      </c>
      <c r="I377" t="s">
        <v>68</v>
      </c>
      <c r="K377" t="s">
        <v>4138</v>
      </c>
      <c r="L377" t="s">
        <v>3801</v>
      </c>
      <c r="M377" t="s">
        <v>57</v>
      </c>
    </row>
    <row r="378" spans="1:13" x14ac:dyDescent="0.2">
      <c r="A378" t="s">
        <v>1263</v>
      </c>
      <c r="B378">
        <f>VALUE(RIGHT(A378,LEN(A378)-3))</f>
        <v>201</v>
      </c>
      <c r="C378">
        <v>1</v>
      </c>
      <c r="D378" t="s">
        <v>32</v>
      </c>
      <c r="E378" t="s">
        <v>979</v>
      </c>
      <c r="F378" t="s">
        <v>503</v>
      </c>
      <c r="G378" t="s">
        <v>43</v>
      </c>
      <c r="H378" t="s">
        <v>1264</v>
      </c>
      <c r="I378" t="s">
        <v>68</v>
      </c>
      <c r="K378" t="s">
        <v>4138</v>
      </c>
      <c r="L378" t="s">
        <v>3808</v>
      </c>
      <c r="M378" t="s">
        <v>57</v>
      </c>
    </row>
    <row r="379" spans="1:13" x14ac:dyDescent="0.2">
      <c r="A379" t="s">
        <v>1738</v>
      </c>
      <c r="B379">
        <f>VALUE(RIGHT(A379,LEN(A379)-3))</f>
        <v>290</v>
      </c>
      <c r="C379">
        <v>2</v>
      </c>
      <c r="D379" t="s">
        <v>32</v>
      </c>
      <c r="E379" t="s">
        <v>1740</v>
      </c>
      <c r="F379" t="s">
        <v>503</v>
      </c>
      <c r="G379" t="s">
        <v>43</v>
      </c>
      <c r="H379" t="s">
        <v>1739</v>
      </c>
      <c r="I379" t="s">
        <v>68</v>
      </c>
      <c r="K379" t="s">
        <v>4138</v>
      </c>
      <c r="L379" t="s">
        <v>3884</v>
      </c>
      <c r="M379" t="s">
        <v>35</v>
      </c>
    </row>
    <row r="380" spans="1:13" x14ac:dyDescent="0.2">
      <c r="A380" t="s">
        <v>1942</v>
      </c>
      <c r="B380">
        <f>VALUE(RIGHT(A380,LEN(A380)-3))</f>
        <v>328</v>
      </c>
      <c r="C380">
        <v>1</v>
      </c>
      <c r="D380" t="s">
        <v>32</v>
      </c>
      <c r="E380" t="s">
        <v>1945</v>
      </c>
      <c r="F380" t="s">
        <v>503</v>
      </c>
      <c r="G380" t="s">
        <v>43</v>
      </c>
      <c r="H380" t="s">
        <v>1943</v>
      </c>
      <c r="I380" t="s">
        <v>68</v>
      </c>
      <c r="K380" t="s">
        <v>4138</v>
      </c>
      <c r="L380" t="s">
        <v>3909</v>
      </c>
      <c r="M380" t="s">
        <v>57</v>
      </c>
    </row>
    <row r="381" spans="1:13" x14ac:dyDescent="0.2">
      <c r="A381" t="s">
        <v>280</v>
      </c>
      <c r="B381">
        <f>VALUE(RIGHT(A381,LEN(A381)-3))</f>
        <v>35</v>
      </c>
      <c r="C381">
        <v>2</v>
      </c>
      <c r="D381" t="s">
        <v>32</v>
      </c>
      <c r="E381" t="s">
        <v>282</v>
      </c>
      <c r="F381" t="s">
        <v>30</v>
      </c>
      <c r="G381" t="s">
        <v>83</v>
      </c>
      <c r="H381" t="s">
        <v>281</v>
      </c>
      <c r="I381" t="s">
        <v>291</v>
      </c>
      <c r="J381" t="s">
        <v>514</v>
      </c>
      <c r="K381" t="s">
        <v>3665</v>
      </c>
      <c r="L381" t="s">
        <v>3666</v>
      </c>
      <c r="M381" t="s">
        <v>57</v>
      </c>
    </row>
    <row r="382" spans="1:13" x14ac:dyDescent="0.2">
      <c r="A382" t="s">
        <v>395</v>
      </c>
      <c r="B382">
        <f>VALUE(RIGHT(A382,LEN(A382)-3))</f>
        <v>53</v>
      </c>
      <c r="C382">
        <v>2</v>
      </c>
      <c r="D382" t="s">
        <v>32</v>
      </c>
      <c r="E382" t="s">
        <v>397</v>
      </c>
      <c r="F382" t="s">
        <v>30</v>
      </c>
      <c r="G382" t="s">
        <v>43</v>
      </c>
      <c r="H382" t="s">
        <v>396</v>
      </c>
      <c r="I382" t="s">
        <v>291</v>
      </c>
      <c r="J382" t="s">
        <v>514</v>
      </c>
      <c r="K382" t="s">
        <v>3665</v>
      </c>
      <c r="L382" t="s">
        <v>3687</v>
      </c>
      <c r="M382" t="s">
        <v>57</v>
      </c>
    </row>
    <row r="383" spans="1:13" x14ac:dyDescent="0.2">
      <c r="A383" t="s">
        <v>509</v>
      </c>
      <c r="B383">
        <f>VALUE(RIGHT(A383,LEN(A383)-3))</f>
        <v>71</v>
      </c>
      <c r="C383">
        <v>1</v>
      </c>
      <c r="D383" t="s">
        <v>32</v>
      </c>
      <c r="E383" t="s">
        <v>512</v>
      </c>
      <c r="F383" t="s">
        <v>503</v>
      </c>
      <c r="G383" t="s">
        <v>43</v>
      </c>
      <c r="H383" t="s">
        <v>510</v>
      </c>
      <c r="I383" t="s">
        <v>291</v>
      </c>
      <c r="J383" t="s">
        <v>514</v>
      </c>
      <c r="K383" t="s">
        <v>3665</v>
      </c>
      <c r="L383" t="s">
        <v>3711</v>
      </c>
      <c r="M383" t="s">
        <v>35</v>
      </c>
    </row>
    <row r="384" spans="1:13" x14ac:dyDescent="0.2">
      <c r="A384" t="s">
        <v>903</v>
      </c>
      <c r="B384">
        <f>VALUE(RIGHT(A384,LEN(A384)-3))</f>
        <v>138</v>
      </c>
      <c r="C384">
        <v>2</v>
      </c>
      <c r="D384" t="s">
        <v>32</v>
      </c>
      <c r="E384" t="s">
        <v>905</v>
      </c>
      <c r="F384" t="s">
        <v>503</v>
      </c>
      <c r="G384" t="s">
        <v>43</v>
      </c>
      <c r="H384" t="s">
        <v>904</v>
      </c>
      <c r="I384" t="s">
        <v>291</v>
      </c>
      <c r="J384" t="s">
        <v>514</v>
      </c>
      <c r="K384" t="s">
        <v>3665</v>
      </c>
      <c r="L384" t="s">
        <v>3761</v>
      </c>
      <c r="M384" t="s">
        <v>35</v>
      </c>
    </row>
    <row r="385" spans="1:13" x14ac:dyDescent="0.2">
      <c r="A385" t="s">
        <v>953</v>
      </c>
      <c r="B385">
        <f>VALUE(RIGHT(A385,LEN(A385)-3))</f>
        <v>146</v>
      </c>
      <c r="C385">
        <v>2</v>
      </c>
      <c r="D385" t="s">
        <v>32</v>
      </c>
      <c r="E385" t="s">
        <v>956</v>
      </c>
      <c r="F385" t="s">
        <v>503</v>
      </c>
      <c r="G385" t="s">
        <v>43</v>
      </c>
      <c r="H385" t="s">
        <v>954</v>
      </c>
      <c r="I385" t="s">
        <v>291</v>
      </c>
      <c r="J385" t="s">
        <v>514</v>
      </c>
      <c r="K385" t="s">
        <v>3665</v>
      </c>
      <c r="L385" t="s">
        <v>3767</v>
      </c>
      <c r="M385" t="s">
        <v>35</v>
      </c>
    </row>
    <row r="386" spans="1:13" x14ac:dyDescent="0.2">
      <c r="A386" t="s">
        <v>1185</v>
      </c>
      <c r="B386">
        <f>VALUE(RIGHT(A386,LEN(A386)-3))</f>
        <v>187</v>
      </c>
      <c r="C386">
        <v>2</v>
      </c>
      <c r="D386" t="s">
        <v>32</v>
      </c>
      <c r="E386" t="s">
        <v>1188</v>
      </c>
      <c r="F386" t="s">
        <v>503</v>
      </c>
      <c r="G386" t="s">
        <v>43</v>
      </c>
      <c r="H386" t="s">
        <v>1186</v>
      </c>
      <c r="I386" t="s">
        <v>291</v>
      </c>
      <c r="J386" t="s">
        <v>514</v>
      </c>
      <c r="K386" t="s">
        <v>3665</v>
      </c>
      <c r="L386" t="s">
        <v>3793</v>
      </c>
      <c r="M386" t="s">
        <v>57</v>
      </c>
    </row>
    <row r="387" spans="1:13" x14ac:dyDescent="0.2">
      <c r="A387" t="s">
        <v>1276</v>
      </c>
      <c r="B387">
        <f>VALUE(RIGHT(A387,LEN(A387)-3))</f>
        <v>203</v>
      </c>
      <c r="C387">
        <v>1</v>
      </c>
      <c r="D387" t="s">
        <v>32</v>
      </c>
      <c r="E387" t="s">
        <v>1279</v>
      </c>
      <c r="F387" t="s">
        <v>503</v>
      </c>
      <c r="G387" t="s">
        <v>43</v>
      </c>
      <c r="H387" t="s">
        <v>1277</v>
      </c>
      <c r="I387" t="s">
        <v>291</v>
      </c>
      <c r="J387" t="s">
        <v>514</v>
      </c>
      <c r="K387" t="s">
        <v>3665</v>
      </c>
      <c r="L387" t="s">
        <v>3809</v>
      </c>
      <c r="M387" t="s">
        <v>35</v>
      </c>
    </row>
    <row r="388" spans="1:13" x14ac:dyDescent="0.2">
      <c r="A388" t="s">
        <v>1366</v>
      </c>
      <c r="B388">
        <f>VALUE(RIGHT(A388,LEN(A388)-3))</f>
        <v>220</v>
      </c>
      <c r="C388">
        <v>3</v>
      </c>
      <c r="D388" t="s">
        <v>32</v>
      </c>
      <c r="E388" t="s">
        <v>1368</v>
      </c>
      <c r="F388" t="s">
        <v>503</v>
      </c>
      <c r="G388" t="s">
        <v>43</v>
      </c>
      <c r="H388" t="s">
        <v>1367</v>
      </c>
      <c r="I388" t="s">
        <v>291</v>
      </c>
      <c r="J388" t="s">
        <v>514</v>
      </c>
      <c r="K388" t="s">
        <v>3665</v>
      </c>
      <c r="L388" t="s">
        <v>3827</v>
      </c>
      <c r="M388" t="s">
        <v>35</v>
      </c>
    </row>
    <row r="389" spans="1:13" x14ac:dyDescent="0.2">
      <c r="A389" t="s">
        <v>1731</v>
      </c>
      <c r="B389">
        <f>VALUE(RIGHT(A389,LEN(A389)-3))</f>
        <v>289</v>
      </c>
      <c r="C389">
        <v>2</v>
      </c>
      <c r="D389" t="s">
        <v>32</v>
      </c>
      <c r="E389" t="s">
        <v>1734</v>
      </c>
      <c r="F389" t="s">
        <v>503</v>
      </c>
      <c r="G389" t="s">
        <v>43</v>
      </c>
      <c r="H389" t="s">
        <v>1732</v>
      </c>
      <c r="I389" t="s">
        <v>291</v>
      </c>
      <c r="J389" t="s">
        <v>514</v>
      </c>
      <c r="K389" t="s">
        <v>3665</v>
      </c>
      <c r="L389" t="s">
        <v>3880</v>
      </c>
      <c r="M389" t="s">
        <v>35</v>
      </c>
    </row>
    <row r="390" spans="1:13" x14ac:dyDescent="0.2">
      <c r="A390" t="s">
        <v>1745</v>
      </c>
      <c r="B390">
        <f>VALUE(RIGHT(A390,LEN(A390)-3))</f>
        <v>291</v>
      </c>
      <c r="C390">
        <v>2</v>
      </c>
      <c r="D390" t="s">
        <v>32</v>
      </c>
      <c r="E390" t="s">
        <v>1748</v>
      </c>
      <c r="F390" t="s">
        <v>503</v>
      </c>
      <c r="G390" t="s">
        <v>43</v>
      </c>
      <c r="H390" t="s">
        <v>1746</v>
      </c>
      <c r="I390" t="s">
        <v>291</v>
      </c>
      <c r="J390" t="s">
        <v>514</v>
      </c>
      <c r="K390" t="s">
        <v>3665</v>
      </c>
      <c r="L390" t="s">
        <v>3886</v>
      </c>
      <c r="M390" t="s">
        <v>35</v>
      </c>
    </row>
    <row r="391" spans="1:13" x14ac:dyDescent="0.2">
      <c r="A391" t="s">
        <v>2101</v>
      </c>
      <c r="B391">
        <f>VALUE(RIGHT(A391,LEN(A391)-3))</f>
        <v>357</v>
      </c>
      <c r="C391">
        <v>1</v>
      </c>
      <c r="D391" t="s">
        <v>32</v>
      </c>
      <c r="E391" t="s">
        <v>2104</v>
      </c>
      <c r="F391" t="s">
        <v>503</v>
      </c>
      <c r="G391" t="s">
        <v>43</v>
      </c>
      <c r="H391" t="s">
        <v>2102</v>
      </c>
      <c r="I391" t="s">
        <v>291</v>
      </c>
      <c r="J391" t="s">
        <v>514</v>
      </c>
      <c r="K391" t="s">
        <v>3665</v>
      </c>
      <c r="L391" t="s">
        <v>3933</v>
      </c>
      <c r="M391" t="s">
        <v>35</v>
      </c>
    </row>
    <row r="392" spans="1:13" x14ac:dyDescent="0.2">
      <c r="A392" t="s">
        <v>2319</v>
      </c>
      <c r="B392">
        <f>VALUE(RIGHT(A392,LEN(A392)-3))</f>
        <v>394</v>
      </c>
      <c r="C392">
        <v>1</v>
      </c>
      <c r="D392" t="s">
        <v>32</v>
      </c>
      <c r="E392" t="s">
        <v>1748</v>
      </c>
      <c r="F392" t="s">
        <v>503</v>
      </c>
      <c r="G392" t="s">
        <v>43</v>
      </c>
      <c r="H392" t="s">
        <v>2320</v>
      </c>
      <c r="I392" t="s">
        <v>291</v>
      </c>
      <c r="J392" t="s">
        <v>514</v>
      </c>
      <c r="K392" t="s">
        <v>3665</v>
      </c>
      <c r="L392" t="s">
        <v>3962</v>
      </c>
      <c r="M392" t="s">
        <v>35</v>
      </c>
    </row>
    <row r="393" spans="1:13" x14ac:dyDescent="0.2">
      <c r="A393" t="s">
        <v>2419</v>
      </c>
      <c r="B393">
        <f>VALUE(RIGHT(A393,LEN(A393)-3))</f>
        <v>410</v>
      </c>
      <c r="C393">
        <v>1</v>
      </c>
      <c r="D393" t="s">
        <v>32</v>
      </c>
      <c r="E393" t="s">
        <v>2421</v>
      </c>
      <c r="F393" t="s">
        <v>503</v>
      </c>
      <c r="G393" t="s">
        <v>43</v>
      </c>
      <c r="H393" t="s">
        <v>2420</v>
      </c>
      <c r="I393" t="s">
        <v>291</v>
      </c>
      <c r="J393" t="s">
        <v>514</v>
      </c>
      <c r="K393" t="s">
        <v>3665</v>
      </c>
      <c r="L393" t="s">
        <v>3986</v>
      </c>
      <c r="M393" t="s">
        <v>35</v>
      </c>
    </row>
    <row r="394" spans="1:13" x14ac:dyDescent="0.2">
      <c r="A394" t="s">
        <v>2475</v>
      </c>
      <c r="B394">
        <f>VALUE(RIGHT(A394,LEN(A394)-3))</f>
        <v>420</v>
      </c>
      <c r="C394">
        <v>2</v>
      </c>
      <c r="D394" t="s">
        <v>32</v>
      </c>
      <c r="E394" t="s">
        <v>1138</v>
      </c>
      <c r="F394" t="s">
        <v>503</v>
      </c>
      <c r="G394" t="s">
        <v>43</v>
      </c>
      <c r="H394" t="s">
        <v>2476</v>
      </c>
      <c r="I394" t="s">
        <v>291</v>
      </c>
      <c r="J394" t="s">
        <v>514</v>
      </c>
      <c r="K394" t="s">
        <v>3665</v>
      </c>
      <c r="L394" t="s">
        <v>3995</v>
      </c>
      <c r="M394" t="s">
        <v>35</v>
      </c>
    </row>
    <row r="395" spans="1:13" x14ac:dyDescent="0.2">
      <c r="A395" t="s">
        <v>2538</v>
      </c>
      <c r="B395">
        <f>VALUE(RIGHT(A395,LEN(A395)-3))</f>
        <v>432</v>
      </c>
      <c r="C395">
        <v>2</v>
      </c>
      <c r="D395" t="s">
        <v>32</v>
      </c>
      <c r="E395" t="s">
        <v>1314</v>
      </c>
      <c r="F395" t="s">
        <v>602</v>
      </c>
      <c r="G395" t="s">
        <v>43</v>
      </c>
      <c r="H395" t="s">
        <v>2539</v>
      </c>
      <c r="I395" t="s">
        <v>291</v>
      </c>
      <c r="J395" t="s">
        <v>514</v>
      </c>
      <c r="K395" t="s">
        <v>3665</v>
      </c>
      <c r="L395" t="s">
        <v>4005</v>
      </c>
      <c r="M395" t="s">
        <v>35</v>
      </c>
    </row>
    <row r="396" spans="1:13" x14ac:dyDescent="0.2">
      <c r="A396" t="s">
        <v>2573</v>
      </c>
      <c r="B396">
        <f>VALUE(RIGHT(A396,LEN(A396)-3))</f>
        <v>438</v>
      </c>
      <c r="C396">
        <v>1</v>
      </c>
      <c r="D396" t="s">
        <v>32</v>
      </c>
      <c r="E396" t="s">
        <v>2575</v>
      </c>
      <c r="F396" t="s">
        <v>503</v>
      </c>
      <c r="G396" t="s">
        <v>43</v>
      </c>
      <c r="H396" t="s">
        <v>2574</v>
      </c>
      <c r="I396" t="s">
        <v>291</v>
      </c>
      <c r="J396" t="s">
        <v>514</v>
      </c>
      <c r="K396" t="s">
        <v>3665</v>
      </c>
      <c r="L396" t="s">
        <v>4012</v>
      </c>
      <c r="M396" t="s">
        <v>35</v>
      </c>
    </row>
    <row r="397" spans="1:13" x14ac:dyDescent="0.2">
      <c r="A397" t="s">
        <v>2787</v>
      </c>
      <c r="B397">
        <f>VALUE(RIGHT(A397,LEN(A397)-3))</f>
        <v>478</v>
      </c>
      <c r="C397">
        <v>2</v>
      </c>
      <c r="D397" t="s">
        <v>32</v>
      </c>
      <c r="E397" t="s">
        <v>2791</v>
      </c>
      <c r="F397" t="s">
        <v>503</v>
      </c>
      <c r="G397" t="s">
        <v>43</v>
      </c>
      <c r="H397" t="s">
        <v>2788</v>
      </c>
      <c r="I397" t="s">
        <v>291</v>
      </c>
      <c r="J397" t="s">
        <v>514</v>
      </c>
      <c r="K397" t="s">
        <v>3665</v>
      </c>
      <c r="L397" t="s">
        <v>4050</v>
      </c>
      <c r="M397" t="s">
        <v>35</v>
      </c>
    </row>
    <row r="398" spans="1:13" x14ac:dyDescent="0.2">
      <c r="A398" t="s">
        <v>2829</v>
      </c>
      <c r="B398">
        <f>VALUE(RIGHT(A398,LEN(A398)-3))</f>
        <v>485</v>
      </c>
      <c r="C398">
        <v>2</v>
      </c>
      <c r="D398" t="s">
        <v>32</v>
      </c>
      <c r="E398" t="s">
        <v>2832</v>
      </c>
      <c r="F398" t="s">
        <v>503</v>
      </c>
      <c r="G398" t="s">
        <v>43</v>
      </c>
      <c r="H398" t="s">
        <v>2830</v>
      </c>
      <c r="I398" t="s">
        <v>291</v>
      </c>
      <c r="J398" t="s">
        <v>514</v>
      </c>
      <c r="K398" t="s">
        <v>3665</v>
      </c>
      <c r="L398" t="s">
        <v>4056</v>
      </c>
      <c r="M398" t="s">
        <v>35</v>
      </c>
    </row>
    <row r="399" spans="1:13" x14ac:dyDescent="0.2">
      <c r="A399" t="s">
        <v>2980</v>
      </c>
      <c r="B399">
        <f>VALUE(RIGHT(A399,LEN(A399)-3))</f>
        <v>513</v>
      </c>
      <c r="C399">
        <v>5</v>
      </c>
      <c r="D399" t="s">
        <v>32</v>
      </c>
      <c r="E399" t="s">
        <v>2982</v>
      </c>
      <c r="F399" t="s">
        <v>30</v>
      </c>
      <c r="G399" t="s">
        <v>29</v>
      </c>
      <c r="H399" t="s">
        <v>2981</v>
      </c>
      <c r="I399" t="s">
        <v>291</v>
      </c>
      <c r="J399" t="s">
        <v>514</v>
      </c>
      <c r="K399" t="s">
        <v>3665</v>
      </c>
      <c r="L399" t="s">
        <v>4088</v>
      </c>
      <c r="M399" t="s">
        <v>35</v>
      </c>
    </row>
    <row r="400" spans="1:13" x14ac:dyDescent="0.2">
      <c r="A400" t="s">
        <v>3103</v>
      </c>
      <c r="B400">
        <f>VALUE(RIGHT(A400,LEN(A400)-3))</f>
        <v>536</v>
      </c>
      <c r="C400">
        <v>1</v>
      </c>
      <c r="D400" t="s">
        <v>32</v>
      </c>
      <c r="E400" t="s">
        <v>3104</v>
      </c>
      <c r="F400" t="s">
        <v>503</v>
      </c>
      <c r="G400" t="s">
        <v>83</v>
      </c>
      <c r="H400" t="s">
        <v>3099</v>
      </c>
      <c r="I400" t="s">
        <v>291</v>
      </c>
      <c r="J400" t="s">
        <v>514</v>
      </c>
      <c r="K400" t="s">
        <v>3665</v>
      </c>
      <c r="L400" t="s">
        <v>4107</v>
      </c>
      <c r="M400" t="s">
        <v>35</v>
      </c>
    </row>
    <row r="401" spans="1:13" x14ac:dyDescent="0.2">
      <c r="A401" t="s">
        <v>2498</v>
      </c>
      <c r="B401">
        <f>VALUE(RIGHT(A401,LEN(A401)-3))</f>
        <v>424</v>
      </c>
      <c r="C401">
        <v>1</v>
      </c>
      <c r="D401" t="s">
        <v>32</v>
      </c>
      <c r="E401" t="s">
        <v>1078</v>
      </c>
      <c r="F401" t="s">
        <v>503</v>
      </c>
      <c r="G401" t="s">
        <v>43</v>
      </c>
      <c r="H401" t="s">
        <v>2499</v>
      </c>
      <c r="I401" t="s">
        <v>291</v>
      </c>
      <c r="J401" t="s">
        <v>514</v>
      </c>
      <c r="K401" t="s">
        <v>4009</v>
      </c>
      <c r="L401" t="s">
        <v>3998</v>
      </c>
      <c r="M401" t="s">
        <v>35</v>
      </c>
    </row>
    <row r="402" spans="1:13" x14ac:dyDescent="0.2">
      <c r="A402" t="s">
        <v>2566</v>
      </c>
      <c r="B402">
        <f>VALUE(RIGHT(A402,LEN(A402)-3))</f>
        <v>437</v>
      </c>
      <c r="C402">
        <v>1</v>
      </c>
      <c r="D402" t="s">
        <v>32</v>
      </c>
      <c r="E402" t="s">
        <v>2569</v>
      </c>
      <c r="F402" t="s">
        <v>503</v>
      </c>
      <c r="G402" t="s">
        <v>43</v>
      </c>
      <c r="H402" t="s">
        <v>2567</v>
      </c>
      <c r="I402" t="s">
        <v>291</v>
      </c>
      <c r="J402" t="s">
        <v>514</v>
      </c>
      <c r="K402" t="s">
        <v>4009</v>
      </c>
      <c r="L402" t="s">
        <v>4010</v>
      </c>
      <c r="M402" t="s">
        <v>35</v>
      </c>
    </row>
    <row r="403" spans="1:13" x14ac:dyDescent="0.2">
      <c r="A403" t="s">
        <v>1276</v>
      </c>
      <c r="B403">
        <f>VALUE(RIGHT(A403,LEN(A403)-3))</f>
        <v>203</v>
      </c>
      <c r="C403">
        <v>2</v>
      </c>
      <c r="D403" t="s">
        <v>32</v>
      </c>
      <c r="E403" t="s">
        <v>1279</v>
      </c>
      <c r="F403" t="s">
        <v>503</v>
      </c>
      <c r="G403" t="s">
        <v>43</v>
      </c>
      <c r="H403" t="s">
        <v>1277</v>
      </c>
      <c r="I403" t="s">
        <v>291</v>
      </c>
      <c r="J403" t="s">
        <v>1105</v>
      </c>
      <c r="K403" t="s">
        <v>3810</v>
      </c>
      <c r="L403" t="s">
        <v>3811</v>
      </c>
      <c r="M403" t="s">
        <v>57</v>
      </c>
    </row>
    <row r="404" spans="1:13" x14ac:dyDescent="0.2">
      <c r="A404" t="s">
        <v>1830</v>
      </c>
      <c r="B404">
        <f>VALUE(RIGHT(A404,LEN(A404)-3))</f>
        <v>307</v>
      </c>
      <c r="C404">
        <v>1</v>
      </c>
      <c r="D404" t="s">
        <v>32</v>
      </c>
      <c r="E404" t="s">
        <v>497</v>
      </c>
      <c r="F404" t="s">
        <v>503</v>
      </c>
      <c r="G404" t="s">
        <v>43</v>
      </c>
      <c r="H404" t="s">
        <v>1831</v>
      </c>
      <c r="I404" t="s">
        <v>291</v>
      </c>
      <c r="J404" t="s">
        <v>1105</v>
      </c>
      <c r="K404" t="s">
        <v>3810</v>
      </c>
      <c r="L404" t="s">
        <v>3896</v>
      </c>
      <c r="M404" t="s">
        <v>57</v>
      </c>
    </row>
    <row r="405" spans="1:13" x14ac:dyDescent="0.2">
      <c r="A405" t="s">
        <v>2781</v>
      </c>
      <c r="B405">
        <f>VALUE(RIGHT(A405,LEN(A405)-3))</f>
        <v>477</v>
      </c>
      <c r="C405">
        <v>2</v>
      </c>
      <c r="D405" t="s">
        <v>32</v>
      </c>
      <c r="E405" t="s">
        <v>2783</v>
      </c>
      <c r="F405" t="s">
        <v>503</v>
      </c>
      <c r="G405" t="s">
        <v>43</v>
      </c>
      <c r="H405" t="s">
        <v>2782</v>
      </c>
      <c r="I405" t="s">
        <v>291</v>
      </c>
      <c r="J405" t="s">
        <v>1105</v>
      </c>
      <c r="K405" t="s">
        <v>3810</v>
      </c>
      <c r="L405" t="s">
        <v>4046</v>
      </c>
      <c r="M405" t="s">
        <v>57</v>
      </c>
    </row>
    <row r="406" spans="1:13" x14ac:dyDescent="0.2">
      <c r="A406" t="s">
        <v>2927</v>
      </c>
      <c r="B406">
        <f>VALUE(RIGHT(A406,LEN(A406)-3))</f>
        <v>504</v>
      </c>
      <c r="C406">
        <v>2</v>
      </c>
      <c r="D406" t="s">
        <v>32</v>
      </c>
      <c r="E406" t="s">
        <v>2931</v>
      </c>
      <c r="F406" t="s">
        <v>503</v>
      </c>
      <c r="G406" t="s">
        <v>43</v>
      </c>
      <c r="H406" t="s">
        <v>2928</v>
      </c>
      <c r="I406" t="s">
        <v>291</v>
      </c>
      <c r="J406" t="s">
        <v>1105</v>
      </c>
      <c r="K406" t="s">
        <v>3810</v>
      </c>
      <c r="L406" t="s">
        <v>4073</v>
      </c>
      <c r="M406" t="s">
        <v>35</v>
      </c>
    </row>
    <row r="407" spans="1:13" x14ac:dyDescent="0.2">
      <c r="A407" t="s">
        <v>229</v>
      </c>
      <c r="B407">
        <f>VALUE(RIGHT(A407,LEN(A407)-3))</f>
        <v>27</v>
      </c>
      <c r="C407">
        <v>1</v>
      </c>
      <c r="D407" t="s">
        <v>32</v>
      </c>
      <c r="E407" t="s">
        <v>231</v>
      </c>
      <c r="F407" t="s">
        <v>30</v>
      </c>
      <c r="G407" t="s">
        <v>43</v>
      </c>
      <c r="H407" t="s">
        <v>230</v>
      </c>
      <c r="I407" t="s">
        <v>291</v>
      </c>
      <c r="J407" t="s">
        <v>514</v>
      </c>
      <c r="K407" t="s">
        <v>3651</v>
      </c>
      <c r="L407" t="s">
        <v>3652</v>
      </c>
      <c r="M407" t="s">
        <v>57</v>
      </c>
    </row>
    <row r="408" spans="1:13" x14ac:dyDescent="0.2">
      <c r="A408" t="s">
        <v>563</v>
      </c>
      <c r="B408">
        <f>VALUE(RIGHT(A408,LEN(A408)-3))</f>
        <v>80</v>
      </c>
      <c r="C408">
        <v>1</v>
      </c>
      <c r="D408" t="s">
        <v>32</v>
      </c>
      <c r="E408" t="s">
        <v>566</v>
      </c>
      <c r="F408" t="s">
        <v>30</v>
      </c>
      <c r="G408" t="s">
        <v>83</v>
      </c>
      <c r="H408" t="s">
        <v>564</v>
      </c>
      <c r="I408" t="s">
        <v>291</v>
      </c>
      <c r="J408" t="s">
        <v>514</v>
      </c>
      <c r="K408" t="s">
        <v>3651</v>
      </c>
      <c r="L408" t="s">
        <v>3715</v>
      </c>
      <c r="M408" t="s">
        <v>35</v>
      </c>
    </row>
    <row r="409" spans="1:13" x14ac:dyDescent="0.2">
      <c r="A409" t="s">
        <v>563</v>
      </c>
      <c r="B409">
        <f>VALUE(RIGHT(A409,LEN(A409)-3))</f>
        <v>80</v>
      </c>
      <c r="C409">
        <v>2</v>
      </c>
      <c r="D409" t="s">
        <v>32</v>
      </c>
      <c r="E409" t="s">
        <v>566</v>
      </c>
      <c r="F409" t="s">
        <v>30</v>
      </c>
      <c r="G409" t="s">
        <v>83</v>
      </c>
      <c r="H409" t="s">
        <v>564</v>
      </c>
      <c r="I409" t="s">
        <v>291</v>
      </c>
      <c r="J409" t="s">
        <v>514</v>
      </c>
      <c r="K409" t="s">
        <v>3651</v>
      </c>
      <c r="L409" t="s">
        <v>3716</v>
      </c>
      <c r="M409" t="s">
        <v>57</v>
      </c>
    </row>
    <row r="410" spans="1:13" x14ac:dyDescent="0.2">
      <c r="A410" t="s">
        <v>577</v>
      </c>
      <c r="B410">
        <f>VALUE(RIGHT(A410,LEN(A410)-3))</f>
        <v>82</v>
      </c>
      <c r="C410">
        <v>2</v>
      </c>
      <c r="D410" t="s">
        <v>32</v>
      </c>
      <c r="E410" t="s">
        <v>579</v>
      </c>
      <c r="F410" t="s">
        <v>30</v>
      </c>
      <c r="G410" t="s">
        <v>43</v>
      </c>
      <c r="H410" t="s">
        <v>578</v>
      </c>
      <c r="I410" t="s">
        <v>291</v>
      </c>
      <c r="J410" t="s">
        <v>514</v>
      </c>
      <c r="K410" t="s">
        <v>3651</v>
      </c>
      <c r="L410" t="s">
        <v>3719</v>
      </c>
      <c r="M410" t="s">
        <v>57</v>
      </c>
    </row>
    <row r="411" spans="1:13" x14ac:dyDescent="0.2">
      <c r="A411" t="s">
        <v>773</v>
      </c>
      <c r="B411">
        <f>VALUE(RIGHT(A411,LEN(A411)-3))</f>
        <v>115</v>
      </c>
      <c r="C411">
        <v>2</v>
      </c>
      <c r="D411" t="s">
        <v>32</v>
      </c>
      <c r="E411" t="s">
        <v>776</v>
      </c>
      <c r="F411" t="s">
        <v>30</v>
      </c>
      <c r="G411" t="s">
        <v>43</v>
      </c>
      <c r="H411" t="s">
        <v>774</v>
      </c>
      <c r="I411" t="s">
        <v>291</v>
      </c>
      <c r="J411" t="s">
        <v>514</v>
      </c>
      <c r="K411" t="s">
        <v>3651</v>
      </c>
      <c r="L411" t="s">
        <v>3746</v>
      </c>
      <c r="M411" t="s">
        <v>35</v>
      </c>
    </row>
    <row r="412" spans="1:13" x14ac:dyDescent="0.2">
      <c r="A412" t="s">
        <v>840</v>
      </c>
      <c r="B412">
        <f>VALUE(RIGHT(A412,LEN(A412)-3))</f>
        <v>127</v>
      </c>
      <c r="C412">
        <v>1</v>
      </c>
      <c r="D412" t="s">
        <v>32</v>
      </c>
      <c r="E412" t="s">
        <v>842</v>
      </c>
      <c r="F412" t="s">
        <v>503</v>
      </c>
      <c r="G412" t="s">
        <v>43</v>
      </c>
      <c r="H412" t="s">
        <v>841</v>
      </c>
      <c r="I412" t="s">
        <v>291</v>
      </c>
      <c r="J412" t="s">
        <v>514</v>
      </c>
      <c r="K412" t="s">
        <v>3651</v>
      </c>
      <c r="L412" t="s">
        <v>3751</v>
      </c>
      <c r="M412" t="s">
        <v>57</v>
      </c>
    </row>
    <row r="413" spans="1:13" x14ac:dyDescent="0.2">
      <c r="A413" t="s">
        <v>924</v>
      </c>
      <c r="B413">
        <f>VALUE(RIGHT(A413,LEN(A413)-3))</f>
        <v>141</v>
      </c>
      <c r="C413">
        <v>2</v>
      </c>
      <c r="D413" t="s">
        <v>32</v>
      </c>
      <c r="E413" t="s">
        <v>927</v>
      </c>
      <c r="F413" t="s">
        <v>30</v>
      </c>
      <c r="G413" t="s">
        <v>43</v>
      </c>
      <c r="H413" t="s">
        <v>925</v>
      </c>
      <c r="I413" t="s">
        <v>291</v>
      </c>
      <c r="J413" t="s">
        <v>514</v>
      </c>
      <c r="K413" t="s">
        <v>3651</v>
      </c>
      <c r="L413" t="s">
        <v>3764</v>
      </c>
      <c r="M413" t="s">
        <v>57</v>
      </c>
    </row>
    <row r="414" spans="1:13" x14ac:dyDescent="0.2">
      <c r="A414" t="s">
        <v>977</v>
      </c>
      <c r="B414">
        <f>VALUE(RIGHT(A414,LEN(A414)-3))</f>
        <v>150</v>
      </c>
      <c r="C414">
        <v>3</v>
      </c>
      <c r="D414" t="s">
        <v>32</v>
      </c>
      <c r="E414" t="s">
        <v>979</v>
      </c>
      <c r="F414" t="s">
        <v>503</v>
      </c>
      <c r="G414" t="s">
        <v>43</v>
      </c>
      <c r="H414" t="s">
        <v>978</v>
      </c>
      <c r="I414" t="s">
        <v>291</v>
      </c>
      <c r="J414" t="s">
        <v>514</v>
      </c>
      <c r="K414" t="s">
        <v>3651</v>
      </c>
      <c r="L414" t="s">
        <v>3773</v>
      </c>
      <c r="M414" t="s">
        <v>35</v>
      </c>
    </row>
    <row r="415" spans="1:13" x14ac:dyDescent="0.2">
      <c r="A415" t="s">
        <v>1208</v>
      </c>
      <c r="B415">
        <f>VALUE(RIGHT(A415,LEN(A415)-3))</f>
        <v>191</v>
      </c>
      <c r="C415">
        <v>1</v>
      </c>
      <c r="D415" t="s">
        <v>32</v>
      </c>
      <c r="E415" t="s">
        <v>1211</v>
      </c>
      <c r="F415" t="s">
        <v>503</v>
      </c>
      <c r="G415" t="s">
        <v>43</v>
      </c>
      <c r="H415" t="s">
        <v>1209</v>
      </c>
      <c r="I415" t="s">
        <v>291</v>
      </c>
      <c r="J415" t="s">
        <v>514</v>
      </c>
      <c r="K415" t="s">
        <v>3651</v>
      </c>
      <c r="L415" t="s">
        <v>3794</v>
      </c>
      <c r="M415" t="s">
        <v>35</v>
      </c>
    </row>
    <row r="416" spans="1:13" x14ac:dyDescent="0.2">
      <c r="A416" t="s">
        <v>1413</v>
      </c>
      <c r="B416">
        <f>VALUE(RIGHT(A416,LEN(A416)-3))</f>
        <v>228</v>
      </c>
      <c r="C416">
        <v>1</v>
      </c>
      <c r="D416" t="s">
        <v>32</v>
      </c>
      <c r="E416" t="s">
        <v>1415</v>
      </c>
      <c r="F416" t="s">
        <v>30</v>
      </c>
      <c r="G416" t="s">
        <v>43</v>
      </c>
      <c r="H416" t="s">
        <v>1414</v>
      </c>
      <c r="I416" t="s">
        <v>291</v>
      </c>
      <c r="J416" t="s">
        <v>514</v>
      </c>
      <c r="K416" t="s">
        <v>3651</v>
      </c>
      <c r="L416" t="s">
        <v>3834</v>
      </c>
      <c r="M416" t="s">
        <v>57</v>
      </c>
    </row>
    <row r="417" spans="1:13" x14ac:dyDescent="0.2">
      <c r="A417" t="s">
        <v>1455</v>
      </c>
      <c r="B417">
        <f>VALUE(RIGHT(A417,LEN(A417)-3))</f>
        <v>236</v>
      </c>
      <c r="C417">
        <v>1</v>
      </c>
      <c r="D417" t="s">
        <v>32</v>
      </c>
      <c r="E417" t="s">
        <v>1457</v>
      </c>
      <c r="F417" t="s">
        <v>602</v>
      </c>
      <c r="G417" t="s">
        <v>43</v>
      </c>
      <c r="H417" t="s">
        <v>1456</v>
      </c>
      <c r="I417" t="s">
        <v>291</v>
      </c>
      <c r="J417" t="s">
        <v>514</v>
      </c>
      <c r="K417" t="s">
        <v>3651</v>
      </c>
      <c r="L417" t="s">
        <v>3843</v>
      </c>
      <c r="M417" t="s">
        <v>35</v>
      </c>
    </row>
    <row r="418" spans="1:13" x14ac:dyDescent="0.2">
      <c r="A418" t="s">
        <v>1519</v>
      </c>
      <c r="B418">
        <f>VALUE(RIGHT(A418,LEN(A418)-3))</f>
        <v>248</v>
      </c>
      <c r="C418">
        <v>1</v>
      </c>
      <c r="D418" t="s">
        <v>32</v>
      </c>
      <c r="E418" t="s">
        <v>1521</v>
      </c>
      <c r="F418" t="s">
        <v>503</v>
      </c>
      <c r="G418" t="s">
        <v>43</v>
      </c>
      <c r="H418" t="s">
        <v>1520</v>
      </c>
      <c r="I418" t="s">
        <v>291</v>
      </c>
      <c r="J418" t="s">
        <v>514</v>
      </c>
      <c r="K418" t="s">
        <v>3651</v>
      </c>
      <c r="L418" t="s">
        <v>3848</v>
      </c>
      <c r="M418" t="s">
        <v>57</v>
      </c>
    </row>
    <row r="419" spans="1:13" x14ac:dyDescent="0.2">
      <c r="A419" t="s">
        <v>1540</v>
      </c>
      <c r="B419">
        <f>VALUE(RIGHT(A419,LEN(A419)-3))</f>
        <v>252</v>
      </c>
      <c r="C419">
        <v>2</v>
      </c>
      <c r="D419" t="s">
        <v>32</v>
      </c>
      <c r="E419" t="s">
        <v>1542</v>
      </c>
      <c r="F419" t="s">
        <v>30</v>
      </c>
      <c r="G419" t="s">
        <v>83</v>
      </c>
      <c r="H419" t="s">
        <v>1541</v>
      </c>
      <c r="I419" t="s">
        <v>291</v>
      </c>
      <c r="J419" t="s">
        <v>514</v>
      </c>
      <c r="K419" t="s">
        <v>3651</v>
      </c>
      <c r="L419" t="s">
        <v>3853</v>
      </c>
      <c r="M419" t="s">
        <v>57</v>
      </c>
    </row>
    <row r="420" spans="1:13" x14ac:dyDescent="0.2">
      <c r="A420" t="s">
        <v>1559</v>
      </c>
      <c r="B420">
        <f>VALUE(RIGHT(A420,LEN(A420)-3))</f>
        <v>256</v>
      </c>
      <c r="C420">
        <v>1</v>
      </c>
      <c r="D420" t="s">
        <v>32</v>
      </c>
      <c r="E420" t="s">
        <v>1078</v>
      </c>
      <c r="F420" t="s">
        <v>503</v>
      </c>
      <c r="G420" t="s">
        <v>43</v>
      </c>
      <c r="H420" t="s">
        <v>1560</v>
      </c>
      <c r="I420" t="s">
        <v>291</v>
      </c>
      <c r="J420" t="s">
        <v>514</v>
      </c>
      <c r="K420" t="s">
        <v>3651</v>
      </c>
      <c r="L420" t="s">
        <v>3855</v>
      </c>
      <c r="M420" t="s">
        <v>35</v>
      </c>
    </row>
    <row r="421" spans="1:13" x14ac:dyDescent="0.2">
      <c r="A421" t="s">
        <v>1564</v>
      </c>
      <c r="B421">
        <f>VALUE(RIGHT(A421,LEN(A421)-3))</f>
        <v>257</v>
      </c>
      <c r="C421">
        <v>1</v>
      </c>
      <c r="D421" t="s">
        <v>32</v>
      </c>
      <c r="E421" t="s">
        <v>1078</v>
      </c>
      <c r="F421" t="s">
        <v>503</v>
      </c>
      <c r="G421" t="s">
        <v>43</v>
      </c>
      <c r="H421" t="s">
        <v>1560</v>
      </c>
      <c r="I421" t="s">
        <v>291</v>
      </c>
      <c r="J421" t="s">
        <v>514</v>
      </c>
      <c r="K421" t="s">
        <v>3651</v>
      </c>
      <c r="L421" t="s">
        <v>3856</v>
      </c>
      <c r="M421" t="s">
        <v>35</v>
      </c>
    </row>
    <row r="422" spans="1:13" x14ac:dyDescent="0.2">
      <c r="A422" t="s">
        <v>1661</v>
      </c>
      <c r="B422">
        <f>VALUE(RIGHT(A422,LEN(A422)-3))</f>
        <v>276</v>
      </c>
      <c r="C422">
        <v>4</v>
      </c>
      <c r="D422" t="s">
        <v>32</v>
      </c>
      <c r="E422" t="s">
        <v>1663</v>
      </c>
      <c r="F422" t="s">
        <v>503</v>
      </c>
      <c r="G422" t="s">
        <v>43</v>
      </c>
      <c r="H422" t="s">
        <v>1662</v>
      </c>
      <c r="I422" t="s">
        <v>291</v>
      </c>
      <c r="J422" t="s">
        <v>514</v>
      </c>
      <c r="K422" t="s">
        <v>3651</v>
      </c>
      <c r="L422" t="s">
        <v>3871</v>
      </c>
      <c r="M422" t="s">
        <v>57</v>
      </c>
    </row>
    <row r="423" spans="1:13" x14ac:dyDescent="0.2">
      <c r="A423" t="s">
        <v>1830</v>
      </c>
      <c r="B423">
        <f>VALUE(RIGHT(A423,LEN(A423)-3))</f>
        <v>307</v>
      </c>
      <c r="C423">
        <v>2</v>
      </c>
      <c r="D423" t="s">
        <v>32</v>
      </c>
      <c r="E423" t="s">
        <v>497</v>
      </c>
      <c r="F423" t="s">
        <v>503</v>
      </c>
      <c r="G423" t="s">
        <v>43</v>
      </c>
      <c r="H423" t="s">
        <v>1831</v>
      </c>
      <c r="I423" t="s">
        <v>291</v>
      </c>
      <c r="J423" t="s">
        <v>514</v>
      </c>
      <c r="K423" t="s">
        <v>3651</v>
      </c>
      <c r="L423" t="s">
        <v>3897</v>
      </c>
      <c r="M423" t="s">
        <v>57</v>
      </c>
    </row>
    <row r="424" spans="1:13" x14ac:dyDescent="0.2">
      <c r="A424" t="s">
        <v>2309</v>
      </c>
      <c r="B424">
        <f>VALUE(RIGHT(A424,LEN(A424)-3))</f>
        <v>392</v>
      </c>
      <c r="C424">
        <v>1</v>
      </c>
      <c r="D424" t="s">
        <v>32</v>
      </c>
      <c r="E424" t="s">
        <v>1078</v>
      </c>
      <c r="F424" t="s">
        <v>503</v>
      </c>
      <c r="G424" t="s">
        <v>43</v>
      </c>
      <c r="H424" t="s">
        <v>2310</v>
      </c>
      <c r="I424" t="s">
        <v>291</v>
      </c>
      <c r="J424" t="s">
        <v>514</v>
      </c>
      <c r="K424" t="s">
        <v>3651</v>
      </c>
      <c r="L424" t="s">
        <v>3956</v>
      </c>
      <c r="M424" t="s">
        <v>35</v>
      </c>
    </row>
    <row r="425" spans="1:13" x14ac:dyDescent="0.2">
      <c r="A425" t="s">
        <v>2330</v>
      </c>
      <c r="B425">
        <f>VALUE(RIGHT(A425,LEN(A425)-3))</f>
        <v>396</v>
      </c>
      <c r="C425">
        <v>2</v>
      </c>
      <c r="D425" t="s">
        <v>32</v>
      </c>
      <c r="E425" t="s">
        <v>2332</v>
      </c>
      <c r="F425" t="s">
        <v>602</v>
      </c>
      <c r="G425" t="s">
        <v>43</v>
      </c>
      <c r="H425" t="s">
        <v>2325</v>
      </c>
      <c r="I425" t="s">
        <v>291</v>
      </c>
      <c r="J425" t="s">
        <v>514</v>
      </c>
      <c r="K425" t="s">
        <v>3651</v>
      </c>
      <c r="L425" t="s">
        <v>3965</v>
      </c>
      <c r="M425" t="s">
        <v>57</v>
      </c>
    </row>
    <row r="426" spans="1:13" x14ac:dyDescent="0.2">
      <c r="A426" t="s">
        <v>2375</v>
      </c>
      <c r="B426">
        <f>VALUE(RIGHT(A426,LEN(A426)-3))</f>
        <v>403</v>
      </c>
      <c r="C426">
        <v>3</v>
      </c>
      <c r="D426" t="s">
        <v>32</v>
      </c>
      <c r="E426" t="s">
        <v>2378</v>
      </c>
      <c r="F426" t="s">
        <v>30</v>
      </c>
      <c r="G426" t="s">
        <v>43</v>
      </c>
      <c r="H426" t="s">
        <v>2376</v>
      </c>
      <c r="I426" t="s">
        <v>291</v>
      </c>
      <c r="J426" t="s">
        <v>514</v>
      </c>
      <c r="K426" t="s">
        <v>3651</v>
      </c>
      <c r="L426" t="s">
        <v>3979</v>
      </c>
      <c r="M426" t="s">
        <v>57</v>
      </c>
    </row>
    <row r="427" spans="1:13" x14ac:dyDescent="0.2">
      <c r="A427" t="s">
        <v>2382</v>
      </c>
      <c r="B427">
        <f>VALUE(RIGHT(A427,LEN(A427)-3))</f>
        <v>404</v>
      </c>
      <c r="C427">
        <v>2</v>
      </c>
      <c r="D427" t="s">
        <v>32</v>
      </c>
      <c r="E427" t="s">
        <v>2384</v>
      </c>
      <c r="F427" t="s">
        <v>30</v>
      </c>
      <c r="G427" t="s">
        <v>43</v>
      </c>
      <c r="H427" t="s">
        <v>2383</v>
      </c>
      <c r="I427" t="s">
        <v>291</v>
      </c>
      <c r="J427" t="s">
        <v>514</v>
      </c>
      <c r="K427" t="s">
        <v>3651</v>
      </c>
      <c r="L427" t="s">
        <v>3981</v>
      </c>
      <c r="M427" t="s">
        <v>35</v>
      </c>
    </row>
    <row r="428" spans="1:13" x14ac:dyDescent="0.2">
      <c r="A428" t="s">
        <v>2744</v>
      </c>
      <c r="B428">
        <f>VALUE(RIGHT(A428,LEN(A428)-3))</f>
        <v>470</v>
      </c>
      <c r="C428">
        <v>2</v>
      </c>
      <c r="D428" t="s">
        <v>32</v>
      </c>
      <c r="E428" t="s">
        <v>497</v>
      </c>
      <c r="F428" t="s">
        <v>503</v>
      </c>
      <c r="G428" t="s">
        <v>43</v>
      </c>
      <c r="H428" t="s">
        <v>2745</v>
      </c>
      <c r="I428" t="s">
        <v>291</v>
      </c>
      <c r="J428" t="s">
        <v>514</v>
      </c>
      <c r="K428" t="s">
        <v>3651</v>
      </c>
      <c r="L428" t="s">
        <v>4038</v>
      </c>
      <c r="M428" t="s">
        <v>57</v>
      </c>
    </row>
    <row r="429" spans="1:13" x14ac:dyDescent="0.2">
      <c r="A429" t="s">
        <v>2756</v>
      </c>
      <c r="B429">
        <f>VALUE(RIGHT(A429,LEN(A429)-3))</f>
        <v>472</v>
      </c>
      <c r="C429">
        <v>1</v>
      </c>
      <c r="D429" t="s">
        <v>32</v>
      </c>
      <c r="E429" t="s">
        <v>2759</v>
      </c>
      <c r="F429" t="s">
        <v>30</v>
      </c>
      <c r="G429" t="s">
        <v>54</v>
      </c>
      <c r="H429" t="s">
        <v>2757</v>
      </c>
      <c r="I429" t="s">
        <v>291</v>
      </c>
      <c r="J429" t="s">
        <v>514</v>
      </c>
      <c r="K429" t="s">
        <v>3651</v>
      </c>
      <c r="L429" t="s">
        <v>4040</v>
      </c>
      <c r="M429" t="s">
        <v>57</v>
      </c>
    </row>
    <row r="430" spans="1:13" x14ac:dyDescent="0.2">
      <c r="A430" t="s">
        <v>2787</v>
      </c>
      <c r="B430">
        <f>VALUE(RIGHT(A430,LEN(A430)-3))</f>
        <v>478</v>
      </c>
      <c r="C430">
        <v>1</v>
      </c>
      <c r="D430" t="s">
        <v>32</v>
      </c>
      <c r="E430" t="s">
        <v>2791</v>
      </c>
      <c r="F430" t="s">
        <v>503</v>
      </c>
      <c r="G430" t="s">
        <v>43</v>
      </c>
      <c r="H430" t="s">
        <v>2788</v>
      </c>
      <c r="I430" t="s">
        <v>291</v>
      </c>
      <c r="J430" t="s">
        <v>514</v>
      </c>
      <c r="K430" t="s">
        <v>3651</v>
      </c>
      <c r="L430" t="s">
        <v>4049</v>
      </c>
      <c r="M430" t="s">
        <v>35</v>
      </c>
    </row>
    <row r="431" spans="1:13" x14ac:dyDescent="0.2">
      <c r="A431" t="s">
        <v>2941</v>
      </c>
      <c r="B431">
        <f>VALUE(RIGHT(A431,LEN(A431)-3))</f>
        <v>506</v>
      </c>
      <c r="C431">
        <v>2</v>
      </c>
      <c r="D431" t="s">
        <v>32</v>
      </c>
      <c r="E431" t="s">
        <v>2944</v>
      </c>
      <c r="F431" t="s">
        <v>30</v>
      </c>
      <c r="G431" t="s">
        <v>43</v>
      </c>
      <c r="H431" t="s">
        <v>2942</v>
      </c>
      <c r="I431" t="s">
        <v>291</v>
      </c>
      <c r="J431" t="s">
        <v>514</v>
      </c>
      <c r="K431" t="s">
        <v>3651</v>
      </c>
      <c r="L431" t="s">
        <v>4077</v>
      </c>
      <c r="M431" t="s">
        <v>57</v>
      </c>
    </row>
    <row r="432" spans="1:13" x14ac:dyDescent="0.2">
      <c r="A432" t="s">
        <v>3065</v>
      </c>
      <c r="B432">
        <f>VALUE(RIGHT(A432,LEN(A432)-3))</f>
        <v>529</v>
      </c>
      <c r="C432">
        <v>2</v>
      </c>
      <c r="D432" t="s">
        <v>32</v>
      </c>
      <c r="E432" t="s">
        <v>3067</v>
      </c>
      <c r="F432" t="s">
        <v>30</v>
      </c>
      <c r="G432" t="s">
        <v>43</v>
      </c>
      <c r="H432" t="s">
        <v>3066</v>
      </c>
      <c r="I432" t="s">
        <v>291</v>
      </c>
      <c r="J432" t="s">
        <v>514</v>
      </c>
      <c r="K432" t="s">
        <v>3651</v>
      </c>
      <c r="L432" t="s">
        <v>4099</v>
      </c>
      <c r="M432" t="s">
        <v>35</v>
      </c>
    </row>
    <row r="433" spans="1:13" x14ac:dyDescent="0.2">
      <c r="A433" t="s">
        <v>3092</v>
      </c>
      <c r="B433">
        <f>VALUE(RIGHT(A433,LEN(A433)-3))</f>
        <v>534</v>
      </c>
      <c r="C433">
        <v>3</v>
      </c>
      <c r="D433" t="s">
        <v>32</v>
      </c>
      <c r="E433" t="s">
        <v>3094</v>
      </c>
      <c r="F433" t="s">
        <v>30</v>
      </c>
      <c r="G433" t="s">
        <v>83</v>
      </c>
      <c r="H433" t="s">
        <v>3093</v>
      </c>
      <c r="I433" t="s">
        <v>291</v>
      </c>
      <c r="J433" t="s">
        <v>514</v>
      </c>
      <c r="K433" t="s">
        <v>3651</v>
      </c>
      <c r="L433" t="s">
        <v>4106</v>
      </c>
      <c r="M433" t="s">
        <v>35</v>
      </c>
    </row>
    <row r="434" spans="1:13" x14ac:dyDescent="0.2">
      <c r="A434" t="s">
        <v>383</v>
      </c>
      <c r="B434">
        <f>VALUE(RIGHT(A434,LEN(A434)-3))</f>
        <v>51</v>
      </c>
      <c r="C434">
        <v>2</v>
      </c>
      <c r="D434" t="s">
        <v>32</v>
      </c>
      <c r="E434" t="s">
        <v>386</v>
      </c>
      <c r="F434" t="s">
        <v>30</v>
      </c>
      <c r="G434" t="s">
        <v>43</v>
      </c>
      <c r="H434" t="s">
        <v>384</v>
      </c>
      <c r="I434" t="s">
        <v>291</v>
      </c>
      <c r="J434" t="s">
        <v>1105</v>
      </c>
      <c r="K434" t="s">
        <v>3683</v>
      </c>
      <c r="L434" t="s">
        <v>3684</v>
      </c>
      <c r="M434" t="s">
        <v>57</v>
      </c>
    </row>
    <row r="435" spans="1:13" x14ac:dyDescent="0.2">
      <c r="A435" t="s">
        <v>588</v>
      </c>
      <c r="B435">
        <f>VALUE(RIGHT(A435,LEN(A435)-3))</f>
        <v>84</v>
      </c>
      <c r="C435">
        <v>1</v>
      </c>
      <c r="D435" t="s">
        <v>32</v>
      </c>
      <c r="E435" t="s">
        <v>590</v>
      </c>
      <c r="F435" t="s">
        <v>503</v>
      </c>
      <c r="G435" t="s">
        <v>43</v>
      </c>
      <c r="H435" t="s">
        <v>589</v>
      </c>
      <c r="I435" t="s">
        <v>291</v>
      </c>
      <c r="J435" t="s">
        <v>1105</v>
      </c>
      <c r="K435" t="s">
        <v>3683</v>
      </c>
      <c r="L435" t="s">
        <v>3720</v>
      </c>
      <c r="M435" t="s">
        <v>57</v>
      </c>
    </row>
    <row r="436" spans="1:13" x14ac:dyDescent="0.2">
      <c r="A436" t="s">
        <v>627</v>
      </c>
      <c r="B436">
        <f>VALUE(RIGHT(A436,LEN(A436)-3))</f>
        <v>90</v>
      </c>
      <c r="C436">
        <v>3</v>
      </c>
      <c r="D436" t="s">
        <v>32</v>
      </c>
      <c r="E436" t="s">
        <v>631</v>
      </c>
      <c r="F436" t="s">
        <v>503</v>
      </c>
      <c r="G436" t="s">
        <v>43</v>
      </c>
      <c r="H436" t="s">
        <v>628</v>
      </c>
      <c r="I436" t="s">
        <v>291</v>
      </c>
      <c r="J436" t="s">
        <v>1105</v>
      </c>
      <c r="K436" t="s">
        <v>3683</v>
      </c>
      <c r="L436" t="s">
        <v>3727</v>
      </c>
      <c r="M436" t="s">
        <v>57</v>
      </c>
    </row>
    <row r="437" spans="1:13" x14ac:dyDescent="0.2">
      <c r="A437" t="s">
        <v>643</v>
      </c>
      <c r="B437">
        <f>VALUE(RIGHT(A437,LEN(A437)-3))</f>
        <v>92</v>
      </c>
      <c r="C437">
        <v>1</v>
      </c>
      <c r="D437" t="s">
        <v>32</v>
      </c>
      <c r="E437" t="s">
        <v>645</v>
      </c>
      <c r="F437" t="s">
        <v>602</v>
      </c>
      <c r="G437" t="s">
        <v>43</v>
      </c>
      <c r="H437" t="s">
        <v>644</v>
      </c>
      <c r="I437" t="s">
        <v>291</v>
      </c>
      <c r="J437" t="s">
        <v>1105</v>
      </c>
      <c r="K437" t="s">
        <v>3683</v>
      </c>
      <c r="L437" t="s">
        <v>3728</v>
      </c>
      <c r="M437" t="s">
        <v>57</v>
      </c>
    </row>
    <row r="438" spans="1:13" x14ac:dyDescent="0.2">
      <c r="A438" t="s">
        <v>726</v>
      </c>
      <c r="B438">
        <f>VALUE(RIGHT(A438,LEN(A438)-3))</f>
        <v>107</v>
      </c>
      <c r="C438">
        <v>2</v>
      </c>
      <c r="D438" t="s">
        <v>32</v>
      </c>
      <c r="E438" t="s">
        <v>728</v>
      </c>
      <c r="F438" t="s">
        <v>30</v>
      </c>
      <c r="G438" t="s">
        <v>43</v>
      </c>
      <c r="H438" t="s">
        <v>727</v>
      </c>
      <c r="I438" t="s">
        <v>291</v>
      </c>
      <c r="J438" t="s">
        <v>1105</v>
      </c>
      <c r="K438" t="s">
        <v>3683</v>
      </c>
      <c r="L438" t="s">
        <v>3739</v>
      </c>
      <c r="M438" t="s">
        <v>57</v>
      </c>
    </row>
    <row r="439" spans="1:13" x14ac:dyDescent="0.2">
      <c r="A439" t="s">
        <v>1246</v>
      </c>
      <c r="B439">
        <f>VALUE(RIGHT(A439,LEN(A439)-3))</f>
        <v>198</v>
      </c>
      <c r="C439">
        <v>3</v>
      </c>
      <c r="D439" t="s">
        <v>32</v>
      </c>
      <c r="E439" t="s">
        <v>1249</v>
      </c>
      <c r="F439" t="s">
        <v>503</v>
      </c>
      <c r="G439" t="s">
        <v>43</v>
      </c>
      <c r="H439" t="s">
        <v>1247</v>
      </c>
      <c r="I439" t="s">
        <v>291</v>
      </c>
      <c r="J439" t="s">
        <v>1105</v>
      </c>
      <c r="K439" t="s">
        <v>3683</v>
      </c>
      <c r="L439" t="s">
        <v>3804</v>
      </c>
      <c r="M439" t="s">
        <v>57</v>
      </c>
    </row>
    <row r="440" spans="1:13" x14ac:dyDescent="0.2">
      <c r="A440" t="s">
        <v>1331</v>
      </c>
      <c r="B440">
        <f>VALUE(RIGHT(A440,LEN(A440)-3))</f>
        <v>213</v>
      </c>
      <c r="C440">
        <v>1</v>
      </c>
      <c r="D440" t="s">
        <v>32</v>
      </c>
      <c r="E440" t="s">
        <v>1138</v>
      </c>
      <c r="F440" t="s">
        <v>503</v>
      </c>
      <c r="G440" t="s">
        <v>43</v>
      </c>
      <c r="H440" t="s">
        <v>1332</v>
      </c>
      <c r="I440" t="s">
        <v>291</v>
      </c>
      <c r="J440" t="s">
        <v>1105</v>
      </c>
      <c r="K440" t="s">
        <v>3683</v>
      </c>
      <c r="L440" t="s">
        <v>3819</v>
      </c>
      <c r="M440" t="s">
        <v>57</v>
      </c>
    </row>
    <row r="441" spans="1:13" x14ac:dyDescent="0.2">
      <c r="A441" t="s">
        <v>1395</v>
      </c>
      <c r="B441">
        <f>VALUE(RIGHT(A441,LEN(A441)-3))</f>
        <v>225</v>
      </c>
      <c r="C441">
        <v>2</v>
      </c>
      <c r="D441" t="s">
        <v>32</v>
      </c>
      <c r="E441" t="s">
        <v>1398</v>
      </c>
      <c r="F441" t="s">
        <v>30</v>
      </c>
      <c r="G441" t="s">
        <v>29</v>
      </c>
      <c r="H441" t="s">
        <v>1396</v>
      </c>
      <c r="I441" t="s">
        <v>291</v>
      </c>
      <c r="J441" t="s">
        <v>1105</v>
      </c>
      <c r="K441" t="s">
        <v>3683</v>
      </c>
      <c r="L441" t="s">
        <v>3831</v>
      </c>
      <c r="M441" t="s">
        <v>57</v>
      </c>
    </row>
    <row r="442" spans="1:13" x14ac:dyDescent="0.2">
      <c r="A442" t="s">
        <v>1413</v>
      </c>
      <c r="B442">
        <f>VALUE(RIGHT(A442,LEN(A442)-3))</f>
        <v>228</v>
      </c>
      <c r="C442">
        <v>3</v>
      </c>
      <c r="D442" t="s">
        <v>32</v>
      </c>
      <c r="E442" t="s">
        <v>1415</v>
      </c>
      <c r="F442" t="s">
        <v>30</v>
      </c>
      <c r="G442" t="s">
        <v>43</v>
      </c>
      <c r="H442" t="s">
        <v>1414</v>
      </c>
      <c r="I442" t="s">
        <v>291</v>
      </c>
      <c r="J442" t="s">
        <v>1105</v>
      </c>
      <c r="K442" t="s">
        <v>3683</v>
      </c>
      <c r="L442" t="s">
        <v>3836</v>
      </c>
      <c r="M442" t="s">
        <v>57</v>
      </c>
    </row>
    <row r="443" spans="1:13" x14ac:dyDescent="0.2">
      <c r="A443" t="s">
        <v>1433</v>
      </c>
      <c r="B443">
        <f>VALUE(RIGHT(A443,LEN(A443)-3))</f>
        <v>232</v>
      </c>
      <c r="C443">
        <v>1</v>
      </c>
      <c r="D443" t="s">
        <v>32</v>
      </c>
      <c r="E443" t="s">
        <v>1435</v>
      </c>
      <c r="F443" t="s">
        <v>30</v>
      </c>
      <c r="G443" t="s">
        <v>29</v>
      </c>
      <c r="H443" t="s">
        <v>1434</v>
      </c>
      <c r="I443" t="s">
        <v>291</v>
      </c>
      <c r="J443" t="s">
        <v>1105</v>
      </c>
      <c r="K443" t="s">
        <v>3683</v>
      </c>
      <c r="L443" t="s">
        <v>3838</v>
      </c>
      <c r="M443" t="s">
        <v>57</v>
      </c>
    </row>
    <row r="444" spans="1:13" x14ac:dyDescent="0.2">
      <c r="A444" t="s">
        <v>2297</v>
      </c>
      <c r="B444">
        <f>VALUE(RIGHT(A444,LEN(A444)-3))</f>
        <v>390</v>
      </c>
      <c r="C444">
        <v>1</v>
      </c>
      <c r="D444" t="s">
        <v>32</v>
      </c>
      <c r="E444" t="s">
        <v>2300</v>
      </c>
      <c r="F444" t="s">
        <v>503</v>
      </c>
      <c r="G444" t="s">
        <v>43</v>
      </c>
      <c r="H444" t="s">
        <v>2290</v>
      </c>
      <c r="I444" t="s">
        <v>291</v>
      </c>
      <c r="J444" t="s">
        <v>1105</v>
      </c>
      <c r="K444" t="s">
        <v>3683</v>
      </c>
      <c r="L444" t="s">
        <v>3954</v>
      </c>
      <c r="M444" t="s">
        <v>35</v>
      </c>
    </row>
    <row r="445" spans="1:13" x14ac:dyDescent="0.2">
      <c r="A445" t="s">
        <v>2588</v>
      </c>
      <c r="B445">
        <f>VALUE(RIGHT(A445,LEN(A445)-3))</f>
        <v>441</v>
      </c>
      <c r="C445">
        <v>2</v>
      </c>
      <c r="D445" t="s">
        <v>32</v>
      </c>
      <c r="E445" t="s">
        <v>2590</v>
      </c>
      <c r="F445" t="s">
        <v>503</v>
      </c>
      <c r="G445" t="s">
        <v>43</v>
      </c>
      <c r="H445" t="s">
        <v>2589</v>
      </c>
      <c r="I445" t="s">
        <v>291</v>
      </c>
      <c r="J445" t="s">
        <v>1105</v>
      </c>
      <c r="K445" t="s">
        <v>3683</v>
      </c>
      <c r="L445" t="s">
        <v>4019</v>
      </c>
      <c r="M445" t="s">
        <v>57</v>
      </c>
    </row>
    <row r="446" spans="1:13" x14ac:dyDescent="0.2">
      <c r="A446" t="s">
        <v>3065</v>
      </c>
      <c r="B446">
        <f>VALUE(RIGHT(A446,LEN(A446)-3))</f>
        <v>529</v>
      </c>
      <c r="C446">
        <v>1</v>
      </c>
      <c r="D446" t="s">
        <v>32</v>
      </c>
      <c r="E446" t="s">
        <v>3067</v>
      </c>
      <c r="F446" t="s">
        <v>30</v>
      </c>
      <c r="G446" t="s">
        <v>43</v>
      </c>
      <c r="H446" t="s">
        <v>3066</v>
      </c>
      <c r="I446" t="s">
        <v>291</v>
      </c>
      <c r="J446" t="s">
        <v>1105</v>
      </c>
      <c r="K446" t="s">
        <v>3683</v>
      </c>
      <c r="L446" t="s">
        <v>4098</v>
      </c>
      <c r="M446" t="s">
        <v>57</v>
      </c>
    </row>
    <row r="447" spans="1:13" x14ac:dyDescent="0.2">
      <c r="A447" t="s">
        <v>3103</v>
      </c>
      <c r="B447">
        <f>VALUE(RIGHT(A447,LEN(A447)-3))</f>
        <v>536</v>
      </c>
      <c r="C447">
        <v>2</v>
      </c>
      <c r="D447" t="s">
        <v>32</v>
      </c>
      <c r="E447" t="s">
        <v>3104</v>
      </c>
      <c r="F447" t="s">
        <v>503</v>
      </c>
      <c r="G447" t="s">
        <v>83</v>
      </c>
      <c r="H447" t="s">
        <v>3099</v>
      </c>
      <c r="I447" t="s">
        <v>291</v>
      </c>
      <c r="J447" t="s">
        <v>1105</v>
      </c>
      <c r="K447" t="s">
        <v>3683</v>
      </c>
      <c r="L447" t="s">
        <v>4108</v>
      </c>
      <c r="M447" t="s">
        <v>35</v>
      </c>
    </row>
    <row r="448" spans="1:13" x14ac:dyDescent="0.2">
      <c r="A448" t="s">
        <v>229</v>
      </c>
      <c r="B448">
        <f>VALUE(RIGHT(A448,LEN(A448)-3))</f>
        <v>27</v>
      </c>
      <c r="C448">
        <v>2</v>
      </c>
      <c r="D448" t="s">
        <v>32</v>
      </c>
      <c r="E448" t="s">
        <v>231</v>
      </c>
      <c r="F448" t="s">
        <v>30</v>
      </c>
      <c r="G448" t="s">
        <v>43</v>
      </c>
      <c r="H448" t="s">
        <v>230</v>
      </c>
      <c r="I448" t="s">
        <v>291</v>
      </c>
      <c r="J448" t="s">
        <v>1105</v>
      </c>
      <c r="K448" t="s">
        <v>3653</v>
      </c>
      <c r="L448" t="s">
        <v>3654</v>
      </c>
      <c r="M448" t="s">
        <v>57</v>
      </c>
    </row>
    <row r="449" spans="1:13" x14ac:dyDescent="0.2">
      <c r="A449" t="s">
        <v>840</v>
      </c>
      <c r="B449">
        <f>VALUE(RIGHT(A449,LEN(A449)-3))</f>
        <v>127</v>
      </c>
      <c r="C449">
        <v>2</v>
      </c>
      <c r="D449" t="s">
        <v>32</v>
      </c>
      <c r="E449" t="s">
        <v>842</v>
      </c>
      <c r="F449" t="s">
        <v>503</v>
      </c>
      <c r="G449" t="s">
        <v>43</v>
      </c>
      <c r="H449" t="s">
        <v>841</v>
      </c>
      <c r="I449" t="s">
        <v>291</v>
      </c>
      <c r="J449" t="s">
        <v>1105</v>
      </c>
      <c r="K449" t="s">
        <v>3653</v>
      </c>
      <c r="L449" t="s">
        <v>3752</v>
      </c>
      <c r="M449" t="s">
        <v>57</v>
      </c>
    </row>
    <row r="450" spans="1:13" x14ac:dyDescent="0.2">
      <c r="A450" t="s">
        <v>924</v>
      </c>
      <c r="B450">
        <f>VALUE(RIGHT(A450,LEN(A450)-3))</f>
        <v>141</v>
      </c>
      <c r="C450">
        <v>1</v>
      </c>
      <c r="D450" t="s">
        <v>32</v>
      </c>
      <c r="E450" t="s">
        <v>927</v>
      </c>
      <c r="F450" t="s">
        <v>30</v>
      </c>
      <c r="G450" t="s">
        <v>43</v>
      </c>
      <c r="H450" t="s">
        <v>925</v>
      </c>
      <c r="I450" t="s">
        <v>291</v>
      </c>
      <c r="J450" t="s">
        <v>1105</v>
      </c>
      <c r="K450" t="s">
        <v>3653</v>
      </c>
      <c r="L450" t="s">
        <v>3763</v>
      </c>
      <c r="M450" t="s">
        <v>57</v>
      </c>
    </row>
    <row r="451" spans="1:13" x14ac:dyDescent="0.2">
      <c r="A451" t="s">
        <v>2487</v>
      </c>
      <c r="B451">
        <f>VALUE(RIGHT(A451,LEN(A451)-3))</f>
        <v>422</v>
      </c>
      <c r="C451">
        <v>1</v>
      </c>
      <c r="D451" t="s">
        <v>32</v>
      </c>
      <c r="E451" t="s">
        <v>2489</v>
      </c>
      <c r="F451" t="s">
        <v>602</v>
      </c>
      <c r="G451" t="s">
        <v>43</v>
      </c>
      <c r="H451" t="s">
        <v>2488</v>
      </c>
      <c r="I451" t="s">
        <v>291</v>
      </c>
      <c r="J451" t="s">
        <v>1105</v>
      </c>
      <c r="K451" t="s">
        <v>3653</v>
      </c>
      <c r="L451" t="s">
        <v>3996</v>
      </c>
      <c r="M451" t="s">
        <v>57</v>
      </c>
    </row>
    <row r="452" spans="1:13" x14ac:dyDescent="0.2">
      <c r="A452" t="s">
        <v>2626</v>
      </c>
      <c r="B452">
        <f>VALUE(RIGHT(A452,LEN(A452)-3))</f>
        <v>448</v>
      </c>
      <c r="C452">
        <v>1</v>
      </c>
      <c r="D452" t="s">
        <v>32</v>
      </c>
      <c r="E452" t="s">
        <v>2628</v>
      </c>
      <c r="F452" t="s">
        <v>2305</v>
      </c>
      <c r="G452" t="s">
        <v>43</v>
      </c>
      <c r="H452" t="s">
        <v>2627</v>
      </c>
      <c r="I452" t="s">
        <v>291</v>
      </c>
      <c r="J452" t="s">
        <v>1105</v>
      </c>
      <c r="K452" t="s">
        <v>3653</v>
      </c>
      <c r="L452" t="s">
        <v>4026</v>
      </c>
      <c r="M452" t="s">
        <v>57</v>
      </c>
    </row>
    <row r="453" spans="1:13" x14ac:dyDescent="0.2">
      <c r="A453" t="s">
        <v>2776</v>
      </c>
      <c r="B453">
        <f>VALUE(RIGHT(A453,LEN(A453)-3))</f>
        <v>476</v>
      </c>
      <c r="C453">
        <v>1</v>
      </c>
      <c r="D453" t="s">
        <v>32</v>
      </c>
      <c r="E453" t="s">
        <v>2778</v>
      </c>
      <c r="F453" t="s">
        <v>30</v>
      </c>
      <c r="G453" t="s">
        <v>43</v>
      </c>
      <c r="H453" t="s">
        <v>2777</v>
      </c>
      <c r="I453" t="s">
        <v>291</v>
      </c>
      <c r="J453" t="s">
        <v>1105</v>
      </c>
      <c r="K453" t="s">
        <v>3653</v>
      </c>
      <c r="L453" t="s">
        <v>4043</v>
      </c>
      <c r="M453" t="s">
        <v>57</v>
      </c>
    </row>
    <row r="454" spans="1:13" x14ac:dyDescent="0.2">
      <c r="A454" t="s">
        <v>2781</v>
      </c>
      <c r="B454">
        <f>VALUE(RIGHT(A454,LEN(A454)-3))</f>
        <v>477</v>
      </c>
      <c r="C454">
        <v>1</v>
      </c>
      <c r="D454" t="s">
        <v>32</v>
      </c>
      <c r="E454" t="s">
        <v>2783</v>
      </c>
      <c r="F454" t="s">
        <v>503</v>
      </c>
      <c r="G454" t="s">
        <v>43</v>
      </c>
      <c r="H454" t="s">
        <v>2782</v>
      </c>
      <c r="I454" t="s">
        <v>291</v>
      </c>
      <c r="J454" t="s">
        <v>1105</v>
      </c>
      <c r="K454" t="s">
        <v>3653</v>
      </c>
      <c r="L454" t="s">
        <v>4045</v>
      </c>
      <c r="M454" t="s">
        <v>57</v>
      </c>
    </row>
    <row r="455" spans="1:13" x14ac:dyDescent="0.2">
      <c r="A455" t="s">
        <v>2886</v>
      </c>
      <c r="B455">
        <f>VALUE(RIGHT(A455,LEN(A455)-3))</f>
        <v>496</v>
      </c>
      <c r="C455">
        <v>3</v>
      </c>
      <c r="D455" t="s">
        <v>32</v>
      </c>
      <c r="E455" t="s">
        <v>2888</v>
      </c>
      <c r="F455" t="s">
        <v>503</v>
      </c>
      <c r="G455" t="s">
        <v>43</v>
      </c>
      <c r="H455" t="s">
        <v>2887</v>
      </c>
      <c r="I455" t="s">
        <v>291</v>
      </c>
      <c r="J455" t="s">
        <v>1105</v>
      </c>
      <c r="K455" t="s">
        <v>3653</v>
      </c>
      <c r="L455" t="s">
        <v>4067</v>
      </c>
      <c r="M455" t="s">
        <v>57</v>
      </c>
    </row>
    <row r="456" spans="1:13" x14ac:dyDescent="0.2">
      <c r="A456" t="s">
        <v>2936</v>
      </c>
      <c r="B456">
        <f>VALUE(RIGHT(A456,LEN(A456)-3))</f>
        <v>505</v>
      </c>
      <c r="C456">
        <v>1</v>
      </c>
      <c r="D456" t="s">
        <v>32</v>
      </c>
      <c r="E456" t="s">
        <v>2938</v>
      </c>
      <c r="F456" t="s">
        <v>503</v>
      </c>
      <c r="G456" t="s">
        <v>43</v>
      </c>
      <c r="H456" t="s">
        <v>2937</v>
      </c>
      <c r="I456" t="s">
        <v>291</v>
      </c>
      <c r="J456" t="s">
        <v>1105</v>
      </c>
      <c r="K456" t="s">
        <v>3653</v>
      </c>
      <c r="L456" t="s">
        <v>4075</v>
      </c>
      <c r="M456" t="s">
        <v>35</v>
      </c>
    </row>
    <row r="457" spans="1:13" x14ac:dyDescent="0.2">
      <c r="A457" t="s">
        <v>2968</v>
      </c>
      <c r="B457">
        <f>VALUE(RIGHT(A457,LEN(A457)-3))</f>
        <v>511</v>
      </c>
      <c r="C457">
        <v>1</v>
      </c>
      <c r="D457" t="s">
        <v>32</v>
      </c>
      <c r="E457" t="s">
        <v>2969</v>
      </c>
      <c r="F457" t="s">
        <v>503</v>
      </c>
      <c r="G457" t="s">
        <v>43</v>
      </c>
      <c r="H457" t="s">
        <v>2964</v>
      </c>
      <c r="I457" t="s">
        <v>291</v>
      </c>
      <c r="J457" t="s">
        <v>1105</v>
      </c>
      <c r="K457" t="s">
        <v>3653</v>
      </c>
      <c r="L457" t="s">
        <v>4083</v>
      </c>
      <c r="M457" t="s">
        <v>57</v>
      </c>
    </row>
    <row r="458" spans="1:13" x14ac:dyDescent="0.2">
      <c r="A458" t="s">
        <v>323</v>
      </c>
      <c r="B458">
        <f>VALUE(RIGHT(A458,LEN(A458)-3))</f>
        <v>42</v>
      </c>
      <c r="C458">
        <v>2</v>
      </c>
      <c r="D458" t="s">
        <v>32</v>
      </c>
      <c r="E458" t="s">
        <v>325</v>
      </c>
      <c r="F458" t="s">
        <v>30</v>
      </c>
      <c r="G458" t="s">
        <v>29</v>
      </c>
      <c r="H458" t="s">
        <v>324</v>
      </c>
      <c r="I458" t="s">
        <v>291</v>
      </c>
      <c r="J458" t="s">
        <v>1105</v>
      </c>
      <c r="K458" t="s">
        <v>3673</v>
      </c>
      <c r="L458" t="s">
        <v>3674</v>
      </c>
      <c r="M458" t="s">
        <v>35</v>
      </c>
    </row>
    <row r="459" spans="1:13" x14ac:dyDescent="0.2">
      <c r="A459" t="s">
        <v>2370</v>
      </c>
      <c r="B459">
        <f>VALUE(RIGHT(A459,LEN(A459)-3))</f>
        <v>402</v>
      </c>
      <c r="C459">
        <v>1</v>
      </c>
      <c r="D459" t="s">
        <v>32</v>
      </c>
      <c r="E459" t="s">
        <v>2372</v>
      </c>
      <c r="F459" t="s">
        <v>30</v>
      </c>
      <c r="G459" t="s">
        <v>54</v>
      </c>
      <c r="H459" t="s">
        <v>2371</v>
      </c>
      <c r="I459" t="s">
        <v>291</v>
      </c>
      <c r="J459" t="s">
        <v>1105</v>
      </c>
      <c r="K459" t="s">
        <v>3673</v>
      </c>
      <c r="L459" t="s">
        <v>3974</v>
      </c>
      <c r="M459" t="s">
        <v>35</v>
      </c>
    </row>
    <row r="460" spans="1:13" x14ac:dyDescent="0.2">
      <c r="A460" t="s">
        <v>709</v>
      </c>
      <c r="B460">
        <f>VALUE(RIGHT(A460,LEN(A460)-3))</f>
        <v>104</v>
      </c>
      <c r="C460">
        <v>2</v>
      </c>
      <c r="D460" t="s">
        <v>32</v>
      </c>
      <c r="E460" t="s">
        <v>711</v>
      </c>
      <c r="F460" t="s">
        <v>30</v>
      </c>
      <c r="G460" t="s">
        <v>83</v>
      </c>
      <c r="H460" t="s">
        <v>710</v>
      </c>
      <c r="I460" t="s">
        <v>291</v>
      </c>
      <c r="J460" t="s">
        <v>1354</v>
      </c>
      <c r="K460" t="s">
        <v>3736</v>
      </c>
      <c r="L460" t="s">
        <v>3737</v>
      </c>
      <c r="M460" t="s">
        <v>57</v>
      </c>
    </row>
    <row r="461" spans="1:13" x14ac:dyDescent="0.2">
      <c r="A461" t="s">
        <v>1208</v>
      </c>
      <c r="B461">
        <f>VALUE(RIGHT(A461,LEN(A461)-3))</f>
        <v>191</v>
      </c>
      <c r="C461">
        <v>2</v>
      </c>
      <c r="D461" t="s">
        <v>32</v>
      </c>
      <c r="E461" t="s">
        <v>1211</v>
      </c>
      <c r="F461" t="s">
        <v>503</v>
      </c>
      <c r="G461" t="s">
        <v>43</v>
      </c>
      <c r="H461" t="s">
        <v>1209</v>
      </c>
      <c r="I461" t="s">
        <v>291</v>
      </c>
      <c r="J461" t="s">
        <v>1354</v>
      </c>
      <c r="K461" t="s">
        <v>3736</v>
      </c>
      <c r="L461" t="s">
        <v>3795</v>
      </c>
      <c r="M461" t="s">
        <v>35</v>
      </c>
    </row>
    <row r="462" spans="1:13" x14ac:dyDescent="0.2">
      <c r="A462" t="s">
        <v>2886</v>
      </c>
      <c r="B462">
        <f>VALUE(RIGHT(A462,LEN(A462)-3))</f>
        <v>496</v>
      </c>
      <c r="C462">
        <v>4</v>
      </c>
      <c r="D462" t="s">
        <v>32</v>
      </c>
      <c r="E462" t="s">
        <v>2888</v>
      </c>
      <c r="F462" t="s">
        <v>503</v>
      </c>
      <c r="G462" t="s">
        <v>43</v>
      </c>
      <c r="H462" t="s">
        <v>2887</v>
      </c>
      <c r="I462" t="s">
        <v>291</v>
      </c>
      <c r="J462" t="s">
        <v>1354</v>
      </c>
      <c r="K462" t="s">
        <v>3736</v>
      </c>
      <c r="L462" t="s">
        <v>4068</v>
      </c>
      <c r="M462" t="s">
        <v>57</v>
      </c>
    </row>
  </sheetData>
  <autoFilter ref="A1:M462" xr:uid="{00000000-0009-0000-0000-000002000000}">
    <sortState xmlns:xlrd2="http://schemas.microsoft.com/office/spreadsheetml/2017/richdata2" ref="A2:M462">
      <sortCondition ref="K1:K462"/>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pane ySplit="1" topLeftCell="A2" activePane="bottomLeft" state="frozen"/>
      <selection pane="bottomLeft" activeCell="B3" sqref="B3"/>
    </sheetView>
  </sheetViews>
  <sheetFormatPr baseColWidth="10" defaultColWidth="8.83203125" defaultRowHeight="15" x14ac:dyDescent="0.2"/>
  <cols>
    <col min="1" max="1" width="21" customWidth="1"/>
    <col min="2" max="2" width="60" customWidth="1"/>
  </cols>
  <sheetData>
    <row r="1" spans="1:2" x14ac:dyDescent="0.2">
      <c r="A1" t="s">
        <v>4112</v>
      </c>
      <c r="B1" t="s">
        <v>4113</v>
      </c>
    </row>
    <row r="2" spans="1:2" x14ac:dyDescent="0.2">
      <c r="A2" t="s">
        <v>4114</v>
      </c>
      <c r="B2" t="s">
        <v>4115</v>
      </c>
    </row>
    <row r="3" spans="1:2" x14ac:dyDescent="0.2">
      <c r="A3" t="s">
        <v>4116</v>
      </c>
      <c r="B3" t="s">
        <v>4117</v>
      </c>
    </row>
    <row r="4" spans="1:2" x14ac:dyDescent="0.2">
      <c r="A4" t="s">
        <v>4118</v>
      </c>
      <c r="B4" t="s">
        <v>4119</v>
      </c>
    </row>
    <row r="6" spans="1:2" x14ac:dyDescent="0.2">
      <c r="A6" t="s">
        <v>4120</v>
      </c>
    </row>
    <row r="7" spans="1:2" x14ac:dyDescent="0.2">
      <c r="A7" t="s">
        <v>6</v>
      </c>
      <c r="B7" t="s">
        <v>4121</v>
      </c>
    </row>
    <row r="8" spans="1:2" x14ac:dyDescent="0.2">
      <c r="A8" t="s">
        <v>13</v>
      </c>
      <c r="B8" t="s">
        <v>4122</v>
      </c>
    </row>
    <row r="9" spans="1:2" x14ac:dyDescent="0.2">
      <c r="A9" t="s">
        <v>3115</v>
      </c>
      <c r="B9" t="s">
        <v>4123</v>
      </c>
    </row>
    <row r="10" spans="1:2" x14ac:dyDescent="0.2">
      <c r="A10" t="s">
        <v>3621</v>
      </c>
      <c r="B10" t="s">
        <v>4124</v>
      </c>
    </row>
    <row r="11" spans="1:2" x14ac:dyDescent="0.2">
      <c r="A11" t="s">
        <v>3625</v>
      </c>
      <c r="B11" t="s">
        <v>4125</v>
      </c>
    </row>
    <row r="12" spans="1:2" x14ac:dyDescent="0.2">
      <c r="A12" t="s">
        <v>20</v>
      </c>
      <c r="B12" t="s">
        <v>4126</v>
      </c>
    </row>
  </sheetData>
  <autoFilter ref="A1:B12"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Mastersheet</vt:lpstr>
      <vt:lpstr>Records</vt:lpstr>
      <vt:lpstr>L1_acts</vt:lpstr>
      <vt:lpstr>L2_preconditions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Lean Stein</cp:lastModifiedBy>
  <dcterms:created xsi:type="dcterms:W3CDTF">2026-04-26T12:27:00Z</dcterms:created>
  <dcterms:modified xsi:type="dcterms:W3CDTF">2026-04-27T13:56:54Z</dcterms:modified>
</cp:coreProperties>
</file>